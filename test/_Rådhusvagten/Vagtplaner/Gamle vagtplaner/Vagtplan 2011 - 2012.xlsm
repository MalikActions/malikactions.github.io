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Gamle vagtplaner/"/>
    </mc:Choice>
  </mc:AlternateContent>
  <xr:revisionPtr revIDLastSave="6" documentId="11_64E92E2BD0307556AAE0AECFE49B66AD66EF74D1" xr6:coauthVersionLast="47" xr6:coauthVersionMax="47" xr10:uidLastSave="{49A6F17D-60B9-4909-9CC2-CC4DA6ADF566}"/>
  <bookViews>
    <workbookView xWindow="-120" yWindow="-120" windowWidth="29040" windowHeight="17640" tabRatio="817" firstSheet="6" activeTab="6" xr2:uid="{00000000-000D-0000-FFFF-FFFF00000000}"/>
  </bookViews>
  <sheets>
    <sheet name="Nøgler GL" sheetId="1" r:id="rId1"/>
    <sheet name="Nøgler m. lønkode" sheetId="2" r:id="rId2"/>
    <sheet name="Nøgler januar 2006" sheetId="3" r:id="rId3"/>
    <sheet name="Maj 2011" sheetId="4" r:id="rId4"/>
    <sheet name="Juni 2011" sheetId="5" r:id="rId5"/>
    <sheet name="Juli 2011" sheetId="6" r:id="rId6"/>
    <sheet name="April 2012" sheetId="15" r:id="rId7"/>
    <sheet name="August 2011" sheetId="7" r:id="rId8"/>
    <sheet name="Ark1" sheetId="28" r:id="rId9"/>
    <sheet name="Ark2" sheetId="29" r:id="rId10"/>
    <sheet name="Ark3" sheetId="30" r:id="rId11"/>
    <sheet name="September 2011" sheetId="8" r:id="rId12"/>
    <sheet name="Oktober 2011" sheetId="9" r:id="rId13"/>
    <sheet name="November 2011" sheetId="10" r:id="rId14"/>
    <sheet name="December 2011" sheetId="11" r:id="rId15"/>
    <sheet name="Januar 2012" sheetId="12" r:id="rId16"/>
    <sheet name="Februar 2012" sheetId="13" r:id="rId17"/>
    <sheet name="Marts 2012" sheetId="14" r:id="rId18"/>
    <sheet name="MUS 2011 " sheetId="17" r:id="rId19"/>
    <sheet name="Prisliste 2011 og 2012" sheetId="16" r:id="rId20"/>
    <sheet name="KM tal på biler 2010" sheetId="18" r:id="rId21"/>
    <sheet name="KM tal på biler 2012" sheetId="27" r:id="rId22"/>
    <sheet name="KM tal på biler 2011 " sheetId="25" r:id="rId23"/>
    <sheet name="Statistik 2012" sheetId="26" r:id="rId24"/>
    <sheet name="Oplysningen sommer" sheetId="24" r:id="rId25"/>
    <sheet name="Statistik 2011" sheetId="23" r:id="rId26"/>
    <sheet name="Statistik 2010 " sheetId="21" r:id="rId27"/>
    <sheet name="Balanced 2010" sheetId="22" r:id="rId28"/>
  </sheets>
  <externalReferences>
    <externalReference r:id="rId29"/>
  </externalReferences>
  <definedNames>
    <definedName name="_xlnm.Print_Area" localSheetId="2">'Nøgler januar 2006'!$A$1:$W$229</definedName>
    <definedName name="_xlnm.Print_Area" localSheetId="1">'Nøgler m. lønkode'!$A$1:$J$302</definedName>
    <definedName name="_xlnm.Print_Titles" localSheetId="6">'April 2012'!$1:$3</definedName>
    <definedName name="_xlnm.Print_Titles" localSheetId="7">'August 2011'!$1:$3</definedName>
    <definedName name="_xlnm.Print_Titles" localSheetId="27">'Balanced 2010'!$1:$1</definedName>
    <definedName name="_xlnm.Print_Titles" localSheetId="14">'December 2011'!$1:$3</definedName>
    <definedName name="_xlnm.Print_Titles" localSheetId="16">'Februar 2012'!$1:$3</definedName>
    <definedName name="_xlnm.Print_Titles" localSheetId="15">'Januar 2012'!$1:$3</definedName>
    <definedName name="_xlnm.Print_Titles" localSheetId="5">'Juli 2011'!$1:$3</definedName>
    <definedName name="_xlnm.Print_Titles" localSheetId="4">'Juni 2011'!$1:$3</definedName>
    <definedName name="_xlnm.Print_Titles" localSheetId="3">'Maj 2011'!$1:$3</definedName>
    <definedName name="_xlnm.Print_Titles" localSheetId="17">'Marts 2012'!$1:$3</definedName>
    <definedName name="_xlnm.Print_Titles" localSheetId="13">'November 2011'!$1:$3</definedName>
    <definedName name="_xlnm.Print_Titles" localSheetId="12">'Oktober 2011'!$1:$3</definedName>
    <definedName name="_xlnm.Print_Titles" localSheetId="11">'September 2011'!$1:$3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7" i="26" l="1"/>
  <c r="C301" i="26"/>
  <c r="C303" i="26"/>
  <c r="C308" i="26"/>
  <c r="C310" i="26"/>
  <c r="D301" i="26"/>
  <c r="D303" i="26"/>
  <c r="D308" i="26"/>
  <c r="D310" i="26"/>
  <c r="E301" i="26"/>
  <c r="E303" i="26"/>
  <c r="E308" i="26"/>
  <c r="E310" i="26"/>
  <c r="F301" i="26"/>
  <c r="F303" i="26"/>
  <c r="F308" i="26"/>
  <c r="F310" i="26"/>
  <c r="G301" i="26"/>
  <c r="G303" i="26"/>
  <c r="G308" i="26"/>
  <c r="G310" i="26"/>
  <c r="H301" i="26"/>
  <c r="H303" i="26"/>
  <c r="H308" i="26"/>
  <c r="H310" i="26"/>
  <c r="I301" i="26"/>
  <c r="I303" i="26"/>
  <c r="I308" i="26"/>
  <c r="I310" i="26"/>
  <c r="J301" i="26"/>
  <c r="J303" i="26"/>
  <c r="J308" i="26"/>
  <c r="J310" i="26"/>
  <c r="K301" i="26"/>
  <c r="K303" i="26"/>
  <c r="K308" i="26"/>
  <c r="K310" i="26"/>
  <c r="L301" i="26"/>
  <c r="L303" i="26"/>
  <c r="L308" i="26"/>
  <c r="L310" i="26"/>
  <c r="M301" i="26"/>
  <c r="M303" i="26"/>
  <c r="M308" i="26"/>
  <c r="M310" i="26"/>
  <c r="B301" i="26"/>
  <c r="B303" i="26"/>
  <c r="B308" i="26"/>
  <c r="B310" i="26"/>
  <c r="P39" i="27"/>
  <c r="R39" i="27"/>
  <c r="P40" i="27"/>
  <c r="R40" i="27"/>
  <c r="P41" i="27"/>
  <c r="R41" i="27"/>
  <c r="P44" i="27"/>
  <c r="R44" i="27"/>
  <c r="P45" i="27"/>
  <c r="R45" i="27"/>
  <c r="P46" i="27"/>
  <c r="R46" i="27"/>
  <c r="P47" i="27"/>
  <c r="R47" i="27"/>
  <c r="P48" i="27"/>
  <c r="R48" i="27"/>
  <c r="P49" i="27"/>
  <c r="R49" i="27"/>
  <c r="P50" i="27"/>
  <c r="R50" i="27"/>
  <c r="Q51" i="27"/>
  <c r="P42" i="27"/>
  <c r="R42" i="27"/>
  <c r="N243" i="26"/>
  <c r="N244" i="26"/>
  <c r="N245" i="26"/>
  <c r="N246" i="26"/>
  <c r="N247" i="26"/>
  <c r="N248" i="26"/>
  <c r="N238" i="26"/>
  <c r="D239" i="26"/>
  <c r="M219" i="26"/>
  <c r="N50" i="26"/>
  <c r="N54" i="26"/>
  <c r="N55" i="26"/>
  <c r="B16" i="26"/>
  <c r="N109" i="26"/>
  <c r="N110" i="26"/>
  <c r="L51" i="27"/>
  <c r="H51" i="27"/>
  <c r="D51" i="27"/>
  <c r="N50" i="27"/>
  <c r="J50" i="27"/>
  <c r="F50" i="27"/>
  <c r="N49" i="27"/>
  <c r="J49" i="27"/>
  <c r="F49" i="27"/>
  <c r="N48" i="27"/>
  <c r="J48" i="27"/>
  <c r="F48" i="27"/>
  <c r="N47" i="27"/>
  <c r="J47" i="27"/>
  <c r="F47" i="27"/>
  <c r="M46" i="27"/>
  <c r="N46" i="27"/>
  <c r="I46" i="27"/>
  <c r="J46" i="27"/>
  <c r="E46" i="27"/>
  <c r="F46" i="27"/>
  <c r="M45" i="27"/>
  <c r="N45" i="27"/>
  <c r="I45" i="27"/>
  <c r="J45" i="27"/>
  <c r="E45" i="27"/>
  <c r="F45" i="27"/>
  <c r="M44" i="27"/>
  <c r="N44" i="27"/>
  <c r="I44" i="27"/>
  <c r="J44" i="27"/>
  <c r="E44" i="27"/>
  <c r="F44" i="27"/>
  <c r="P43" i="27"/>
  <c r="M43" i="27"/>
  <c r="M51" i="27"/>
  <c r="I43" i="27"/>
  <c r="J43" i="27"/>
  <c r="J51" i="27"/>
  <c r="E43" i="27"/>
  <c r="E51" i="27"/>
  <c r="Q28" i="27"/>
  <c r="P28" i="27"/>
  <c r="M28" i="27"/>
  <c r="L28" i="27"/>
  <c r="D28" i="27"/>
  <c r="F28" i="27"/>
  <c r="N27" i="27"/>
  <c r="I27" i="27"/>
  <c r="J27" i="27"/>
  <c r="E27" i="27"/>
  <c r="F27" i="27"/>
  <c r="N26" i="27"/>
  <c r="I26" i="27"/>
  <c r="J26" i="27"/>
  <c r="E26" i="27"/>
  <c r="F26" i="27"/>
  <c r="N25" i="27"/>
  <c r="I25" i="27"/>
  <c r="J25" i="27"/>
  <c r="E25" i="27"/>
  <c r="F25" i="27"/>
  <c r="N24" i="27"/>
  <c r="I24" i="27"/>
  <c r="J24" i="27"/>
  <c r="E24" i="27"/>
  <c r="F24" i="27"/>
  <c r="N23" i="27"/>
  <c r="I23" i="27"/>
  <c r="J23" i="27"/>
  <c r="E23" i="27"/>
  <c r="F23" i="27"/>
  <c r="N22" i="27"/>
  <c r="I22" i="27"/>
  <c r="J22" i="27"/>
  <c r="E22" i="27"/>
  <c r="F22" i="27"/>
  <c r="N21" i="27"/>
  <c r="I21" i="27"/>
  <c r="E21" i="27"/>
  <c r="F21" i="27"/>
  <c r="N20" i="27"/>
  <c r="N28" i="27"/>
  <c r="F20" i="27"/>
  <c r="N312" i="26"/>
  <c r="N311" i="26"/>
  <c r="N309" i="26"/>
  <c r="N307" i="26"/>
  <c r="N306" i="26"/>
  <c r="N305" i="26"/>
  <c r="N304" i="26"/>
  <c r="N302" i="26"/>
  <c r="N286" i="26"/>
  <c r="I286" i="26"/>
  <c r="I287" i="26"/>
  <c r="H286" i="26"/>
  <c r="H287" i="26"/>
  <c r="G286" i="26"/>
  <c r="G287" i="26"/>
  <c r="F286" i="26"/>
  <c r="F287" i="26"/>
  <c r="E286" i="26"/>
  <c r="E287" i="26"/>
  <c r="D286" i="26"/>
  <c r="D287" i="26"/>
  <c r="D288" i="26"/>
  <c r="C286" i="26"/>
  <c r="C287" i="26"/>
  <c r="B286" i="26"/>
  <c r="B287" i="26"/>
  <c r="N285" i="26"/>
  <c r="N284" i="26"/>
  <c r="N275" i="26"/>
  <c r="M266" i="26"/>
  <c r="M279" i="26"/>
  <c r="L266" i="26"/>
  <c r="L280" i="26"/>
  <c r="K266" i="26"/>
  <c r="K279" i="26"/>
  <c r="J266" i="26"/>
  <c r="J280" i="26"/>
  <c r="I266" i="26"/>
  <c r="I279" i="26"/>
  <c r="H266" i="26"/>
  <c r="H280" i="26"/>
  <c r="G266" i="26"/>
  <c r="G279" i="26"/>
  <c r="F266" i="26"/>
  <c r="F280" i="26"/>
  <c r="E266" i="26"/>
  <c r="E279" i="26"/>
  <c r="D266" i="26"/>
  <c r="D280" i="26"/>
  <c r="C266" i="26"/>
  <c r="C279" i="26"/>
  <c r="B266" i="26"/>
  <c r="B280" i="26"/>
  <c r="N265" i="26"/>
  <c r="N264" i="26"/>
  <c r="N263" i="26"/>
  <c r="N262" i="26"/>
  <c r="N261" i="26"/>
  <c r="N260" i="26"/>
  <c r="N259" i="26"/>
  <c r="N258" i="26"/>
  <c r="N257" i="26"/>
  <c r="N256" i="26"/>
  <c r="N255" i="26"/>
  <c r="N242" i="26"/>
  <c r="N240" i="26"/>
  <c r="M239" i="26"/>
  <c r="L239" i="26"/>
  <c r="K239" i="26"/>
  <c r="J239" i="26"/>
  <c r="I239" i="26"/>
  <c r="H239" i="26"/>
  <c r="G239" i="26"/>
  <c r="F239" i="26"/>
  <c r="E239" i="26"/>
  <c r="C239" i="26"/>
  <c r="B239" i="26"/>
  <c r="N237" i="26"/>
  <c r="N236" i="26"/>
  <c r="N235" i="26"/>
  <c r="D224" i="26"/>
  <c r="D225" i="26"/>
  <c r="M232" i="26"/>
  <c r="M220" i="26"/>
  <c r="M221" i="26"/>
  <c r="L233" i="26"/>
  <c r="N209" i="26"/>
  <c r="B209" i="26"/>
  <c r="B210" i="26"/>
  <c r="N208" i="26"/>
  <c r="N207" i="26"/>
  <c r="C209" i="26"/>
  <c r="N198" i="26"/>
  <c r="M189" i="26"/>
  <c r="M203" i="26"/>
  <c r="L189" i="26"/>
  <c r="L202" i="26"/>
  <c r="K189" i="26"/>
  <c r="K203" i="26"/>
  <c r="J189" i="26"/>
  <c r="J202" i="26"/>
  <c r="I189" i="26"/>
  <c r="I203" i="26"/>
  <c r="H189" i="26"/>
  <c r="H202" i="26"/>
  <c r="G189" i="26"/>
  <c r="G203" i="26"/>
  <c r="F189" i="26"/>
  <c r="F202" i="26"/>
  <c r="E189" i="26"/>
  <c r="E203" i="26"/>
  <c r="D189" i="26"/>
  <c r="D202" i="26"/>
  <c r="C189" i="26"/>
  <c r="C203" i="26"/>
  <c r="B189" i="26"/>
  <c r="B202" i="26"/>
  <c r="N188" i="26"/>
  <c r="N187" i="26"/>
  <c r="N186" i="26"/>
  <c r="N185" i="26"/>
  <c r="N184" i="26"/>
  <c r="N183" i="26"/>
  <c r="N182" i="26"/>
  <c r="N181" i="26"/>
  <c r="N180" i="26"/>
  <c r="N179" i="26"/>
  <c r="N178" i="26"/>
  <c r="N171" i="26"/>
  <c r="N169" i="26"/>
  <c r="M168" i="26"/>
  <c r="L168" i="26"/>
  <c r="K168" i="26"/>
  <c r="J168" i="26"/>
  <c r="I168" i="26"/>
  <c r="H168" i="26"/>
  <c r="G168" i="26"/>
  <c r="F168" i="26"/>
  <c r="E168" i="26"/>
  <c r="D168" i="26"/>
  <c r="C168" i="26"/>
  <c r="B168" i="26"/>
  <c r="N167" i="26"/>
  <c r="N166" i="26"/>
  <c r="N165" i="26"/>
  <c r="N164" i="26"/>
  <c r="N163" i="26"/>
  <c r="M162" i="26"/>
  <c r="L162" i="26"/>
  <c r="K162" i="26"/>
  <c r="J162" i="26"/>
  <c r="I162" i="26"/>
  <c r="H162" i="26"/>
  <c r="G162" i="26"/>
  <c r="F162" i="26"/>
  <c r="E162" i="26"/>
  <c r="D162" i="26"/>
  <c r="C162" i="26"/>
  <c r="B162" i="26"/>
  <c r="N161" i="26"/>
  <c r="N160" i="26"/>
  <c r="N159" i="26"/>
  <c r="N153" i="26"/>
  <c r="C153" i="26"/>
  <c r="C154" i="26"/>
  <c r="B153" i="26"/>
  <c r="B154" i="26"/>
  <c r="N152" i="26"/>
  <c r="N151" i="26"/>
  <c r="D153" i="26"/>
  <c r="E153" i="26"/>
  <c r="N142" i="26"/>
  <c r="M133" i="26"/>
  <c r="M146" i="26"/>
  <c r="L133" i="26"/>
  <c r="L146" i="26"/>
  <c r="K133" i="26"/>
  <c r="K144" i="26"/>
  <c r="J133" i="26"/>
  <c r="J146" i="26"/>
  <c r="I133" i="26"/>
  <c r="I146" i="26"/>
  <c r="H133" i="26"/>
  <c r="H146" i="26"/>
  <c r="G133" i="26"/>
  <c r="G144" i="26"/>
  <c r="F133" i="26"/>
  <c r="F146" i="26"/>
  <c r="E133" i="26"/>
  <c r="E146" i="26"/>
  <c r="D133" i="26"/>
  <c r="D146" i="26"/>
  <c r="C133" i="26"/>
  <c r="C144" i="26"/>
  <c r="B133" i="26"/>
  <c r="B146" i="26"/>
  <c r="N132" i="26"/>
  <c r="N131" i="26"/>
  <c r="N130" i="26"/>
  <c r="N129" i="26"/>
  <c r="N128" i="26"/>
  <c r="N127" i="26"/>
  <c r="N126" i="26"/>
  <c r="N125" i="26"/>
  <c r="N124" i="26"/>
  <c r="N123" i="26"/>
  <c r="N122" i="26"/>
  <c r="N116" i="26"/>
  <c r="N115" i="26"/>
  <c r="N113" i="26"/>
  <c r="M112" i="26"/>
  <c r="L112" i="26"/>
  <c r="K112" i="26"/>
  <c r="J112" i="26"/>
  <c r="I112" i="26"/>
  <c r="H112" i="26"/>
  <c r="G112" i="26"/>
  <c r="F112" i="26"/>
  <c r="E112" i="26"/>
  <c r="D112" i="26"/>
  <c r="C112" i="26"/>
  <c r="B112" i="26"/>
  <c r="N111" i="26"/>
  <c r="N108" i="26"/>
  <c r="N107" i="26"/>
  <c r="N106" i="26"/>
  <c r="N105" i="26"/>
  <c r="N104" i="26"/>
  <c r="N103" i="26"/>
  <c r="N102" i="26"/>
  <c r="N99" i="26"/>
  <c r="F90" i="26"/>
  <c r="N61" i="26"/>
  <c r="N89" i="26"/>
  <c r="N90" i="26"/>
  <c r="D62" i="26"/>
  <c r="D63" i="26"/>
  <c r="N53" i="26"/>
  <c r="N52" i="26"/>
  <c r="N51" i="26"/>
  <c r="N46" i="26"/>
  <c r="N45" i="26"/>
  <c r="N44" i="26"/>
  <c r="N43" i="26"/>
  <c r="N42" i="26"/>
  <c r="N25" i="26"/>
  <c r="M16" i="26"/>
  <c r="M30" i="26"/>
  <c r="L16" i="26"/>
  <c r="L30" i="26"/>
  <c r="K16" i="26"/>
  <c r="K30" i="26"/>
  <c r="J16" i="26"/>
  <c r="J30" i="26"/>
  <c r="I16" i="26"/>
  <c r="I30" i="26"/>
  <c r="H16" i="26"/>
  <c r="H30" i="26"/>
  <c r="G16" i="26"/>
  <c r="G30" i="26"/>
  <c r="F16" i="26"/>
  <c r="F30" i="26"/>
  <c r="E16" i="26"/>
  <c r="E30" i="26"/>
  <c r="D16" i="26"/>
  <c r="D30" i="26"/>
  <c r="C16" i="26"/>
  <c r="C30" i="26"/>
  <c r="B30" i="26"/>
  <c r="N15" i="26"/>
  <c r="N14" i="26"/>
  <c r="N13" i="26"/>
  <c r="N12" i="26"/>
  <c r="N11" i="26"/>
  <c r="N10" i="26"/>
  <c r="N9" i="26"/>
  <c r="N8" i="26"/>
  <c r="N7" i="26"/>
  <c r="N6" i="26"/>
  <c r="N5" i="26"/>
  <c r="N4" i="26"/>
  <c r="P51" i="27"/>
  <c r="R51" i="27"/>
  <c r="R43" i="27"/>
  <c r="M313" i="26"/>
  <c r="N47" i="26"/>
  <c r="N56" i="26"/>
  <c r="C170" i="26"/>
  <c r="C172" i="26"/>
  <c r="E170" i="26"/>
  <c r="E172" i="26"/>
  <c r="G170" i="26"/>
  <c r="G172" i="26"/>
  <c r="I28" i="27"/>
  <c r="B170" i="26"/>
  <c r="B172" i="26"/>
  <c r="D170" i="26"/>
  <c r="D172" i="26"/>
  <c r="F170" i="26"/>
  <c r="F172" i="26"/>
  <c r="H170" i="26"/>
  <c r="H172" i="26"/>
  <c r="J170" i="26"/>
  <c r="J172" i="26"/>
  <c r="L170" i="26"/>
  <c r="L172" i="26"/>
  <c r="N168" i="26"/>
  <c r="N162" i="26"/>
  <c r="K269" i="26"/>
  <c r="M272" i="26"/>
  <c r="J21" i="27"/>
  <c r="G269" i="26"/>
  <c r="M269" i="26"/>
  <c r="C269" i="26"/>
  <c r="F51" i="27"/>
  <c r="I51" i="27"/>
  <c r="F43" i="27"/>
  <c r="N43" i="27"/>
  <c r="N51" i="27"/>
  <c r="B19" i="26"/>
  <c r="F19" i="26"/>
  <c r="J19" i="26"/>
  <c r="B22" i="26"/>
  <c r="F22" i="26"/>
  <c r="J22" i="26"/>
  <c r="D27" i="26"/>
  <c r="H27" i="26"/>
  <c r="L27" i="26"/>
  <c r="D29" i="26"/>
  <c r="H29" i="26"/>
  <c r="L29" i="26"/>
  <c r="D19" i="26"/>
  <c r="H19" i="26"/>
  <c r="L19" i="26"/>
  <c r="D22" i="26"/>
  <c r="H22" i="26"/>
  <c r="L22" i="26"/>
  <c r="B27" i="26"/>
  <c r="F27" i="26"/>
  <c r="J27" i="26"/>
  <c r="B29" i="26"/>
  <c r="F29" i="26"/>
  <c r="J29" i="26"/>
  <c r="N112" i="26"/>
  <c r="B136" i="26"/>
  <c r="F136" i="26"/>
  <c r="J136" i="26"/>
  <c r="B139" i="26"/>
  <c r="F139" i="26"/>
  <c r="J139" i="26"/>
  <c r="D144" i="26"/>
  <c r="H144" i="26"/>
  <c r="L144" i="26"/>
  <c r="H145" i="26"/>
  <c r="B147" i="26"/>
  <c r="J147" i="26"/>
  <c r="D136" i="26"/>
  <c r="H136" i="26"/>
  <c r="L136" i="26"/>
  <c r="D139" i="26"/>
  <c r="H139" i="26"/>
  <c r="L139" i="26"/>
  <c r="B144" i="26"/>
  <c r="F144" i="26"/>
  <c r="J144" i="26"/>
  <c r="D145" i="26"/>
  <c r="L145" i="26"/>
  <c r="F147" i="26"/>
  <c r="I170" i="26"/>
  <c r="I172" i="26"/>
  <c r="K170" i="26"/>
  <c r="K172" i="26"/>
  <c r="M170" i="26"/>
  <c r="M172" i="26"/>
  <c r="B192" i="26"/>
  <c r="F192" i="26"/>
  <c r="J192" i="26"/>
  <c r="B195" i="26"/>
  <c r="F195" i="26"/>
  <c r="J195" i="26"/>
  <c r="J200" i="26"/>
  <c r="D192" i="26"/>
  <c r="H192" i="26"/>
  <c r="L192" i="26"/>
  <c r="D195" i="26"/>
  <c r="H195" i="26"/>
  <c r="L195" i="26"/>
  <c r="H200" i="26"/>
  <c r="L200" i="26"/>
  <c r="N239" i="26"/>
  <c r="E269" i="26"/>
  <c r="I269" i="26"/>
  <c r="E272" i="26"/>
  <c r="I272" i="26"/>
  <c r="C272" i="26"/>
  <c r="G272" i="26"/>
  <c r="K272" i="26"/>
  <c r="J283" i="26"/>
  <c r="J286" i="26"/>
  <c r="N308" i="26"/>
  <c r="E154" i="26"/>
  <c r="F153" i="26"/>
  <c r="N30" i="26"/>
  <c r="C37" i="26"/>
  <c r="L100" i="26"/>
  <c r="L101" i="26"/>
  <c r="L114" i="26"/>
  <c r="L117" i="26"/>
  <c r="J100" i="26"/>
  <c r="J101" i="26"/>
  <c r="J114" i="26"/>
  <c r="J117" i="26"/>
  <c r="H100" i="26"/>
  <c r="H101" i="26"/>
  <c r="H114" i="26"/>
  <c r="H117" i="26"/>
  <c r="F100" i="26"/>
  <c r="F101" i="26"/>
  <c r="F114" i="26"/>
  <c r="F117" i="26"/>
  <c r="D100" i="26"/>
  <c r="D101" i="26"/>
  <c r="D114" i="26"/>
  <c r="D117" i="26"/>
  <c r="B100" i="26"/>
  <c r="M100" i="26"/>
  <c r="M101" i="26"/>
  <c r="M114" i="26"/>
  <c r="M117" i="26"/>
  <c r="K100" i="26"/>
  <c r="K101" i="26"/>
  <c r="K114" i="26"/>
  <c r="K117" i="26"/>
  <c r="I100" i="26"/>
  <c r="I101" i="26"/>
  <c r="I114" i="26"/>
  <c r="I117" i="26"/>
  <c r="G100" i="26"/>
  <c r="G101" i="26"/>
  <c r="G114" i="26"/>
  <c r="G117" i="26"/>
  <c r="E100" i="26"/>
  <c r="E101" i="26"/>
  <c r="E114" i="26"/>
  <c r="E117" i="26"/>
  <c r="C100" i="26"/>
  <c r="C101" i="26"/>
  <c r="C114" i="26"/>
  <c r="C117" i="26"/>
  <c r="C210" i="26"/>
  <c r="D209" i="26"/>
  <c r="N16" i="26"/>
  <c r="C19" i="26"/>
  <c r="E19" i="26"/>
  <c r="G19" i="26"/>
  <c r="I19" i="26"/>
  <c r="K19" i="26"/>
  <c r="M19" i="26"/>
  <c r="B21" i="26"/>
  <c r="D21" i="26"/>
  <c r="D23" i="26"/>
  <c r="F21" i="26"/>
  <c r="F23" i="26"/>
  <c r="H21" i="26"/>
  <c r="H23" i="26"/>
  <c r="J21" i="26"/>
  <c r="J23" i="26"/>
  <c r="L21" i="26"/>
  <c r="L23" i="26"/>
  <c r="C22" i="26"/>
  <c r="E22" i="26"/>
  <c r="G22" i="26"/>
  <c r="I22" i="26"/>
  <c r="K22" i="26"/>
  <c r="M22" i="26"/>
  <c r="C27" i="26"/>
  <c r="E27" i="26"/>
  <c r="G27" i="26"/>
  <c r="I27" i="26"/>
  <c r="K27" i="26"/>
  <c r="M27" i="26"/>
  <c r="B28" i="26"/>
  <c r="D28" i="26"/>
  <c r="F28" i="26"/>
  <c r="H28" i="26"/>
  <c r="J28" i="26"/>
  <c r="L28" i="26"/>
  <c r="C29" i="26"/>
  <c r="E29" i="26"/>
  <c r="G29" i="26"/>
  <c r="I29" i="26"/>
  <c r="K29" i="26"/>
  <c r="M29" i="26"/>
  <c r="B37" i="26"/>
  <c r="N133" i="26"/>
  <c r="C136" i="26"/>
  <c r="E136" i="26"/>
  <c r="G136" i="26"/>
  <c r="I136" i="26"/>
  <c r="K136" i="26"/>
  <c r="M136" i="26"/>
  <c r="B138" i="26"/>
  <c r="D138" i="26"/>
  <c r="D140" i="26"/>
  <c r="F138" i="26"/>
  <c r="F140" i="26"/>
  <c r="H138" i="26"/>
  <c r="H140" i="26"/>
  <c r="J138" i="26"/>
  <c r="J140" i="26"/>
  <c r="L138" i="26"/>
  <c r="L140" i="26"/>
  <c r="C139" i="26"/>
  <c r="E139" i="26"/>
  <c r="G139" i="26"/>
  <c r="I139" i="26"/>
  <c r="K139" i="26"/>
  <c r="M139" i="26"/>
  <c r="E144" i="26"/>
  <c r="I144" i="26"/>
  <c r="M144" i="26"/>
  <c r="B145" i="26"/>
  <c r="F145" i="26"/>
  <c r="J145" i="26"/>
  <c r="D147" i="26"/>
  <c r="H147" i="26"/>
  <c r="L147" i="26"/>
  <c r="D154" i="26"/>
  <c r="D155" i="26"/>
  <c r="G288" i="26"/>
  <c r="C147" i="26"/>
  <c r="C145" i="26"/>
  <c r="E147" i="26"/>
  <c r="E145" i="26"/>
  <c r="G147" i="26"/>
  <c r="G145" i="26"/>
  <c r="I147" i="26"/>
  <c r="I145" i="26"/>
  <c r="K147" i="26"/>
  <c r="K145" i="26"/>
  <c r="M147" i="26"/>
  <c r="M145" i="26"/>
  <c r="C21" i="26"/>
  <c r="C23" i="26"/>
  <c r="E21" i="26"/>
  <c r="E23" i="26"/>
  <c r="G21" i="26"/>
  <c r="G23" i="26"/>
  <c r="I21" i="26"/>
  <c r="I23" i="26"/>
  <c r="K21" i="26"/>
  <c r="K23" i="26"/>
  <c r="M21" i="26"/>
  <c r="M23" i="26"/>
  <c r="C28" i="26"/>
  <c r="E28" i="26"/>
  <c r="G28" i="26"/>
  <c r="I28" i="26"/>
  <c r="K28" i="26"/>
  <c r="M28" i="26"/>
  <c r="C138" i="26"/>
  <c r="C140" i="26"/>
  <c r="E138" i="26"/>
  <c r="E140" i="26"/>
  <c r="G138" i="26"/>
  <c r="G140" i="26"/>
  <c r="I138" i="26"/>
  <c r="I140" i="26"/>
  <c r="K138" i="26"/>
  <c r="K140" i="26"/>
  <c r="M138" i="26"/>
  <c r="M140" i="26"/>
  <c r="C146" i="26"/>
  <c r="G146" i="26"/>
  <c r="K146" i="26"/>
  <c r="N189" i="26"/>
  <c r="C192" i="26"/>
  <c r="E192" i="26"/>
  <c r="G192" i="26"/>
  <c r="I192" i="26"/>
  <c r="K192" i="26"/>
  <c r="M192" i="26"/>
  <c r="B194" i="26"/>
  <c r="D194" i="26"/>
  <c r="D196" i="26"/>
  <c r="F194" i="26"/>
  <c r="F196" i="26"/>
  <c r="H194" i="26"/>
  <c r="H196" i="26"/>
  <c r="J194" i="26"/>
  <c r="J196" i="26"/>
  <c r="L194" i="26"/>
  <c r="L196" i="26"/>
  <c r="C195" i="26"/>
  <c r="E195" i="26"/>
  <c r="G195" i="26"/>
  <c r="I195" i="26"/>
  <c r="K195" i="26"/>
  <c r="M195" i="26"/>
  <c r="C200" i="26"/>
  <c r="E200" i="26"/>
  <c r="G200" i="26"/>
  <c r="I200" i="26"/>
  <c r="K200" i="26"/>
  <c r="M200" i="26"/>
  <c r="B201" i="26"/>
  <c r="D201" i="26"/>
  <c r="F201" i="26"/>
  <c r="H201" i="26"/>
  <c r="J201" i="26"/>
  <c r="L201" i="26"/>
  <c r="C202" i="26"/>
  <c r="E202" i="26"/>
  <c r="G202" i="26"/>
  <c r="I202" i="26"/>
  <c r="K202" i="26"/>
  <c r="M202" i="26"/>
  <c r="B203" i="26"/>
  <c r="D203" i="26"/>
  <c r="F203" i="26"/>
  <c r="H203" i="26"/>
  <c r="J203" i="26"/>
  <c r="L203" i="26"/>
  <c r="B232" i="26"/>
  <c r="D232" i="26"/>
  <c r="F232" i="26"/>
  <c r="H232" i="26"/>
  <c r="J232" i="26"/>
  <c r="L232" i="26"/>
  <c r="L234" i="26"/>
  <c r="L241" i="26"/>
  <c r="L249" i="26"/>
  <c r="C233" i="26"/>
  <c r="E233" i="26"/>
  <c r="G233" i="26"/>
  <c r="I233" i="26"/>
  <c r="K233" i="26"/>
  <c r="M233" i="26"/>
  <c r="M234" i="26"/>
  <c r="M241" i="26"/>
  <c r="M249" i="26"/>
  <c r="B269" i="26"/>
  <c r="D269" i="26"/>
  <c r="F269" i="26"/>
  <c r="H269" i="26"/>
  <c r="J269" i="26"/>
  <c r="L269" i="26"/>
  <c r="C271" i="26"/>
  <c r="C273" i="26"/>
  <c r="E271" i="26"/>
  <c r="E273" i="26"/>
  <c r="G271" i="26"/>
  <c r="G273" i="26"/>
  <c r="I271" i="26"/>
  <c r="I273" i="26"/>
  <c r="K271" i="26"/>
  <c r="K273" i="26"/>
  <c r="M271" i="26"/>
  <c r="M273" i="26"/>
  <c r="B272" i="26"/>
  <c r="D272" i="26"/>
  <c r="F272" i="26"/>
  <c r="H272" i="26"/>
  <c r="J272" i="26"/>
  <c r="L272" i="26"/>
  <c r="B277" i="26"/>
  <c r="D277" i="26"/>
  <c r="F277" i="26"/>
  <c r="H277" i="26"/>
  <c r="J277" i="26"/>
  <c r="L277" i="26"/>
  <c r="C278" i="26"/>
  <c r="E278" i="26"/>
  <c r="G278" i="26"/>
  <c r="I278" i="26"/>
  <c r="K278" i="26"/>
  <c r="M278" i="26"/>
  <c r="B279" i="26"/>
  <c r="D279" i="26"/>
  <c r="F279" i="26"/>
  <c r="H279" i="26"/>
  <c r="J279" i="26"/>
  <c r="L279" i="26"/>
  <c r="C280" i="26"/>
  <c r="E280" i="26"/>
  <c r="G280" i="26"/>
  <c r="I280" i="26"/>
  <c r="K280" i="26"/>
  <c r="M280" i="26"/>
  <c r="D313" i="26"/>
  <c r="F313" i="26"/>
  <c r="H313" i="26"/>
  <c r="J313" i="26"/>
  <c r="L313" i="26"/>
  <c r="C194" i="26"/>
  <c r="C196" i="26"/>
  <c r="E194" i="26"/>
  <c r="E196" i="26"/>
  <c r="G194" i="26"/>
  <c r="G196" i="26"/>
  <c r="I194" i="26"/>
  <c r="I196" i="26"/>
  <c r="K194" i="26"/>
  <c r="K196" i="26"/>
  <c r="M194" i="26"/>
  <c r="M196" i="26"/>
  <c r="B200" i="26"/>
  <c r="D200" i="26"/>
  <c r="F200" i="26"/>
  <c r="C201" i="26"/>
  <c r="E201" i="26"/>
  <c r="G201" i="26"/>
  <c r="I201" i="26"/>
  <c r="K201" i="26"/>
  <c r="M201" i="26"/>
  <c r="C232" i="26"/>
  <c r="E232" i="26"/>
  <c r="G232" i="26"/>
  <c r="I232" i="26"/>
  <c r="K232" i="26"/>
  <c r="B233" i="26"/>
  <c r="D233" i="26"/>
  <c r="F233" i="26"/>
  <c r="H233" i="26"/>
  <c r="J233" i="26"/>
  <c r="N266" i="26"/>
  <c r="B271" i="26"/>
  <c r="D271" i="26"/>
  <c r="D273" i="26"/>
  <c r="F271" i="26"/>
  <c r="F273" i="26"/>
  <c r="H271" i="26"/>
  <c r="H273" i="26"/>
  <c r="J271" i="26"/>
  <c r="J273" i="26"/>
  <c r="L271" i="26"/>
  <c r="L273" i="26"/>
  <c r="C277" i="26"/>
  <c r="E277" i="26"/>
  <c r="G277" i="26"/>
  <c r="I277" i="26"/>
  <c r="K277" i="26"/>
  <c r="M277" i="26"/>
  <c r="B278" i="26"/>
  <c r="D278" i="26"/>
  <c r="F278" i="26"/>
  <c r="H278" i="26"/>
  <c r="J278" i="26"/>
  <c r="L278" i="26"/>
  <c r="C313" i="26"/>
  <c r="E313" i="26"/>
  <c r="G313" i="26"/>
  <c r="I313" i="26"/>
  <c r="K313" i="26"/>
  <c r="K234" i="26"/>
  <c r="K241" i="26"/>
  <c r="K249" i="26"/>
  <c r="G234" i="26"/>
  <c r="G241" i="26"/>
  <c r="G249" i="26"/>
  <c r="C234" i="26"/>
  <c r="C241" i="26"/>
  <c r="C249" i="26"/>
  <c r="N170" i="26"/>
  <c r="N172" i="26"/>
  <c r="I234" i="26"/>
  <c r="I241" i="26"/>
  <c r="I249" i="26"/>
  <c r="E234" i="26"/>
  <c r="E241" i="26"/>
  <c r="E249" i="26"/>
  <c r="M141" i="26"/>
  <c r="N144" i="26"/>
  <c r="M24" i="26"/>
  <c r="N27" i="26"/>
  <c r="N29" i="26"/>
  <c r="N22" i="26"/>
  <c r="N19" i="26"/>
  <c r="N146" i="26"/>
  <c r="N147" i="26"/>
  <c r="N139" i="26"/>
  <c r="N136" i="26"/>
  <c r="M197" i="26"/>
  <c r="N202" i="26"/>
  <c r="N195" i="26"/>
  <c r="N192" i="26"/>
  <c r="N280" i="26"/>
  <c r="J287" i="26"/>
  <c r="J288" i="26"/>
  <c r="K283" i="26"/>
  <c r="K286" i="26"/>
  <c r="B23" i="26"/>
  <c r="D24" i="26"/>
  <c r="N21" i="26"/>
  <c r="N23" i="26"/>
  <c r="E209" i="26"/>
  <c r="D210" i="26"/>
  <c r="D211" i="26"/>
  <c r="N100" i="26"/>
  <c r="N101" i="26"/>
  <c r="N114" i="26"/>
  <c r="N117" i="26"/>
  <c r="B101" i="26"/>
  <c r="B114" i="26"/>
  <c r="B117" i="26"/>
  <c r="D37" i="26"/>
  <c r="D38" i="26"/>
  <c r="J274" i="26"/>
  <c r="G197" i="26"/>
  <c r="G274" i="26"/>
  <c r="H234" i="26"/>
  <c r="H241" i="26"/>
  <c r="H249" i="26"/>
  <c r="D234" i="26"/>
  <c r="D241" i="26"/>
  <c r="D249" i="26"/>
  <c r="J197" i="26"/>
  <c r="G141" i="26"/>
  <c r="G24" i="26"/>
  <c r="N145" i="26"/>
  <c r="J141" i="26"/>
  <c r="N28" i="26"/>
  <c r="B273" i="26"/>
  <c r="D274" i="26"/>
  <c r="N271" i="26"/>
  <c r="N301" i="26"/>
  <c r="N234" i="26"/>
  <c r="B234" i="26"/>
  <c r="B241" i="26"/>
  <c r="B249" i="26"/>
  <c r="N232" i="26"/>
  <c r="B196" i="26"/>
  <c r="D197" i="26"/>
  <c r="N194" i="26"/>
  <c r="B140" i="26"/>
  <c r="D141" i="26"/>
  <c r="N138" i="26"/>
  <c r="G153" i="26"/>
  <c r="F154" i="26"/>
  <c r="N278" i="26"/>
  <c r="N233" i="26"/>
  <c r="N200" i="26"/>
  <c r="N279" i="26"/>
  <c r="N277" i="26"/>
  <c r="N272" i="26"/>
  <c r="M274" i="26"/>
  <c r="N269" i="26"/>
  <c r="J234" i="26"/>
  <c r="J241" i="26"/>
  <c r="J249" i="26"/>
  <c r="F234" i="26"/>
  <c r="F241" i="26"/>
  <c r="F249" i="26"/>
  <c r="N203" i="26"/>
  <c r="N201" i="26"/>
  <c r="J24" i="26"/>
  <c r="E31" i="17"/>
  <c r="P48" i="25"/>
  <c r="N109" i="23"/>
  <c r="N108" i="23"/>
  <c r="M45" i="25"/>
  <c r="M46" i="25"/>
  <c r="N46" i="25"/>
  <c r="I46" i="25"/>
  <c r="J46" i="25"/>
  <c r="E46" i="25"/>
  <c r="E43" i="25"/>
  <c r="F43" i="25"/>
  <c r="E44" i="25"/>
  <c r="D51" i="25"/>
  <c r="E45" i="25"/>
  <c r="F45" i="25"/>
  <c r="I45" i="25"/>
  <c r="J45" i="25"/>
  <c r="I43" i="25"/>
  <c r="I44" i="25"/>
  <c r="J44" i="25"/>
  <c r="M43" i="25"/>
  <c r="N43" i="25"/>
  <c r="N51" i="25"/>
  <c r="M44" i="25"/>
  <c r="F20" i="25"/>
  <c r="N20" i="25"/>
  <c r="N28" i="25"/>
  <c r="E21" i="25"/>
  <c r="F21" i="25"/>
  <c r="I21" i="25"/>
  <c r="J21" i="25"/>
  <c r="N21" i="25"/>
  <c r="E22" i="25"/>
  <c r="F22" i="25"/>
  <c r="I22" i="25"/>
  <c r="J22" i="25"/>
  <c r="N22" i="25"/>
  <c r="E23" i="25"/>
  <c r="F23" i="25"/>
  <c r="I23" i="25"/>
  <c r="J23" i="25"/>
  <c r="N23" i="25"/>
  <c r="E24" i="25"/>
  <c r="F24" i="25"/>
  <c r="I24" i="25"/>
  <c r="J24" i="25"/>
  <c r="N24" i="25"/>
  <c r="E25" i="25"/>
  <c r="F25" i="25"/>
  <c r="I25" i="25"/>
  <c r="J25" i="25"/>
  <c r="N25" i="25"/>
  <c r="E26" i="25"/>
  <c r="F26" i="25"/>
  <c r="I26" i="25"/>
  <c r="J26" i="25"/>
  <c r="N26" i="25"/>
  <c r="E27" i="25"/>
  <c r="F27" i="25"/>
  <c r="I27" i="25"/>
  <c r="J27" i="25"/>
  <c r="N27" i="25"/>
  <c r="D28" i="25"/>
  <c r="F28" i="25"/>
  <c r="L28" i="25"/>
  <c r="M28" i="25"/>
  <c r="P28" i="25"/>
  <c r="Q28" i="25"/>
  <c r="J43" i="25"/>
  <c r="J51" i="25"/>
  <c r="P43" i="25"/>
  <c r="F44" i="25"/>
  <c r="N44" i="25"/>
  <c r="P44" i="25"/>
  <c r="N45" i="25"/>
  <c r="P45" i="25"/>
  <c r="F46" i="25"/>
  <c r="P46" i="25"/>
  <c r="F47" i="25"/>
  <c r="J47" i="25"/>
  <c r="N47" i="25"/>
  <c r="P47" i="25"/>
  <c r="F48" i="25"/>
  <c r="J48" i="25"/>
  <c r="N48" i="25"/>
  <c r="F49" i="25"/>
  <c r="J49" i="25"/>
  <c r="N49" i="25"/>
  <c r="P49" i="25"/>
  <c r="F50" i="25"/>
  <c r="J50" i="25"/>
  <c r="N50" i="25"/>
  <c r="P50" i="25"/>
  <c r="H51" i="25"/>
  <c r="L51" i="25"/>
  <c r="Q51" i="25"/>
  <c r="N4" i="23"/>
  <c r="N5" i="23"/>
  <c r="N6" i="23"/>
  <c r="N7" i="23"/>
  <c r="N8" i="23"/>
  <c r="N9" i="23"/>
  <c r="N10" i="23"/>
  <c r="N11" i="23"/>
  <c r="N12" i="23"/>
  <c r="N13" i="23"/>
  <c r="N14" i="23"/>
  <c r="N15" i="23"/>
  <c r="B16" i="23"/>
  <c r="B19" i="23"/>
  <c r="C16" i="23"/>
  <c r="C21" i="23"/>
  <c r="D16" i="23"/>
  <c r="D19" i="23"/>
  <c r="E16" i="23"/>
  <c r="E21" i="23"/>
  <c r="E23" i="23"/>
  <c r="F16" i="23"/>
  <c r="F19" i="23"/>
  <c r="G16" i="23"/>
  <c r="G21" i="23"/>
  <c r="G23" i="23"/>
  <c r="H16" i="23"/>
  <c r="H19" i="23"/>
  <c r="I16" i="23"/>
  <c r="I19" i="23"/>
  <c r="J16" i="23"/>
  <c r="J19" i="23"/>
  <c r="K16" i="23"/>
  <c r="K22" i="23"/>
  <c r="L16" i="23"/>
  <c r="L19" i="23"/>
  <c r="M16" i="23"/>
  <c r="M19" i="23"/>
  <c r="F21" i="23"/>
  <c r="F23" i="23"/>
  <c r="G22" i="23"/>
  <c r="N25" i="23"/>
  <c r="G27" i="23"/>
  <c r="B28" i="23"/>
  <c r="G28" i="23"/>
  <c r="F30" i="23"/>
  <c r="B36" i="23"/>
  <c r="C33" i="23"/>
  <c r="C36" i="23"/>
  <c r="N42" i="23"/>
  <c r="N43" i="23"/>
  <c r="N44" i="23"/>
  <c r="N45" i="23"/>
  <c r="N46" i="23"/>
  <c r="N50" i="23"/>
  <c r="N51" i="23"/>
  <c r="N52" i="23"/>
  <c r="N53" i="23"/>
  <c r="N54" i="23"/>
  <c r="D61" i="23"/>
  <c r="D62" i="23"/>
  <c r="F89" i="23"/>
  <c r="N60" i="23"/>
  <c r="N88" i="23"/>
  <c r="N89" i="23"/>
  <c r="M99" i="23"/>
  <c r="M100" i="23"/>
  <c r="N98" i="23"/>
  <c r="N101" i="23"/>
  <c r="N102" i="23"/>
  <c r="N103" i="23"/>
  <c r="N106" i="23"/>
  <c r="N105" i="23"/>
  <c r="N104" i="23"/>
  <c r="B110" i="23"/>
  <c r="C110" i="23"/>
  <c r="D110" i="23"/>
  <c r="E110" i="23"/>
  <c r="F110" i="23"/>
  <c r="G110" i="23"/>
  <c r="H110" i="23"/>
  <c r="I110" i="23"/>
  <c r="J110" i="23"/>
  <c r="K110" i="23"/>
  <c r="L110" i="23"/>
  <c r="M110" i="23"/>
  <c r="N111" i="23"/>
  <c r="N113" i="23"/>
  <c r="N114" i="23"/>
  <c r="N120" i="23"/>
  <c r="N121" i="23"/>
  <c r="N122" i="23"/>
  <c r="N123" i="23"/>
  <c r="N124" i="23"/>
  <c r="N125" i="23"/>
  <c r="N126" i="23"/>
  <c r="N127" i="23"/>
  <c r="N128" i="23"/>
  <c r="N129" i="23"/>
  <c r="N130" i="23"/>
  <c r="B131" i="23"/>
  <c r="B134" i="23"/>
  <c r="C131" i="23"/>
  <c r="C134" i="23"/>
  <c r="D131" i="23"/>
  <c r="D134" i="23"/>
  <c r="E131" i="23"/>
  <c r="E136" i="23"/>
  <c r="E138" i="23"/>
  <c r="F131" i="23"/>
  <c r="F134" i="23"/>
  <c r="G131" i="23"/>
  <c r="G134" i="23"/>
  <c r="H131" i="23"/>
  <c r="H134" i="23"/>
  <c r="I131" i="23"/>
  <c r="I134" i="23"/>
  <c r="J131" i="23"/>
  <c r="J134" i="23"/>
  <c r="K131" i="23"/>
  <c r="K134" i="23"/>
  <c r="L131" i="23"/>
  <c r="L134" i="23"/>
  <c r="M131" i="23"/>
  <c r="M136" i="23"/>
  <c r="M138" i="23"/>
  <c r="N140" i="23"/>
  <c r="N149" i="23"/>
  <c r="N150" i="23"/>
  <c r="B151" i="23"/>
  <c r="C148" i="23"/>
  <c r="C151" i="23"/>
  <c r="N151" i="23"/>
  <c r="B152" i="23"/>
  <c r="N157" i="23"/>
  <c r="N158" i="23"/>
  <c r="N159" i="23"/>
  <c r="B160" i="23"/>
  <c r="C160" i="23"/>
  <c r="D160" i="23"/>
  <c r="E160" i="23"/>
  <c r="F160" i="23"/>
  <c r="G160" i="23"/>
  <c r="H160" i="23"/>
  <c r="I160" i="23"/>
  <c r="J160" i="23"/>
  <c r="K160" i="23"/>
  <c r="L160" i="23"/>
  <c r="M160" i="23"/>
  <c r="N161" i="23"/>
  <c r="N162" i="23"/>
  <c r="N163" i="23"/>
  <c r="N164" i="23"/>
  <c r="N165" i="23"/>
  <c r="B166" i="23"/>
  <c r="C166" i="23"/>
  <c r="D166" i="23"/>
  <c r="E166" i="23"/>
  <c r="F166" i="23"/>
  <c r="G166" i="23"/>
  <c r="H166" i="23"/>
  <c r="I166" i="23"/>
  <c r="J166" i="23"/>
  <c r="K166" i="23"/>
  <c r="L166" i="23"/>
  <c r="M166" i="23"/>
  <c r="N167" i="23"/>
  <c r="N169" i="23"/>
  <c r="N176" i="23"/>
  <c r="N177" i="23"/>
  <c r="N178" i="23"/>
  <c r="N179" i="23"/>
  <c r="N180" i="23"/>
  <c r="N181" i="23"/>
  <c r="N182" i="23"/>
  <c r="N183" i="23"/>
  <c r="N184" i="23"/>
  <c r="N185" i="23"/>
  <c r="N186" i="23"/>
  <c r="B187" i="23"/>
  <c r="B192" i="23"/>
  <c r="C187" i="23"/>
  <c r="C192" i="23"/>
  <c r="D187" i="23"/>
  <c r="D192" i="23"/>
  <c r="D194" i="23"/>
  <c r="E187" i="23"/>
  <c r="E192" i="23"/>
  <c r="E194" i="23"/>
  <c r="F187" i="23"/>
  <c r="F192" i="23"/>
  <c r="F194" i="23"/>
  <c r="G187" i="23"/>
  <c r="G192" i="23"/>
  <c r="G194" i="23"/>
  <c r="H187" i="23"/>
  <c r="H198" i="23"/>
  <c r="I187" i="23"/>
  <c r="I198" i="23"/>
  <c r="J187" i="23"/>
  <c r="J198" i="23"/>
  <c r="K187" i="23"/>
  <c r="K192" i="23"/>
  <c r="K194" i="23"/>
  <c r="L187" i="23"/>
  <c r="L192" i="23"/>
  <c r="L194" i="23"/>
  <c r="M187" i="23"/>
  <c r="M192" i="23"/>
  <c r="M194" i="23"/>
  <c r="D190" i="23"/>
  <c r="N196" i="23"/>
  <c r="D198" i="23"/>
  <c r="N205" i="23"/>
  <c r="N206" i="23"/>
  <c r="B207" i="23"/>
  <c r="B208" i="23"/>
  <c r="N207" i="23"/>
  <c r="M218" i="23"/>
  <c r="M219" i="23"/>
  <c r="D222" i="23"/>
  <c r="D223" i="23"/>
  <c r="N233" i="23"/>
  <c r="N234" i="23"/>
  <c r="N235" i="23"/>
  <c r="B236" i="23"/>
  <c r="C236" i="23"/>
  <c r="D236" i="23"/>
  <c r="E236" i="23"/>
  <c r="F236" i="23"/>
  <c r="G236" i="23"/>
  <c r="H236" i="23"/>
  <c r="I236" i="23"/>
  <c r="J236" i="23"/>
  <c r="K236" i="23"/>
  <c r="L236" i="23"/>
  <c r="M236" i="23"/>
  <c r="N237" i="23"/>
  <c r="N239" i="23"/>
  <c r="N240" i="23"/>
  <c r="N247" i="23"/>
  <c r="N248" i="23"/>
  <c r="N249" i="23"/>
  <c r="N250" i="23"/>
  <c r="N251" i="23"/>
  <c r="N252" i="23"/>
  <c r="N253" i="23"/>
  <c r="N254" i="23"/>
  <c r="N255" i="23"/>
  <c r="N256" i="23"/>
  <c r="N257" i="23"/>
  <c r="B258" i="23"/>
  <c r="B263" i="23"/>
  <c r="B265" i="23"/>
  <c r="C258" i="23"/>
  <c r="C261" i="23"/>
  <c r="D258" i="23"/>
  <c r="D263" i="23"/>
  <c r="D265" i="23"/>
  <c r="E258" i="23"/>
  <c r="E263" i="23"/>
  <c r="E265" i="23"/>
  <c r="F258" i="23"/>
  <c r="F263" i="23"/>
  <c r="F265" i="23"/>
  <c r="G258" i="23"/>
  <c r="G263" i="23"/>
  <c r="G265" i="23"/>
  <c r="H258" i="23"/>
  <c r="H272" i="23"/>
  <c r="I258" i="23"/>
  <c r="I261" i="23"/>
  <c r="J258" i="23"/>
  <c r="J263" i="23"/>
  <c r="J265" i="23"/>
  <c r="K258" i="23"/>
  <c r="K261" i="23"/>
  <c r="L258" i="23"/>
  <c r="L270" i="23"/>
  <c r="M258" i="23"/>
  <c r="M261" i="23"/>
  <c r="N267" i="23"/>
  <c r="N276" i="23"/>
  <c r="N277" i="23"/>
  <c r="B278" i="23"/>
  <c r="B279" i="23"/>
  <c r="C278" i="23"/>
  <c r="C279" i="23"/>
  <c r="D278" i="23"/>
  <c r="D279" i="23"/>
  <c r="D280" i="23"/>
  <c r="E278" i="23"/>
  <c r="E279" i="23"/>
  <c r="F278" i="23"/>
  <c r="F279" i="23"/>
  <c r="G278" i="23"/>
  <c r="G279" i="23"/>
  <c r="H278" i="23"/>
  <c r="H279" i="23"/>
  <c r="I278" i="23"/>
  <c r="J275" i="23"/>
  <c r="J278" i="23"/>
  <c r="N278" i="23"/>
  <c r="D288" i="23"/>
  <c r="D289" i="23"/>
  <c r="N294" i="23"/>
  <c r="N296" i="23"/>
  <c r="N297" i="23"/>
  <c r="N298" i="23"/>
  <c r="N299" i="23"/>
  <c r="B300" i="23"/>
  <c r="C300" i="23"/>
  <c r="D300" i="23"/>
  <c r="E300" i="23"/>
  <c r="F300" i="23"/>
  <c r="G300" i="23"/>
  <c r="H300" i="23"/>
  <c r="I300" i="23"/>
  <c r="J300" i="23"/>
  <c r="K300" i="23"/>
  <c r="L300" i="23"/>
  <c r="M300" i="23"/>
  <c r="N301" i="23"/>
  <c r="N303" i="23"/>
  <c r="N304" i="23"/>
  <c r="F39" i="18"/>
  <c r="J39" i="18"/>
  <c r="J51" i="18"/>
  <c r="N39" i="18"/>
  <c r="N51" i="18"/>
  <c r="P39" i="18"/>
  <c r="F40" i="18"/>
  <c r="J40" i="18"/>
  <c r="N40" i="18"/>
  <c r="P40" i="18"/>
  <c r="F41" i="18"/>
  <c r="J41" i="18"/>
  <c r="N41" i="18"/>
  <c r="P41" i="18"/>
  <c r="F42" i="18"/>
  <c r="J42" i="18"/>
  <c r="N42" i="18"/>
  <c r="F43" i="18"/>
  <c r="J43" i="18"/>
  <c r="N43" i="18"/>
  <c r="P43" i="18"/>
  <c r="F44" i="18"/>
  <c r="J44" i="18"/>
  <c r="N44" i="18"/>
  <c r="F45" i="18"/>
  <c r="J45" i="18"/>
  <c r="N45" i="18"/>
  <c r="P45" i="18"/>
  <c r="F46" i="18"/>
  <c r="J46" i="18"/>
  <c r="N46" i="18"/>
  <c r="P46" i="18"/>
  <c r="F47" i="18"/>
  <c r="J47" i="18"/>
  <c r="N47" i="18"/>
  <c r="P47" i="18"/>
  <c r="F48" i="18"/>
  <c r="J48" i="18"/>
  <c r="N48" i="18"/>
  <c r="P48" i="18"/>
  <c r="F49" i="18"/>
  <c r="J49" i="18"/>
  <c r="N49" i="18"/>
  <c r="P49" i="18"/>
  <c r="F50" i="18"/>
  <c r="J50" i="18"/>
  <c r="N50" i="18"/>
  <c r="P50" i="18"/>
  <c r="D51" i="18"/>
  <c r="E51" i="18"/>
  <c r="H51" i="18"/>
  <c r="I51" i="18"/>
  <c r="L51" i="18"/>
  <c r="M51" i="18"/>
  <c r="Q51" i="18"/>
  <c r="I4" i="1"/>
  <c r="I9" i="1"/>
  <c r="I11" i="1"/>
  <c r="I13" i="1"/>
  <c r="I15" i="1"/>
  <c r="I17" i="1"/>
  <c r="I19" i="1"/>
  <c r="B20" i="1"/>
  <c r="C20" i="1"/>
  <c r="D20" i="1"/>
  <c r="E20" i="1"/>
  <c r="F20" i="1"/>
  <c r="G20" i="1"/>
  <c r="H20" i="1"/>
  <c r="I25" i="1"/>
  <c r="I27" i="1"/>
  <c r="I29" i="1"/>
  <c r="B30" i="1"/>
  <c r="C30" i="1"/>
  <c r="D30" i="1"/>
  <c r="E30" i="1"/>
  <c r="F30" i="1"/>
  <c r="G30" i="1"/>
  <c r="H30" i="1"/>
  <c r="I36" i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B65" i="1"/>
  <c r="C65" i="1"/>
  <c r="D65" i="1"/>
  <c r="E65" i="1"/>
  <c r="F65" i="1"/>
  <c r="G65" i="1"/>
  <c r="H65" i="1"/>
  <c r="I69" i="1"/>
  <c r="I71" i="1"/>
  <c r="I73" i="1"/>
  <c r="B74" i="1"/>
  <c r="C74" i="1"/>
  <c r="D74" i="1"/>
  <c r="E74" i="1"/>
  <c r="F74" i="1"/>
  <c r="G74" i="1"/>
  <c r="H74" i="1"/>
  <c r="I78" i="1"/>
  <c r="I80" i="1"/>
  <c r="I82" i="1"/>
  <c r="I84" i="1"/>
  <c r="I86" i="1"/>
  <c r="I88" i="1"/>
  <c r="B89" i="1"/>
  <c r="C89" i="1"/>
  <c r="D89" i="1"/>
  <c r="E89" i="1"/>
  <c r="F89" i="1"/>
  <c r="G89" i="1"/>
  <c r="H89" i="1"/>
  <c r="I93" i="1"/>
  <c r="I95" i="1"/>
  <c r="I97" i="1"/>
  <c r="B98" i="1"/>
  <c r="C98" i="1"/>
  <c r="D98" i="1"/>
  <c r="E98" i="1"/>
  <c r="F98" i="1"/>
  <c r="G98" i="1"/>
  <c r="H98" i="1"/>
  <c r="I102" i="1"/>
  <c r="I107" i="1"/>
  <c r="I112" i="1"/>
  <c r="I114" i="1"/>
  <c r="I116" i="1"/>
  <c r="B117" i="1"/>
  <c r="C117" i="1"/>
  <c r="D117" i="1"/>
  <c r="E117" i="1"/>
  <c r="F117" i="1"/>
  <c r="G117" i="1"/>
  <c r="H117" i="1"/>
  <c r="I122" i="1"/>
  <c r="I127" i="1"/>
  <c r="I135" i="1"/>
  <c r="I137" i="1"/>
  <c r="I139" i="1"/>
  <c r="I141" i="1"/>
  <c r="I143" i="1"/>
  <c r="B144" i="1"/>
  <c r="C144" i="1"/>
  <c r="D144" i="1"/>
  <c r="E144" i="1"/>
  <c r="F144" i="1"/>
  <c r="G144" i="1"/>
  <c r="H144" i="1"/>
  <c r="I153" i="1"/>
  <c r="I154" i="1"/>
  <c r="I155" i="1"/>
  <c r="I4" i="3"/>
  <c r="I8" i="3"/>
  <c r="I14" i="3"/>
  <c r="N15" i="3"/>
  <c r="I16" i="3"/>
  <c r="N16" i="3"/>
  <c r="I18" i="3"/>
  <c r="I20" i="3"/>
  <c r="N18" i="3"/>
  <c r="I24" i="3"/>
  <c r="N20" i="3"/>
  <c r="I22" i="3"/>
  <c r="B25" i="3"/>
  <c r="C25" i="3"/>
  <c r="D25" i="3"/>
  <c r="E25" i="3"/>
  <c r="F25" i="3"/>
  <c r="G25" i="3"/>
  <c r="H25" i="3"/>
  <c r="I29" i="3"/>
  <c r="I31" i="3"/>
  <c r="I33" i="3"/>
  <c r="M33" i="3"/>
  <c r="B34" i="3"/>
  <c r="C34" i="3"/>
  <c r="D34" i="3"/>
  <c r="E34" i="3"/>
  <c r="F34" i="3"/>
  <c r="G34" i="3"/>
  <c r="H34" i="3"/>
  <c r="I41" i="3"/>
  <c r="N41" i="3"/>
  <c r="I47" i="3"/>
  <c r="N42" i="3"/>
  <c r="I43" i="3"/>
  <c r="N46" i="3"/>
  <c r="I53" i="3"/>
  <c r="N43" i="3"/>
  <c r="I59" i="3"/>
  <c r="N44" i="3"/>
  <c r="I45" i="3"/>
  <c r="N51" i="3"/>
  <c r="I49" i="3"/>
  <c r="N47" i="3"/>
  <c r="I55" i="3"/>
  <c r="N48" i="3"/>
  <c r="I61" i="3"/>
  <c r="N49" i="3"/>
  <c r="I67" i="3"/>
  <c r="N50" i="3"/>
  <c r="I51" i="3"/>
  <c r="N52" i="3"/>
  <c r="I57" i="3"/>
  <c r="N53" i="3"/>
  <c r="I63" i="3"/>
  <c r="N54" i="3"/>
  <c r="I65" i="3"/>
  <c r="M66" i="3"/>
  <c r="I69" i="3"/>
  <c r="B70" i="3"/>
  <c r="C70" i="3"/>
  <c r="D70" i="3"/>
  <c r="E70" i="3"/>
  <c r="F70" i="3"/>
  <c r="G70" i="3"/>
  <c r="H70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I104" i="3"/>
  <c r="I106" i="3"/>
  <c r="B107" i="3"/>
  <c r="C107" i="3"/>
  <c r="D107" i="3"/>
  <c r="E107" i="3"/>
  <c r="F107" i="3"/>
  <c r="G107" i="3"/>
  <c r="H107" i="3"/>
  <c r="I114" i="3"/>
  <c r="I117" i="3"/>
  <c r="I123" i="3"/>
  <c r="G125" i="3"/>
  <c r="H125" i="3"/>
  <c r="I125" i="3"/>
  <c r="S127" i="3"/>
  <c r="I129" i="3"/>
  <c r="I131" i="3"/>
  <c r="N130" i="3"/>
  <c r="B132" i="3"/>
  <c r="C132" i="3"/>
  <c r="D132" i="3"/>
  <c r="E132" i="3"/>
  <c r="F132" i="3"/>
  <c r="G132" i="3"/>
  <c r="H132" i="3"/>
  <c r="I139" i="3"/>
  <c r="I141" i="3"/>
  <c r="N142" i="3"/>
  <c r="I143" i="3"/>
  <c r="B144" i="3"/>
  <c r="C144" i="3"/>
  <c r="D144" i="3"/>
  <c r="E144" i="3"/>
  <c r="F144" i="3"/>
  <c r="G144" i="3"/>
  <c r="H144" i="3"/>
  <c r="I151" i="3"/>
  <c r="I153" i="3"/>
  <c r="I155" i="3"/>
  <c r="I157" i="3"/>
  <c r="I159" i="3"/>
  <c r="I161" i="3"/>
  <c r="B162" i="3"/>
  <c r="C162" i="3"/>
  <c r="D162" i="3"/>
  <c r="E162" i="3"/>
  <c r="F162" i="3"/>
  <c r="G162" i="3"/>
  <c r="H162" i="3"/>
  <c r="S166" i="3"/>
  <c r="I169" i="3"/>
  <c r="N169" i="3"/>
  <c r="I171" i="3"/>
  <c r="N170" i="3"/>
  <c r="I173" i="3"/>
  <c r="N171" i="3"/>
  <c r="I175" i="3"/>
  <c r="N172" i="3"/>
  <c r="N173" i="3"/>
  <c r="I181" i="3"/>
  <c r="B182" i="3"/>
  <c r="C182" i="3"/>
  <c r="D182" i="3"/>
  <c r="E182" i="3"/>
  <c r="F182" i="3"/>
  <c r="G182" i="3"/>
  <c r="H182" i="3"/>
  <c r="S187" i="3"/>
  <c r="I190" i="3"/>
  <c r="N190" i="3"/>
  <c r="I192" i="3"/>
  <c r="N191" i="3"/>
  <c r="I194" i="3"/>
  <c r="N192" i="3"/>
  <c r="I196" i="3"/>
  <c r="I198" i="3"/>
  <c r="I200" i="3"/>
  <c r="I202" i="3"/>
  <c r="B203" i="3"/>
  <c r="C203" i="3"/>
  <c r="D203" i="3"/>
  <c r="E203" i="3"/>
  <c r="F203" i="3"/>
  <c r="G203" i="3"/>
  <c r="H203" i="3"/>
  <c r="I209" i="3"/>
  <c r="I211" i="3"/>
  <c r="I213" i="3"/>
  <c r="B214" i="3"/>
  <c r="C214" i="3"/>
  <c r="D214" i="3"/>
  <c r="E214" i="3"/>
  <c r="F214" i="3"/>
  <c r="G214" i="3"/>
  <c r="H214" i="3"/>
  <c r="I223" i="3"/>
  <c r="I224" i="3"/>
  <c r="I225" i="3"/>
  <c r="I236" i="3"/>
  <c r="I238" i="3"/>
  <c r="I240" i="3"/>
  <c r="I242" i="3"/>
  <c r="I244" i="3"/>
  <c r="I246" i="3"/>
  <c r="I248" i="3"/>
  <c r="I250" i="3"/>
  <c r="I252" i="3"/>
  <c r="I254" i="3"/>
  <c r="I256" i="3"/>
  <c r="I258" i="3"/>
  <c r="I260" i="3"/>
  <c r="I262" i="3"/>
  <c r="I264" i="3"/>
  <c r="B265" i="3"/>
  <c r="C265" i="3"/>
  <c r="D265" i="3"/>
  <c r="E265" i="3"/>
  <c r="F265" i="3"/>
  <c r="G265" i="3"/>
  <c r="H265" i="3"/>
  <c r="I4" i="2"/>
  <c r="G7" i="2"/>
  <c r="H7" i="2"/>
  <c r="I7" i="2"/>
  <c r="I11" i="2"/>
  <c r="G14" i="2"/>
  <c r="H14" i="2"/>
  <c r="I14" i="2"/>
  <c r="I36" i="2"/>
  <c r="I39" i="2"/>
  <c r="I42" i="2"/>
  <c r="I45" i="2"/>
  <c r="I48" i="2"/>
  <c r="I51" i="2"/>
  <c r="B53" i="2"/>
  <c r="C53" i="2"/>
  <c r="D53" i="2"/>
  <c r="E53" i="2"/>
  <c r="F53" i="2"/>
  <c r="G53" i="2"/>
  <c r="H53" i="2"/>
  <c r="I57" i="2"/>
  <c r="I60" i="2"/>
  <c r="I63" i="2"/>
  <c r="B65" i="2"/>
  <c r="C65" i="2"/>
  <c r="D65" i="2"/>
  <c r="E65" i="2"/>
  <c r="F65" i="2"/>
  <c r="G65" i="2"/>
  <c r="H65" i="2"/>
  <c r="I73" i="2"/>
  <c r="I76" i="2"/>
  <c r="I79" i="2"/>
  <c r="I82" i="2"/>
  <c r="I85" i="2"/>
  <c r="I88" i="2"/>
  <c r="I91" i="2"/>
  <c r="I94" i="2"/>
  <c r="I97" i="2"/>
  <c r="I100" i="2"/>
  <c r="I103" i="2"/>
  <c r="I106" i="2"/>
  <c r="I109" i="2"/>
  <c r="I112" i="2"/>
  <c r="I115" i="2"/>
  <c r="B116" i="2"/>
  <c r="C116" i="2"/>
  <c r="D116" i="2"/>
  <c r="E116" i="2"/>
  <c r="F116" i="2"/>
  <c r="G116" i="2"/>
  <c r="H116" i="2"/>
  <c r="I157" i="2"/>
  <c r="I162" i="2"/>
  <c r="B163" i="2"/>
  <c r="C163" i="2"/>
  <c r="D163" i="2"/>
  <c r="E163" i="2"/>
  <c r="F163" i="2"/>
  <c r="I169" i="2"/>
  <c r="G172" i="2"/>
  <c r="H172" i="2"/>
  <c r="I172" i="2"/>
  <c r="I184" i="2"/>
  <c r="I187" i="2"/>
  <c r="B189" i="2"/>
  <c r="C189" i="2"/>
  <c r="D189" i="2"/>
  <c r="E189" i="2"/>
  <c r="F189" i="2"/>
  <c r="G189" i="2"/>
  <c r="H189" i="2"/>
  <c r="I196" i="2"/>
  <c r="I199" i="2"/>
  <c r="I202" i="2"/>
  <c r="B204" i="2"/>
  <c r="C204" i="2"/>
  <c r="D204" i="2"/>
  <c r="E204" i="2"/>
  <c r="F204" i="2"/>
  <c r="G204" i="2"/>
  <c r="H204" i="2"/>
  <c r="I221" i="2"/>
  <c r="I224" i="2"/>
  <c r="I227" i="2"/>
  <c r="I230" i="2"/>
  <c r="I233" i="2"/>
  <c r="I236" i="2"/>
  <c r="B238" i="2"/>
  <c r="C238" i="2"/>
  <c r="D238" i="2"/>
  <c r="E238" i="2"/>
  <c r="F238" i="2"/>
  <c r="G238" i="2"/>
  <c r="H238" i="2"/>
  <c r="B247" i="2"/>
  <c r="C247" i="2"/>
  <c r="D247" i="2"/>
  <c r="E247" i="2"/>
  <c r="F247" i="2"/>
  <c r="G247" i="2"/>
  <c r="H247" i="2"/>
  <c r="G249" i="2"/>
  <c r="H249" i="2"/>
  <c r="I249" i="2"/>
  <c r="I257" i="2"/>
  <c r="I260" i="2"/>
  <c r="I263" i="2"/>
  <c r="I266" i="2"/>
  <c r="I269" i="2"/>
  <c r="I272" i="2"/>
  <c r="I275" i="2"/>
  <c r="B277" i="2"/>
  <c r="C277" i="2"/>
  <c r="D277" i="2"/>
  <c r="E277" i="2"/>
  <c r="F277" i="2"/>
  <c r="G277" i="2"/>
  <c r="H277" i="2"/>
  <c r="I291" i="2"/>
  <c r="I292" i="2"/>
  <c r="I293" i="2"/>
  <c r="N4" i="21"/>
  <c r="N5" i="21"/>
  <c r="N6" i="21"/>
  <c r="N7" i="21"/>
  <c r="N8" i="21"/>
  <c r="N9" i="21"/>
  <c r="N10" i="21"/>
  <c r="N11" i="21"/>
  <c r="N12" i="21"/>
  <c r="N13" i="21"/>
  <c r="N14" i="21"/>
  <c r="N15" i="21"/>
  <c r="B16" i="21"/>
  <c r="B21" i="21"/>
  <c r="B23" i="21"/>
  <c r="C16" i="21"/>
  <c r="C19" i="21"/>
  <c r="D16" i="21"/>
  <c r="D29" i="21"/>
  <c r="E16" i="21"/>
  <c r="E29" i="21"/>
  <c r="F16" i="21"/>
  <c r="F21" i="21"/>
  <c r="F23" i="21"/>
  <c r="G16" i="21"/>
  <c r="G28" i="21"/>
  <c r="H16" i="21"/>
  <c r="H19" i="21"/>
  <c r="I16" i="21"/>
  <c r="I29" i="21"/>
  <c r="J16" i="21"/>
  <c r="J28" i="21"/>
  <c r="K16" i="21"/>
  <c r="K27" i="21"/>
  <c r="L16" i="21"/>
  <c r="L28" i="21"/>
  <c r="M16" i="21"/>
  <c r="M30" i="21"/>
  <c r="N25" i="21"/>
  <c r="B36" i="21"/>
  <c r="C33" i="21"/>
  <c r="C36" i="21"/>
  <c r="N42" i="21"/>
  <c r="N43" i="21"/>
  <c r="N44" i="21"/>
  <c r="N45" i="21"/>
  <c r="N46" i="21"/>
  <c r="N50" i="21"/>
  <c r="N51" i="21"/>
  <c r="N52" i="21"/>
  <c r="N53" i="21"/>
  <c r="N54" i="21"/>
  <c r="F89" i="21"/>
  <c r="N60" i="21"/>
  <c r="N88" i="21"/>
  <c r="N89" i="21"/>
  <c r="D61" i="21"/>
  <c r="D62" i="21"/>
  <c r="N98" i="21"/>
  <c r="N101" i="21"/>
  <c r="N102" i="21"/>
  <c r="N103" i="21"/>
  <c r="N104" i="21"/>
  <c r="N105" i="21"/>
  <c r="B107" i="21"/>
  <c r="C107" i="21"/>
  <c r="D107" i="21"/>
  <c r="E107" i="21"/>
  <c r="F107" i="21"/>
  <c r="G107" i="21"/>
  <c r="H107" i="21"/>
  <c r="I107" i="21"/>
  <c r="J107" i="21"/>
  <c r="K107" i="21"/>
  <c r="L107" i="21"/>
  <c r="M107" i="21"/>
  <c r="N108" i="21"/>
  <c r="N110" i="21"/>
  <c r="N111" i="21"/>
  <c r="N117" i="21"/>
  <c r="N118" i="21"/>
  <c r="N119" i="21"/>
  <c r="N120" i="21"/>
  <c r="N121" i="21"/>
  <c r="N122" i="21"/>
  <c r="N123" i="21"/>
  <c r="N124" i="21"/>
  <c r="N125" i="21"/>
  <c r="N126" i="21"/>
  <c r="N127" i="21"/>
  <c r="B128" i="21"/>
  <c r="B140" i="21"/>
  <c r="C128" i="21"/>
  <c r="C142" i="21"/>
  <c r="D128" i="21"/>
  <c r="D139" i="21"/>
  <c r="E128" i="21"/>
  <c r="E131" i="21"/>
  <c r="F128" i="21"/>
  <c r="F133" i="21"/>
  <c r="F135" i="21"/>
  <c r="G128" i="21"/>
  <c r="G131" i="21"/>
  <c r="H128" i="21"/>
  <c r="H142" i="21"/>
  <c r="I128" i="21"/>
  <c r="I139" i="21"/>
  <c r="J128" i="21"/>
  <c r="J142" i="21"/>
  <c r="K128" i="21"/>
  <c r="K131" i="21"/>
  <c r="L128" i="21"/>
  <c r="L140" i="21"/>
  <c r="M128" i="21"/>
  <c r="M141" i="21"/>
  <c r="N137" i="21"/>
  <c r="M140" i="21"/>
  <c r="B148" i="21"/>
  <c r="C145" i="21"/>
  <c r="C148" i="21"/>
  <c r="D145" i="21"/>
  <c r="D148" i="21"/>
  <c r="N146" i="21"/>
  <c r="N147" i="21"/>
  <c r="N148" i="21"/>
  <c r="N154" i="21"/>
  <c r="N155" i="21"/>
  <c r="N156" i="21"/>
  <c r="B157" i="21"/>
  <c r="C157" i="21"/>
  <c r="D157" i="21"/>
  <c r="E157" i="21"/>
  <c r="F157" i="21"/>
  <c r="G157" i="21"/>
  <c r="H157" i="21"/>
  <c r="I157" i="21"/>
  <c r="J157" i="21"/>
  <c r="K157" i="21"/>
  <c r="L157" i="21"/>
  <c r="M157" i="21"/>
  <c r="N158" i="21"/>
  <c r="N159" i="21"/>
  <c r="N160" i="21"/>
  <c r="N161" i="21"/>
  <c r="N162" i="21"/>
  <c r="B163" i="21"/>
  <c r="C163" i="21"/>
  <c r="D163" i="21"/>
  <c r="E163" i="21"/>
  <c r="F163" i="21"/>
  <c r="G163" i="21"/>
  <c r="H163" i="21"/>
  <c r="I163" i="21"/>
  <c r="J163" i="21"/>
  <c r="K163" i="21"/>
  <c r="L163" i="21"/>
  <c r="M163" i="21"/>
  <c r="N164" i="21"/>
  <c r="N166" i="21"/>
  <c r="N173" i="21"/>
  <c r="N174" i="21"/>
  <c r="N175" i="21"/>
  <c r="N176" i="21"/>
  <c r="N177" i="21"/>
  <c r="N178" i="21"/>
  <c r="N179" i="21"/>
  <c r="N180" i="21"/>
  <c r="N181" i="21"/>
  <c r="N182" i="21"/>
  <c r="N183" i="21"/>
  <c r="B184" i="21"/>
  <c r="B187" i="21"/>
  <c r="C184" i="21"/>
  <c r="C196" i="21"/>
  <c r="D184" i="21"/>
  <c r="D197" i="21"/>
  <c r="E184" i="21"/>
  <c r="E190" i="21"/>
  <c r="F184" i="21"/>
  <c r="F190" i="21"/>
  <c r="G184" i="21"/>
  <c r="G196" i="21"/>
  <c r="H184" i="21"/>
  <c r="H187" i="21"/>
  <c r="I184" i="21"/>
  <c r="I187" i="21"/>
  <c r="J184" i="21"/>
  <c r="J189" i="21"/>
  <c r="J191" i="21"/>
  <c r="K184" i="21"/>
  <c r="K195" i="21"/>
  <c r="L184" i="21"/>
  <c r="L187" i="21"/>
  <c r="M184" i="21"/>
  <c r="M195" i="21"/>
  <c r="H189" i="21"/>
  <c r="H191" i="21"/>
  <c r="N193" i="21"/>
  <c r="B204" i="21"/>
  <c r="C201" i="21"/>
  <c r="C204" i="21"/>
  <c r="N202" i="21"/>
  <c r="N203" i="21"/>
  <c r="N204" i="21"/>
  <c r="M215" i="21"/>
  <c r="M216" i="21"/>
  <c r="D219" i="21"/>
  <c r="D220" i="21"/>
  <c r="N230" i="21"/>
  <c r="N231" i="21"/>
  <c r="N232" i="21"/>
  <c r="B233" i="21"/>
  <c r="C233" i="21"/>
  <c r="D233" i="21"/>
  <c r="E233" i="21"/>
  <c r="F233" i="21"/>
  <c r="G233" i="21"/>
  <c r="H233" i="21"/>
  <c r="I233" i="21"/>
  <c r="J233" i="21"/>
  <c r="K233" i="21"/>
  <c r="L233" i="21"/>
  <c r="M233" i="21"/>
  <c r="N234" i="21"/>
  <c r="N236" i="21"/>
  <c r="N237" i="21"/>
  <c r="N244" i="21"/>
  <c r="N245" i="21"/>
  <c r="N246" i="21"/>
  <c r="N247" i="21"/>
  <c r="N248" i="21"/>
  <c r="N249" i="21"/>
  <c r="N250" i="21"/>
  <c r="N251" i="21"/>
  <c r="N252" i="21"/>
  <c r="N253" i="21"/>
  <c r="N254" i="21"/>
  <c r="B255" i="21"/>
  <c r="B260" i="21"/>
  <c r="B262" i="21"/>
  <c r="C255" i="21"/>
  <c r="C269" i="21"/>
  <c r="D255" i="21"/>
  <c r="D268" i="21"/>
  <c r="E255" i="21"/>
  <c r="E267" i="21"/>
  <c r="F255" i="21"/>
  <c r="F260" i="21"/>
  <c r="F262" i="21"/>
  <c r="G255" i="21"/>
  <c r="G267" i="21"/>
  <c r="H255" i="21"/>
  <c r="H258" i="21"/>
  <c r="I255" i="21"/>
  <c r="I268" i="21"/>
  <c r="J255" i="21"/>
  <c r="J267" i="21"/>
  <c r="K255" i="21"/>
  <c r="K266" i="21"/>
  <c r="L255" i="21"/>
  <c r="L267" i="21"/>
  <c r="M255" i="21"/>
  <c r="M268" i="21"/>
  <c r="N264" i="21"/>
  <c r="I275" i="21"/>
  <c r="J272" i="21"/>
  <c r="J275" i="21"/>
  <c r="N273" i="21"/>
  <c r="N274" i="21"/>
  <c r="B275" i="21"/>
  <c r="B276" i="21"/>
  <c r="C275" i="21"/>
  <c r="C276" i="21"/>
  <c r="D275" i="21"/>
  <c r="D276" i="21"/>
  <c r="D277" i="21"/>
  <c r="E275" i="21"/>
  <c r="E276" i="21"/>
  <c r="F275" i="21"/>
  <c r="F276" i="21"/>
  <c r="G275" i="21"/>
  <c r="G276" i="21"/>
  <c r="H275" i="21"/>
  <c r="H276" i="21"/>
  <c r="N275" i="21"/>
  <c r="D285" i="21"/>
  <c r="D286" i="21"/>
  <c r="B290" i="21"/>
  <c r="B292" i="21"/>
  <c r="N291" i="21"/>
  <c r="N293" i="21"/>
  <c r="N294" i="21"/>
  <c r="N295" i="21"/>
  <c r="N296" i="21"/>
  <c r="B297" i="21"/>
  <c r="C297" i="21"/>
  <c r="D297" i="21"/>
  <c r="E297" i="21"/>
  <c r="F297" i="21"/>
  <c r="G297" i="21"/>
  <c r="H297" i="21"/>
  <c r="I297" i="21"/>
  <c r="J297" i="21"/>
  <c r="K297" i="21"/>
  <c r="L297" i="21"/>
  <c r="M297" i="21"/>
  <c r="N298" i="21"/>
  <c r="N300" i="21"/>
  <c r="N301" i="21"/>
  <c r="L271" i="23"/>
  <c r="M199" i="23"/>
  <c r="I199" i="23"/>
  <c r="E199" i="23"/>
  <c r="M193" i="23"/>
  <c r="M200" i="23"/>
  <c r="K193" i="23"/>
  <c r="K200" i="23"/>
  <c r="I193" i="23"/>
  <c r="G190" i="23"/>
  <c r="G198" i="23"/>
  <c r="E190" i="23"/>
  <c r="E198" i="23"/>
  <c r="C193" i="23"/>
  <c r="C200" i="23"/>
  <c r="J144" i="23"/>
  <c r="F144" i="23"/>
  <c r="B144" i="23"/>
  <c r="J142" i="23"/>
  <c r="F142" i="23"/>
  <c r="B142" i="23"/>
  <c r="J137" i="23"/>
  <c r="F137" i="23"/>
  <c r="B137" i="23"/>
  <c r="J136" i="23"/>
  <c r="J138" i="23"/>
  <c r="B37" i="23"/>
  <c r="C272" i="23"/>
  <c r="E271" i="23"/>
  <c r="K270" i="23"/>
  <c r="E270" i="23"/>
  <c r="G269" i="23"/>
  <c r="M264" i="23"/>
  <c r="K263" i="23"/>
  <c r="K265" i="23"/>
  <c r="F143" i="23"/>
  <c r="H136" i="23"/>
  <c r="H138" i="23"/>
  <c r="G30" i="23"/>
  <c r="G29" i="23"/>
  <c r="M27" i="23"/>
  <c r="E261" i="23"/>
  <c r="C271" i="23"/>
  <c r="I269" i="23"/>
  <c r="C264" i="23"/>
  <c r="B145" i="23"/>
  <c r="K30" i="23"/>
  <c r="E30" i="23"/>
  <c r="E29" i="23"/>
  <c r="I28" i="23"/>
  <c r="K27" i="23"/>
  <c r="C22" i="23"/>
  <c r="M29" i="23"/>
  <c r="I22" i="23"/>
  <c r="K21" i="23"/>
  <c r="K23" i="23"/>
  <c r="K271" i="23"/>
  <c r="E269" i="23"/>
  <c r="L145" i="23"/>
  <c r="L143" i="23"/>
  <c r="I136" i="23"/>
  <c r="I138" i="23"/>
  <c r="M272" i="23"/>
  <c r="G264" i="23"/>
  <c r="C201" i="23"/>
  <c r="H145" i="23"/>
  <c r="K19" i="23"/>
  <c r="I272" i="23"/>
  <c r="E28" i="23"/>
  <c r="E27" i="23"/>
  <c r="G201" i="23"/>
  <c r="B136" i="23"/>
  <c r="B138" i="23"/>
  <c r="K201" i="23"/>
  <c r="D136" i="23"/>
  <c r="C194" i="23"/>
  <c r="B99" i="23"/>
  <c r="B100" i="23"/>
  <c r="B112" i="23"/>
  <c r="B115" i="23"/>
  <c r="E99" i="23"/>
  <c r="E100" i="23"/>
  <c r="I99" i="23"/>
  <c r="I100" i="23"/>
  <c r="I192" i="23"/>
  <c r="I194" i="23"/>
  <c r="I263" i="23"/>
  <c r="D290" i="21"/>
  <c r="D292" i="21"/>
  <c r="D299" i="21"/>
  <c r="D302" i="21"/>
  <c r="F99" i="23"/>
  <c r="F100" i="23"/>
  <c r="F112" i="23"/>
  <c r="F115" i="23"/>
  <c r="J99" i="23"/>
  <c r="J100" i="23"/>
  <c r="J112" i="23"/>
  <c r="J115" i="23"/>
  <c r="C99" i="23"/>
  <c r="C100" i="23"/>
  <c r="N249" i="26"/>
  <c r="N196" i="26"/>
  <c r="B189" i="21"/>
  <c r="B191" i="21"/>
  <c r="M131" i="21"/>
  <c r="J190" i="23"/>
  <c r="M144" i="23"/>
  <c r="F199" i="23"/>
  <c r="L201" i="23"/>
  <c r="M28" i="21"/>
  <c r="C139" i="21"/>
  <c r="L196" i="21"/>
  <c r="E27" i="21"/>
  <c r="L27" i="23"/>
  <c r="B261" i="23"/>
  <c r="E30" i="21"/>
  <c r="I131" i="21"/>
  <c r="I22" i="21"/>
  <c r="F197" i="21"/>
  <c r="F270" i="23"/>
  <c r="K28" i="21"/>
  <c r="B198" i="23"/>
  <c r="G142" i="23"/>
  <c r="D193" i="23"/>
  <c r="D28" i="23"/>
  <c r="J201" i="23"/>
  <c r="J193" i="23"/>
  <c r="H22" i="23"/>
  <c r="F261" i="23"/>
  <c r="N141" i="26"/>
  <c r="N197" i="26"/>
  <c r="N140" i="26"/>
  <c r="L283" i="26"/>
  <c r="L286" i="26"/>
  <c r="K287" i="26"/>
  <c r="B313" i="26"/>
  <c r="N303" i="26"/>
  <c r="N310" i="26"/>
  <c r="N313" i="26"/>
  <c r="E37" i="26"/>
  <c r="E210" i="26"/>
  <c r="F206" i="26"/>
  <c r="F209" i="26"/>
  <c r="N274" i="26"/>
  <c r="N24" i="26"/>
  <c r="G154" i="26"/>
  <c r="G155" i="26"/>
  <c r="H153" i="26"/>
  <c r="N241" i="26"/>
  <c r="N273" i="26"/>
  <c r="E197" i="21"/>
  <c r="B19" i="21"/>
  <c r="H267" i="21"/>
  <c r="L142" i="21"/>
  <c r="J269" i="21"/>
  <c r="C198" i="21"/>
  <c r="C287" i="2"/>
  <c r="C288" i="2"/>
  <c r="N236" i="23"/>
  <c r="I28" i="21"/>
  <c r="C27" i="21"/>
  <c r="I141" i="21"/>
  <c r="M134" i="21"/>
  <c r="M29" i="21"/>
  <c r="E142" i="21"/>
  <c r="I112" i="23"/>
  <c r="I115" i="23"/>
  <c r="K21" i="21"/>
  <c r="K23" i="21"/>
  <c r="E134" i="21"/>
  <c r="H261" i="23"/>
  <c r="M142" i="23"/>
  <c r="K145" i="23"/>
  <c r="E142" i="23"/>
  <c r="F200" i="23"/>
  <c r="D21" i="23"/>
  <c r="D23" i="23"/>
  <c r="C142" i="23"/>
  <c r="J192" i="23"/>
  <c r="J194" i="23"/>
  <c r="H270" i="23"/>
  <c r="L28" i="23"/>
  <c r="G137" i="23"/>
  <c r="G144" i="23"/>
  <c r="H200" i="23"/>
  <c r="N16" i="23"/>
  <c r="D27" i="23"/>
  <c r="H29" i="23"/>
  <c r="D261" i="23"/>
  <c r="J271" i="23"/>
  <c r="I214" i="3"/>
  <c r="G216" i="3"/>
  <c r="H216" i="3"/>
  <c r="I216" i="3"/>
  <c r="C148" i="1"/>
  <c r="H290" i="21"/>
  <c r="H292" i="21"/>
  <c r="H299" i="21"/>
  <c r="H302" i="21"/>
  <c r="F141" i="21"/>
  <c r="J22" i="21"/>
  <c r="L269" i="21"/>
  <c r="C187" i="21"/>
  <c r="K197" i="21"/>
  <c r="F290" i="21"/>
  <c r="F292" i="21"/>
  <c r="F299" i="21"/>
  <c r="F302" i="21"/>
  <c r="G198" i="21"/>
  <c r="H266" i="21"/>
  <c r="L21" i="21"/>
  <c r="L23" i="21"/>
  <c r="N166" i="23"/>
  <c r="C112" i="23"/>
  <c r="C115" i="23"/>
  <c r="G290" i="21"/>
  <c r="G292" i="21"/>
  <c r="G299" i="21"/>
  <c r="G302" i="21"/>
  <c r="H30" i="23"/>
  <c r="I270" i="23"/>
  <c r="D133" i="21"/>
  <c r="D135" i="21"/>
  <c r="L134" i="21"/>
  <c r="F28" i="21"/>
  <c r="D27" i="21"/>
  <c r="F269" i="21"/>
  <c r="J258" i="21"/>
  <c r="M198" i="21"/>
  <c r="E112" i="23"/>
  <c r="E115" i="23"/>
  <c r="G272" i="23"/>
  <c r="C145" i="23"/>
  <c r="G261" i="23"/>
  <c r="L30" i="23"/>
  <c r="B190" i="23"/>
  <c r="B200" i="23"/>
  <c r="G271" i="23"/>
  <c r="L19" i="21"/>
  <c r="E134" i="23"/>
  <c r="M143" i="23"/>
  <c r="M134" i="23"/>
  <c r="I137" i="23"/>
  <c r="G143" i="23"/>
  <c r="F198" i="23"/>
  <c r="K264" i="23"/>
  <c r="C270" i="23"/>
  <c r="K272" i="23"/>
  <c r="M269" i="23"/>
  <c r="L21" i="23"/>
  <c r="L23" i="23"/>
  <c r="J21" i="23"/>
  <c r="J23" i="23"/>
  <c r="C136" i="23"/>
  <c r="C138" i="23"/>
  <c r="E143" i="23"/>
  <c r="H190" i="23"/>
  <c r="J200" i="23"/>
  <c r="M263" i="23"/>
  <c r="M265" i="23"/>
  <c r="I264" i="23"/>
  <c r="I271" i="23"/>
  <c r="L193" i="23"/>
  <c r="I145" i="23"/>
  <c r="H199" i="23"/>
  <c r="C263" i="23"/>
  <c r="C265" i="23"/>
  <c r="E264" i="23"/>
  <c r="C269" i="23"/>
  <c r="K269" i="23"/>
  <c r="G270" i="23"/>
  <c r="M270" i="23"/>
  <c r="M271" i="23"/>
  <c r="E272" i="23"/>
  <c r="D22" i="23"/>
  <c r="L22" i="23"/>
  <c r="H27" i="23"/>
  <c r="D29" i="23"/>
  <c r="L29" i="23"/>
  <c r="N187" i="23"/>
  <c r="C204" i="23"/>
  <c r="C207" i="23"/>
  <c r="C208" i="23"/>
  <c r="I197" i="21"/>
  <c r="H261" i="21"/>
  <c r="I132" i="3"/>
  <c r="G134" i="3"/>
  <c r="H134" i="3"/>
  <c r="I134" i="3"/>
  <c r="G220" i="3"/>
  <c r="G221" i="3"/>
  <c r="H148" i="1"/>
  <c r="D201" i="23"/>
  <c r="M112" i="23"/>
  <c r="M115" i="23"/>
  <c r="J270" i="23"/>
  <c r="L99" i="23"/>
  <c r="L100" i="23"/>
  <c r="L112" i="23"/>
  <c r="L115" i="23"/>
  <c r="H99" i="23"/>
  <c r="H100" i="23"/>
  <c r="H112" i="23"/>
  <c r="H115" i="23"/>
  <c r="D99" i="23"/>
  <c r="D100" i="23"/>
  <c r="D112" i="23"/>
  <c r="D115" i="23"/>
  <c r="E22" i="23"/>
  <c r="E22" i="21"/>
  <c r="K260" i="21"/>
  <c r="K262" i="21"/>
  <c r="C28" i="21"/>
  <c r="G140" i="21"/>
  <c r="I133" i="21"/>
  <c r="I135" i="21"/>
  <c r="K133" i="21"/>
  <c r="K135" i="21"/>
  <c r="M142" i="21"/>
  <c r="D195" i="21"/>
  <c r="E19" i="23"/>
  <c r="I21" i="21"/>
  <c r="I23" i="21"/>
  <c r="I30" i="21"/>
  <c r="G22" i="21"/>
  <c r="G30" i="21"/>
  <c r="C141" i="21"/>
  <c r="C133" i="21"/>
  <c r="C135" i="21"/>
  <c r="K99" i="23"/>
  <c r="K100" i="23"/>
  <c r="G99" i="23"/>
  <c r="G100" i="23"/>
  <c r="D196" i="21"/>
  <c r="B143" i="23"/>
  <c r="D143" i="23"/>
  <c r="F145" i="23"/>
  <c r="K141" i="21"/>
  <c r="E140" i="21"/>
  <c r="B190" i="21"/>
  <c r="L189" i="21"/>
  <c r="L191" i="21"/>
  <c r="I27" i="23"/>
  <c r="I29" i="23"/>
  <c r="I201" i="23"/>
  <c r="I21" i="23"/>
  <c r="I23" i="23"/>
  <c r="L136" i="23"/>
  <c r="L138" i="23"/>
  <c r="L272" i="23"/>
  <c r="J143" i="23"/>
  <c r="J145" i="23"/>
  <c r="G29" i="21"/>
  <c r="M28" i="23"/>
  <c r="C19" i="23"/>
  <c r="C27" i="23"/>
  <c r="K28" i="23"/>
  <c r="K29" i="23"/>
  <c r="I30" i="23"/>
  <c r="D145" i="23"/>
  <c r="J272" i="23"/>
  <c r="M22" i="23"/>
  <c r="C28" i="23"/>
  <c r="C29" i="23"/>
  <c r="C30" i="23"/>
  <c r="M30" i="23"/>
  <c r="H143" i="23"/>
  <c r="E201" i="23"/>
  <c r="I28" i="25"/>
  <c r="M21" i="23"/>
  <c r="M23" i="23"/>
  <c r="F136" i="23"/>
  <c r="F138" i="23"/>
  <c r="D137" i="23"/>
  <c r="H137" i="23"/>
  <c r="L137" i="23"/>
  <c r="D142" i="23"/>
  <c r="H142" i="23"/>
  <c r="L142" i="23"/>
  <c r="D144" i="23"/>
  <c r="H144" i="23"/>
  <c r="L144" i="23"/>
  <c r="C198" i="23"/>
  <c r="C190" i="23"/>
  <c r="E200" i="23"/>
  <c r="E193" i="23"/>
  <c r="G200" i="23"/>
  <c r="G193" i="23"/>
  <c r="I200" i="23"/>
  <c r="I190" i="23"/>
  <c r="K198" i="23"/>
  <c r="K190" i="23"/>
  <c r="M198" i="23"/>
  <c r="M190" i="23"/>
  <c r="C199" i="23"/>
  <c r="G199" i="23"/>
  <c r="K199" i="23"/>
  <c r="B37" i="21"/>
  <c r="B269" i="23"/>
  <c r="D269" i="23"/>
  <c r="F269" i="23"/>
  <c r="H269" i="23"/>
  <c r="J264" i="23"/>
  <c r="L264" i="23"/>
  <c r="I277" i="2"/>
  <c r="G279" i="2"/>
  <c r="H279" i="2"/>
  <c r="I279" i="2"/>
  <c r="I265" i="3"/>
  <c r="G267" i="3"/>
  <c r="H267" i="3"/>
  <c r="I267" i="3"/>
  <c r="I107" i="3"/>
  <c r="G109" i="3"/>
  <c r="H109" i="3"/>
  <c r="I109" i="3"/>
  <c r="N56" i="3"/>
  <c r="O60" i="3"/>
  <c r="M62" i="3"/>
  <c r="P62" i="3"/>
  <c r="M64" i="3"/>
  <c r="I144" i="1"/>
  <c r="G148" i="1"/>
  <c r="E149" i="1"/>
  <c r="I65" i="1"/>
  <c r="D148" i="1"/>
  <c r="I20" i="1"/>
  <c r="P51" i="18"/>
  <c r="F22" i="21"/>
  <c r="L290" i="21"/>
  <c r="L292" i="21"/>
  <c r="L299" i="21"/>
  <c r="L302" i="21"/>
  <c r="I290" i="21"/>
  <c r="I292" i="21"/>
  <c r="I299" i="21"/>
  <c r="I302" i="21"/>
  <c r="B131" i="21"/>
  <c r="D141" i="21"/>
  <c r="H131" i="21"/>
  <c r="L141" i="21"/>
  <c r="G195" i="21"/>
  <c r="J19" i="21"/>
  <c r="L258" i="21"/>
  <c r="F19" i="21"/>
  <c r="J133" i="21"/>
  <c r="J135" i="21"/>
  <c r="C197" i="21"/>
  <c r="K187" i="21"/>
  <c r="M187" i="21"/>
  <c r="F267" i="21"/>
  <c r="H269" i="21"/>
  <c r="J266" i="21"/>
  <c r="G197" i="21"/>
  <c r="B22" i="21"/>
  <c r="B261" i="21"/>
  <c r="F266" i="21"/>
  <c r="Q129" i="3"/>
  <c r="O131" i="3"/>
  <c r="Q131" i="3"/>
  <c r="H268" i="21"/>
  <c r="B149" i="21"/>
  <c r="E187" i="21"/>
  <c r="M196" i="21"/>
  <c r="I70" i="3"/>
  <c r="M190" i="21"/>
  <c r="F261" i="21"/>
  <c r="M168" i="23"/>
  <c r="M170" i="23"/>
  <c r="K168" i="23"/>
  <c r="K170" i="23"/>
  <c r="B299" i="21"/>
  <c r="B302" i="21"/>
  <c r="N160" i="23"/>
  <c r="N168" i="23"/>
  <c r="N170" i="23"/>
  <c r="E287" i="2"/>
  <c r="E288" i="2"/>
  <c r="I163" i="2"/>
  <c r="G165" i="2"/>
  <c r="H165" i="2"/>
  <c r="I165" i="2"/>
  <c r="I116" i="2"/>
  <c r="G118" i="2"/>
  <c r="H118" i="2"/>
  <c r="I118" i="2"/>
  <c r="I162" i="3"/>
  <c r="G164" i="3"/>
  <c r="H164" i="3"/>
  <c r="I164" i="3"/>
  <c r="I34" i="3"/>
  <c r="E220" i="3"/>
  <c r="E221" i="3"/>
  <c r="C220" i="3"/>
  <c r="C221" i="3"/>
  <c r="I25" i="3"/>
  <c r="M35" i="3"/>
  <c r="F148" i="1"/>
  <c r="B148" i="1"/>
  <c r="I74" i="1"/>
  <c r="I30" i="1"/>
  <c r="D30" i="23"/>
  <c r="B270" i="23"/>
  <c r="I196" i="21"/>
  <c r="J290" i="21"/>
  <c r="J292" i="21"/>
  <c r="J299" i="21"/>
  <c r="J302" i="21"/>
  <c r="K290" i="21"/>
  <c r="K292" i="21"/>
  <c r="E290" i="21"/>
  <c r="E292" i="21"/>
  <c r="E299" i="21"/>
  <c r="E302" i="21"/>
  <c r="M290" i="21"/>
  <c r="M292" i="21"/>
  <c r="M299" i="21"/>
  <c r="M302" i="21"/>
  <c r="C290" i="21"/>
  <c r="C292" i="21"/>
  <c r="C299" i="21"/>
  <c r="C302" i="21"/>
  <c r="B272" i="23"/>
  <c r="E19" i="21"/>
  <c r="E21" i="21"/>
  <c r="E23" i="21"/>
  <c r="I19" i="21"/>
  <c r="I27" i="21"/>
  <c r="E198" i="21"/>
  <c r="E189" i="21"/>
  <c r="E191" i="21"/>
  <c r="G189" i="21"/>
  <c r="G191" i="21"/>
  <c r="C29" i="21"/>
  <c r="C21" i="21"/>
  <c r="C23" i="21"/>
  <c r="M27" i="21"/>
  <c r="G139" i="21"/>
  <c r="I140" i="21"/>
  <c r="I142" i="21"/>
  <c r="K139" i="21"/>
  <c r="K134" i="21"/>
  <c r="M133" i="21"/>
  <c r="M135" i="21"/>
  <c r="M139" i="21"/>
  <c r="L268" i="21"/>
  <c r="M21" i="21"/>
  <c r="M23" i="21"/>
  <c r="G21" i="21"/>
  <c r="G23" i="21"/>
  <c r="M19" i="21"/>
  <c r="M22" i="21"/>
  <c r="C131" i="21"/>
  <c r="C134" i="21"/>
  <c r="E133" i="21"/>
  <c r="E135" i="21"/>
  <c r="E139" i="21"/>
  <c r="C195" i="21"/>
  <c r="C190" i="21"/>
  <c r="C189" i="21"/>
  <c r="C191" i="21"/>
  <c r="K190" i="21"/>
  <c r="K189" i="21"/>
  <c r="K191" i="21"/>
  <c r="M197" i="21"/>
  <c r="M189" i="21"/>
  <c r="M191" i="21"/>
  <c r="F268" i="21"/>
  <c r="F258" i="21"/>
  <c r="H260" i="21"/>
  <c r="H262" i="21"/>
  <c r="J261" i="21"/>
  <c r="J268" i="21"/>
  <c r="G190" i="21"/>
  <c r="G187" i="21"/>
  <c r="C144" i="23"/>
  <c r="I198" i="21"/>
  <c r="L266" i="21"/>
  <c r="K112" i="23"/>
  <c r="K115" i="23"/>
  <c r="G112" i="23"/>
  <c r="G115" i="23"/>
  <c r="J28" i="23"/>
  <c r="C137" i="23"/>
  <c r="E145" i="23"/>
  <c r="K140" i="21"/>
  <c r="K142" i="21"/>
  <c r="B267" i="21"/>
  <c r="I203" i="3"/>
  <c r="C140" i="21"/>
  <c r="E141" i="21"/>
  <c r="D266" i="21"/>
  <c r="H28" i="23"/>
  <c r="J30" i="23"/>
  <c r="K143" i="23"/>
  <c r="D270" i="23"/>
  <c r="K137" i="23"/>
  <c r="M145" i="23"/>
  <c r="F193" i="23"/>
  <c r="B199" i="23"/>
  <c r="B201" i="23"/>
  <c r="D272" i="23"/>
  <c r="J260" i="21"/>
  <c r="J262" i="21"/>
  <c r="C22" i="21"/>
  <c r="I134" i="21"/>
  <c r="E195" i="21"/>
  <c r="D261" i="21"/>
  <c r="I143" i="23"/>
  <c r="I144" i="23"/>
  <c r="L263" i="23"/>
  <c r="L265" i="23"/>
  <c r="G136" i="23"/>
  <c r="G138" i="23"/>
  <c r="G139" i="23"/>
  <c r="K136" i="23"/>
  <c r="K138" i="23"/>
  <c r="M137" i="23"/>
  <c r="K142" i="23"/>
  <c r="K144" i="23"/>
  <c r="H193" i="23"/>
  <c r="D199" i="23"/>
  <c r="F201" i="23"/>
  <c r="N258" i="23"/>
  <c r="E196" i="21"/>
  <c r="F190" i="23"/>
  <c r="B21" i="23"/>
  <c r="B23" i="23"/>
  <c r="H21" i="23"/>
  <c r="H23" i="23"/>
  <c r="E137" i="23"/>
  <c r="C143" i="23"/>
  <c r="E144" i="23"/>
  <c r="H192" i="23"/>
  <c r="H194" i="23"/>
  <c r="J195" i="23"/>
  <c r="J199" i="23"/>
  <c r="H201" i="23"/>
  <c r="H263" i="23"/>
  <c r="H265" i="23"/>
  <c r="F272" i="23"/>
  <c r="L190" i="23"/>
  <c r="F28" i="23"/>
  <c r="B30" i="23"/>
  <c r="I142" i="23"/>
  <c r="G145" i="23"/>
  <c r="B193" i="23"/>
  <c r="L198" i="23"/>
  <c r="L199" i="23"/>
  <c r="L200" i="23"/>
  <c r="N131" i="23"/>
  <c r="B22" i="23"/>
  <c r="F22" i="23"/>
  <c r="J22" i="23"/>
  <c r="B27" i="23"/>
  <c r="F27" i="23"/>
  <c r="J27" i="23"/>
  <c r="B29" i="23"/>
  <c r="F29" i="23"/>
  <c r="J29" i="23"/>
  <c r="I279" i="23"/>
  <c r="I190" i="21"/>
  <c r="I195" i="21"/>
  <c r="B271" i="23"/>
  <c r="B264" i="23"/>
  <c r="D271" i="23"/>
  <c r="D264" i="23"/>
  <c r="F271" i="23"/>
  <c r="F264" i="23"/>
  <c r="H271" i="23"/>
  <c r="H264" i="23"/>
  <c r="J269" i="23"/>
  <c r="J261" i="23"/>
  <c r="L269" i="23"/>
  <c r="L261" i="23"/>
  <c r="L260" i="21"/>
  <c r="L262" i="21"/>
  <c r="L261" i="21"/>
  <c r="M165" i="21"/>
  <c r="M167" i="21"/>
  <c r="K165" i="21"/>
  <c r="K167" i="21"/>
  <c r="I165" i="21"/>
  <c r="I167" i="21"/>
  <c r="G165" i="21"/>
  <c r="G167" i="21"/>
  <c r="E165" i="21"/>
  <c r="E167" i="21"/>
  <c r="C165" i="21"/>
  <c r="C167" i="21"/>
  <c r="D200" i="23"/>
  <c r="L168" i="23"/>
  <c r="L170" i="23"/>
  <c r="G19" i="23"/>
  <c r="M260" i="21"/>
  <c r="M262" i="21"/>
  <c r="B133" i="21"/>
  <c r="B135" i="21"/>
  <c r="E268" i="21"/>
  <c r="J190" i="21"/>
  <c r="H141" i="21"/>
  <c r="H22" i="21"/>
  <c r="H196" i="21"/>
  <c r="F29" i="21"/>
  <c r="I260" i="21"/>
  <c r="I262" i="21"/>
  <c r="D19" i="21"/>
  <c r="B29" i="21"/>
  <c r="H133" i="21"/>
  <c r="H135" i="21"/>
  <c r="J136" i="21"/>
  <c r="C261" i="21"/>
  <c r="I168" i="23"/>
  <c r="I170" i="23"/>
  <c r="G168" i="23"/>
  <c r="G170" i="23"/>
  <c r="E168" i="23"/>
  <c r="E170" i="23"/>
  <c r="C168" i="23"/>
  <c r="C170" i="23"/>
  <c r="C152" i="23"/>
  <c r="D148" i="23"/>
  <c r="D151" i="23"/>
  <c r="D152" i="23"/>
  <c r="D153" i="23"/>
  <c r="N297" i="21"/>
  <c r="N233" i="21"/>
  <c r="N163" i="21"/>
  <c r="N107" i="21"/>
  <c r="H168" i="23"/>
  <c r="H170" i="23"/>
  <c r="D168" i="23"/>
  <c r="D170" i="23"/>
  <c r="G24" i="23"/>
  <c r="C23" i="23"/>
  <c r="N300" i="23"/>
  <c r="K299" i="21"/>
  <c r="K302" i="21"/>
  <c r="B134" i="21"/>
  <c r="D142" i="21"/>
  <c r="D140" i="21"/>
  <c r="F140" i="21"/>
  <c r="F142" i="21"/>
  <c r="H140" i="21"/>
  <c r="L139" i="21"/>
  <c r="L131" i="21"/>
  <c r="I267" i="21"/>
  <c r="K269" i="21"/>
  <c r="J21" i="21"/>
  <c r="J23" i="21"/>
  <c r="J27" i="21"/>
  <c r="D30" i="21"/>
  <c r="B28" i="21"/>
  <c r="B198" i="21"/>
  <c r="J140" i="21"/>
  <c r="B142" i="21"/>
  <c r="B196" i="21"/>
  <c r="G258" i="21"/>
  <c r="B30" i="21"/>
  <c r="J196" i="21"/>
  <c r="L133" i="21"/>
  <c r="L135" i="21"/>
  <c r="E261" i="21"/>
  <c r="C260" i="21"/>
  <c r="C262" i="21"/>
  <c r="G261" i="21"/>
  <c r="L197" i="21"/>
  <c r="H27" i="21"/>
  <c r="J29" i="21"/>
  <c r="F195" i="21"/>
  <c r="M261" i="21"/>
  <c r="L190" i="21"/>
  <c r="I276" i="21"/>
  <c r="F189" i="21"/>
  <c r="F191" i="21"/>
  <c r="M269" i="21"/>
  <c r="C258" i="21"/>
  <c r="L30" i="21"/>
  <c r="J141" i="21"/>
  <c r="I189" i="2"/>
  <c r="G191" i="2"/>
  <c r="H191" i="2"/>
  <c r="I191" i="2"/>
  <c r="I65" i="2"/>
  <c r="G10" i="3"/>
  <c r="H10" i="3"/>
  <c r="I10" i="3"/>
  <c r="F51" i="18"/>
  <c r="C37" i="21"/>
  <c r="D33" i="21"/>
  <c r="D36" i="21"/>
  <c r="E33" i="21"/>
  <c r="E36" i="21"/>
  <c r="E37" i="21"/>
  <c r="M51" i="25"/>
  <c r="I51" i="25"/>
  <c r="D204" i="23"/>
  <c r="D207" i="23"/>
  <c r="I261" i="21"/>
  <c r="K258" i="21"/>
  <c r="M266" i="21"/>
  <c r="D198" i="21"/>
  <c r="E260" i="21"/>
  <c r="E262" i="21"/>
  <c r="J134" i="21"/>
  <c r="J139" i="21"/>
  <c r="F187" i="21"/>
  <c r="F198" i="21"/>
  <c r="B139" i="21"/>
  <c r="B141" i="21"/>
  <c r="B195" i="21"/>
  <c r="N184" i="21"/>
  <c r="B197" i="21"/>
  <c r="E266" i="21"/>
  <c r="G268" i="21"/>
  <c r="D187" i="21"/>
  <c r="H195" i="21"/>
  <c r="J197" i="21"/>
  <c r="D138" i="23"/>
  <c r="D139" i="23"/>
  <c r="E258" i="21"/>
  <c r="E269" i="21"/>
  <c r="H139" i="21"/>
  <c r="H197" i="21"/>
  <c r="K19" i="21"/>
  <c r="K29" i="21"/>
  <c r="N16" i="21"/>
  <c r="C30" i="21"/>
  <c r="J131" i="21"/>
  <c r="H198" i="21"/>
  <c r="H190" i="21"/>
  <c r="K30" i="21"/>
  <c r="L195" i="21"/>
  <c r="L198" i="21"/>
  <c r="J187" i="21"/>
  <c r="L29" i="21"/>
  <c r="L22" i="21"/>
  <c r="E28" i="21"/>
  <c r="K22" i="21"/>
  <c r="F196" i="21"/>
  <c r="L27" i="21"/>
  <c r="H134" i="21"/>
  <c r="B205" i="21"/>
  <c r="J195" i="21"/>
  <c r="L165" i="21"/>
  <c r="L167" i="21"/>
  <c r="J165" i="21"/>
  <c r="J167" i="21"/>
  <c r="H165" i="21"/>
  <c r="H167" i="21"/>
  <c r="F165" i="21"/>
  <c r="F167" i="21"/>
  <c r="G119" i="3"/>
  <c r="H119" i="3"/>
  <c r="I119" i="3"/>
  <c r="I156" i="1"/>
  <c r="G277" i="21"/>
  <c r="D293" i="23"/>
  <c r="D295" i="23"/>
  <c r="D302" i="23"/>
  <c r="D305" i="23"/>
  <c r="H293" i="23"/>
  <c r="H295" i="23"/>
  <c r="H302" i="23"/>
  <c r="H305" i="23"/>
  <c r="L293" i="23"/>
  <c r="L295" i="23"/>
  <c r="L302" i="23"/>
  <c r="L305" i="23"/>
  <c r="E293" i="23"/>
  <c r="E295" i="23"/>
  <c r="E302" i="23"/>
  <c r="E305" i="23"/>
  <c r="I293" i="23"/>
  <c r="I295" i="23"/>
  <c r="I302" i="23"/>
  <c r="I305" i="23"/>
  <c r="M293" i="23"/>
  <c r="M295" i="23"/>
  <c r="M302" i="23"/>
  <c r="M305" i="23"/>
  <c r="F293" i="23"/>
  <c r="F295" i="23"/>
  <c r="F302" i="23"/>
  <c r="F305" i="23"/>
  <c r="J293" i="23"/>
  <c r="J295" i="23"/>
  <c r="J302" i="23"/>
  <c r="J305" i="23"/>
  <c r="C293" i="23"/>
  <c r="C295" i="23"/>
  <c r="C302" i="23"/>
  <c r="C305" i="23"/>
  <c r="G293" i="23"/>
  <c r="G295" i="23"/>
  <c r="G302" i="23"/>
  <c r="G305" i="23"/>
  <c r="K293" i="23"/>
  <c r="K295" i="23"/>
  <c r="K302" i="23"/>
  <c r="K305" i="23"/>
  <c r="B293" i="23"/>
  <c r="B295" i="23"/>
  <c r="J139" i="23"/>
  <c r="G266" i="23"/>
  <c r="J198" i="21"/>
  <c r="I189" i="21"/>
  <c r="I191" i="21"/>
  <c r="J192" i="21"/>
  <c r="D165" i="21"/>
  <c r="D167" i="21"/>
  <c r="B165" i="21"/>
  <c r="B167" i="21"/>
  <c r="I294" i="2"/>
  <c r="N21" i="3"/>
  <c r="O25" i="3"/>
  <c r="M27" i="3"/>
  <c r="D266" i="23"/>
  <c r="G195" i="23"/>
  <c r="I117" i="1"/>
  <c r="K272" i="21"/>
  <c r="K275" i="21"/>
  <c r="J276" i="21"/>
  <c r="D227" i="21"/>
  <c r="H227" i="21"/>
  <c r="C227" i="21"/>
  <c r="K227" i="21"/>
  <c r="I227" i="21"/>
  <c r="G227" i="21"/>
  <c r="F227" i="21"/>
  <c r="L227" i="21"/>
  <c r="K275" i="23"/>
  <c r="K278" i="23"/>
  <c r="L275" i="23"/>
  <c r="L278" i="23"/>
  <c r="J279" i="23"/>
  <c r="G230" i="23"/>
  <c r="F230" i="23"/>
  <c r="C230" i="23"/>
  <c r="D230" i="23"/>
  <c r="H230" i="23"/>
  <c r="J230" i="23"/>
  <c r="E230" i="23"/>
  <c r="M230" i="23"/>
  <c r="L230" i="23"/>
  <c r="K230" i="23"/>
  <c r="I230" i="23"/>
  <c r="B230" i="23"/>
  <c r="D33" i="23"/>
  <c r="D36" i="23"/>
  <c r="D37" i="23"/>
  <c r="D38" i="23"/>
  <c r="C37" i="23"/>
  <c r="G280" i="23"/>
  <c r="F228" i="21"/>
  <c r="E228" i="21"/>
  <c r="M228" i="21"/>
  <c r="J228" i="21"/>
  <c r="L228" i="21"/>
  <c r="H228" i="21"/>
  <c r="C228" i="21"/>
  <c r="I228" i="21"/>
  <c r="B228" i="21"/>
  <c r="K228" i="21"/>
  <c r="G228" i="21"/>
  <c r="D228" i="21"/>
  <c r="D201" i="21"/>
  <c r="D204" i="21"/>
  <c r="E201" i="21"/>
  <c r="E204" i="21"/>
  <c r="C205" i="21"/>
  <c r="H99" i="21"/>
  <c r="H100" i="21"/>
  <c r="H109" i="21"/>
  <c r="H112" i="21"/>
  <c r="J99" i="21"/>
  <c r="J100" i="21"/>
  <c r="J109" i="21"/>
  <c r="J112" i="21"/>
  <c r="E99" i="21"/>
  <c r="E100" i="21"/>
  <c r="E109" i="21"/>
  <c r="E112" i="21"/>
  <c r="G99" i="21"/>
  <c r="G100" i="21"/>
  <c r="G109" i="21"/>
  <c r="G112" i="21"/>
  <c r="M99" i="21"/>
  <c r="M100" i="21"/>
  <c r="M109" i="21"/>
  <c r="M112" i="21"/>
  <c r="B99" i="21"/>
  <c r="D99" i="21"/>
  <c r="D100" i="21"/>
  <c r="D109" i="21"/>
  <c r="D112" i="21"/>
  <c r="F99" i="21"/>
  <c r="F100" i="21"/>
  <c r="F109" i="21"/>
  <c r="F112" i="21"/>
  <c r="L99" i="21"/>
  <c r="L100" i="21"/>
  <c r="L109" i="21"/>
  <c r="L112" i="21"/>
  <c r="C99" i="21"/>
  <c r="C100" i="21"/>
  <c r="C109" i="21"/>
  <c r="C112" i="21"/>
  <c r="I99" i="21"/>
  <c r="I100" i="21"/>
  <c r="I109" i="21"/>
  <c r="I112" i="21"/>
  <c r="K99" i="21"/>
  <c r="K100" i="21"/>
  <c r="K109" i="21"/>
  <c r="K112" i="21"/>
  <c r="C231" i="23"/>
  <c r="M231" i="23"/>
  <c r="K231" i="23"/>
  <c r="B231" i="23"/>
  <c r="F231" i="23"/>
  <c r="F232" i="23"/>
  <c r="F238" i="23"/>
  <c r="F241" i="23"/>
  <c r="D231" i="23"/>
  <c r="H231" i="23"/>
  <c r="J231" i="23"/>
  <c r="L231" i="23"/>
  <c r="G231" i="23"/>
  <c r="I231" i="23"/>
  <c r="E231" i="23"/>
  <c r="B194" i="23"/>
  <c r="D195" i="23"/>
  <c r="N195" i="3"/>
  <c r="Q189" i="3"/>
  <c r="O191" i="3"/>
  <c r="Q191" i="3"/>
  <c r="O193" i="3"/>
  <c r="S193" i="3"/>
  <c r="S195" i="3"/>
  <c r="S203" i="3"/>
  <c r="N157" i="21"/>
  <c r="I182" i="3"/>
  <c r="I144" i="3"/>
  <c r="M201" i="23"/>
  <c r="J168" i="23"/>
  <c r="J170" i="23"/>
  <c r="F168" i="23"/>
  <c r="F170" i="23"/>
  <c r="B168" i="23"/>
  <c r="B170" i="23"/>
  <c r="P51" i="25"/>
  <c r="N99" i="23"/>
  <c r="N100" i="23"/>
  <c r="M195" i="23"/>
  <c r="E51" i="25"/>
  <c r="F51" i="25"/>
  <c r="N110" i="23"/>
  <c r="I265" i="23"/>
  <c r="J266" i="23"/>
  <c r="D149" i="21"/>
  <c r="D150" i="21"/>
  <c r="E145" i="21"/>
  <c r="E148" i="21"/>
  <c r="E148" i="23"/>
  <c r="E151" i="23"/>
  <c r="M24" i="21"/>
  <c r="G149" i="1"/>
  <c r="G150" i="1"/>
  <c r="C267" i="21"/>
  <c r="C268" i="21"/>
  <c r="C266" i="21"/>
  <c r="D189" i="21"/>
  <c r="D190" i="21"/>
  <c r="G134" i="21"/>
  <c r="G142" i="21"/>
  <c r="G133" i="21"/>
  <c r="G135" i="21"/>
  <c r="G141" i="21"/>
  <c r="G19" i="21"/>
  <c r="G27" i="21"/>
  <c r="D21" i="21"/>
  <c r="D28" i="21"/>
  <c r="D22" i="21"/>
  <c r="C149" i="21"/>
  <c r="K267" i="21"/>
  <c r="G266" i="21"/>
  <c r="F131" i="21"/>
  <c r="B27" i="21"/>
  <c r="J30" i="21"/>
  <c r="G287" i="2"/>
  <c r="G288" i="2"/>
  <c r="B287" i="2"/>
  <c r="B288" i="2"/>
  <c r="I53" i="2"/>
  <c r="I226" i="3"/>
  <c r="H220" i="3"/>
  <c r="H221" i="3"/>
  <c r="F220" i="3"/>
  <c r="F221" i="3"/>
  <c r="D220" i="3"/>
  <c r="D221" i="3"/>
  <c r="B220" i="3"/>
  <c r="B221" i="3"/>
  <c r="I89" i="1"/>
  <c r="M258" i="21"/>
  <c r="M267" i="21"/>
  <c r="K261" i="21"/>
  <c r="K268" i="21"/>
  <c r="I258" i="21"/>
  <c r="I269" i="21"/>
  <c r="I266" i="21"/>
  <c r="G260" i="21"/>
  <c r="G262" i="21"/>
  <c r="G269" i="21"/>
  <c r="D258" i="21"/>
  <c r="D269" i="21"/>
  <c r="D260" i="21"/>
  <c r="D267" i="21"/>
  <c r="B266" i="21"/>
  <c r="B258" i="21"/>
  <c r="B269" i="21"/>
  <c r="B268" i="21"/>
  <c r="N255" i="21"/>
  <c r="M227" i="21"/>
  <c r="E227" i="21"/>
  <c r="B227" i="21"/>
  <c r="J227" i="21"/>
  <c r="K196" i="21"/>
  <c r="K198" i="21"/>
  <c r="F139" i="21"/>
  <c r="F134" i="21"/>
  <c r="D131" i="21"/>
  <c r="D134" i="21"/>
  <c r="H28" i="21"/>
  <c r="H30" i="21"/>
  <c r="H21" i="21"/>
  <c r="H23" i="21"/>
  <c r="H29" i="21"/>
  <c r="F27" i="21"/>
  <c r="F30" i="21"/>
  <c r="N128" i="21"/>
  <c r="I238" i="2"/>
  <c r="G240" i="2"/>
  <c r="H240" i="2"/>
  <c r="I240" i="2"/>
  <c r="I204" i="2"/>
  <c r="G206" i="2"/>
  <c r="H206" i="2"/>
  <c r="I206" i="2"/>
  <c r="H287" i="2"/>
  <c r="H288" i="2"/>
  <c r="F287" i="2"/>
  <c r="F288" i="2"/>
  <c r="D287" i="2"/>
  <c r="D288" i="2"/>
  <c r="N174" i="3"/>
  <c r="Q168" i="3"/>
  <c r="O170" i="3"/>
  <c r="Q170" i="3"/>
  <c r="O172" i="3"/>
  <c r="S172" i="3"/>
  <c r="S174" i="3"/>
  <c r="S182" i="3"/>
  <c r="I98" i="1"/>
  <c r="E148" i="1"/>
  <c r="N134" i="23"/>
  <c r="N29" i="23"/>
  <c r="M192" i="21"/>
  <c r="N28" i="23"/>
  <c r="N145" i="23"/>
  <c r="N198" i="23"/>
  <c r="J24" i="21"/>
  <c r="N139" i="21"/>
  <c r="N261" i="21"/>
  <c r="N19" i="21"/>
  <c r="G136" i="21"/>
  <c r="B149" i="1"/>
  <c r="H149" i="1"/>
  <c r="H150" i="1"/>
  <c r="F33" i="21"/>
  <c r="F36" i="21"/>
  <c r="F37" i="21"/>
  <c r="N271" i="23"/>
  <c r="N270" i="23"/>
  <c r="E150" i="1"/>
  <c r="F149" i="1"/>
  <c r="F150" i="1"/>
  <c r="C149" i="1"/>
  <c r="C150" i="1"/>
  <c r="D149" i="1"/>
  <c r="D150" i="1"/>
  <c r="D37" i="21"/>
  <c r="D38" i="21"/>
  <c r="J24" i="23"/>
  <c r="J263" i="21"/>
  <c r="G36" i="3"/>
  <c r="H36" i="3"/>
  <c r="I36" i="3"/>
  <c r="N200" i="23"/>
  <c r="M139" i="23"/>
  <c r="N139" i="23"/>
  <c r="M266" i="23"/>
  <c r="N266" i="23"/>
  <c r="M24" i="23"/>
  <c r="L287" i="26"/>
  <c r="M283" i="26"/>
  <c r="M286" i="26"/>
  <c r="F37" i="26"/>
  <c r="I150" i="26"/>
  <c r="I153" i="26"/>
  <c r="H154" i="26"/>
  <c r="G206" i="26"/>
  <c r="G209" i="26"/>
  <c r="F210" i="26"/>
  <c r="N141" i="21"/>
  <c r="N263" i="23"/>
  <c r="N292" i="21"/>
  <c r="N192" i="23"/>
  <c r="N19" i="23"/>
  <c r="N197" i="21"/>
  <c r="N196" i="21"/>
  <c r="M136" i="21"/>
  <c r="N30" i="23"/>
  <c r="K229" i="21"/>
  <c r="K235" i="21"/>
  <c r="K238" i="21"/>
  <c r="E33" i="23"/>
  <c r="E36" i="23"/>
  <c r="F33" i="23"/>
  <c r="F36" i="23"/>
  <c r="K279" i="23"/>
  <c r="P27" i="3"/>
  <c r="M29" i="3"/>
  <c r="F229" i="21"/>
  <c r="F235" i="21"/>
  <c r="F238" i="21"/>
  <c r="P64" i="3"/>
  <c r="P66" i="3"/>
  <c r="R66" i="3"/>
  <c r="O68" i="3"/>
  <c r="N140" i="21"/>
  <c r="N137" i="23"/>
  <c r="M229" i="21"/>
  <c r="M235" i="21"/>
  <c r="M238" i="21"/>
  <c r="N142" i="21"/>
  <c r="N190" i="21"/>
  <c r="D136" i="21"/>
  <c r="N112" i="23"/>
  <c r="N115" i="23"/>
  <c r="N299" i="21"/>
  <c r="N302" i="21"/>
  <c r="N165" i="21"/>
  <c r="N167" i="21"/>
  <c r="J277" i="21"/>
  <c r="M263" i="21"/>
  <c r="N22" i="23"/>
  <c r="N142" i="23"/>
  <c r="N261" i="23"/>
  <c r="N264" i="23"/>
  <c r="N265" i="23"/>
  <c r="N27" i="23"/>
  <c r="N199" i="23"/>
  <c r="G24" i="21"/>
  <c r="G72" i="3"/>
  <c r="H72" i="3"/>
  <c r="I72" i="3"/>
  <c r="M68" i="3"/>
  <c r="P68" i="3"/>
  <c r="N29" i="21"/>
  <c r="N134" i="21"/>
  <c r="N198" i="21"/>
  <c r="G263" i="21"/>
  <c r="N22" i="21"/>
  <c r="N290" i="21"/>
  <c r="N201" i="23"/>
  <c r="J280" i="23"/>
  <c r="G192" i="21"/>
  <c r="N190" i="23"/>
  <c r="N144" i="23"/>
  <c r="N195" i="23"/>
  <c r="N272" i="23"/>
  <c r="D205" i="21"/>
  <c r="D206" i="21"/>
  <c r="D24" i="23"/>
  <c r="N24" i="23"/>
  <c r="J229" i="21"/>
  <c r="J235" i="21"/>
  <c r="J238" i="21"/>
  <c r="E229" i="21"/>
  <c r="E235" i="21"/>
  <c r="E238" i="21"/>
  <c r="N21" i="23"/>
  <c r="N193" i="23"/>
  <c r="N143" i="23"/>
  <c r="N269" i="23"/>
  <c r="P203" i="3"/>
  <c r="G205" i="3"/>
  <c r="H205" i="3"/>
  <c r="I205" i="3"/>
  <c r="U203" i="3"/>
  <c r="N187" i="21"/>
  <c r="N136" i="23"/>
  <c r="N228" i="21"/>
  <c r="N30" i="21"/>
  <c r="N232" i="23"/>
  <c r="N131" i="21"/>
  <c r="J232" i="23"/>
  <c r="J238" i="23"/>
  <c r="J241" i="23"/>
  <c r="N293" i="23"/>
  <c r="N195" i="21"/>
  <c r="E204" i="23"/>
  <c r="E207" i="23"/>
  <c r="D208" i="23"/>
  <c r="D209" i="23"/>
  <c r="P182" i="3"/>
  <c r="U182" i="3"/>
  <c r="G184" i="3"/>
  <c r="H184" i="3"/>
  <c r="I184" i="3"/>
  <c r="B100" i="21"/>
  <c r="B109" i="21"/>
  <c r="B112" i="21"/>
  <c r="N99" i="21"/>
  <c r="N100" i="21"/>
  <c r="N109" i="21"/>
  <c r="N112" i="21"/>
  <c r="L272" i="21"/>
  <c r="L275" i="21"/>
  <c r="K276" i="21"/>
  <c r="N28" i="21"/>
  <c r="N231" i="23"/>
  <c r="I232" i="23"/>
  <c r="I238" i="23"/>
  <c r="I241" i="23"/>
  <c r="L232" i="23"/>
  <c r="L238" i="23"/>
  <c r="L241" i="23"/>
  <c r="E232" i="23"/>
  <c r="E238" i="23"/>
  <c r="E241" i="23"/>
  <c r="H232" i="23"/>
  <c r="H238" i="23"/>
  <c r="H241" i="23"/>
  <c r="C232" i="23"/>
  <c r="C238" i="23"/>
  <c r="C241" i="23"/>
  <c r="G232" i="23"/>
  <c r="G238" i="23"/>
  <c r="G241" i="23"/>
  <c r="I229" i="21"/>
  <c r="I235" i="21"/>
  <c r="I238" i="21"/>
  <c r="C229" i="21"/>
  <c r="C235" i="21"/>
  <c r="C238" i="21"/>
  <c r="D229" i="21"/>
  <c r="D235" i="21"/>
  <c r="D238" i="21"/>
  <c r="G146" i="3"/>
  <c r="H146" i="3"/>
  <c r="I146" i="3"/>
  <c r="I220" i="3"/>
  <c r="I221" i="3"/>
  <c r="J222" i="3"/>
  <c r="N230" i="23"/>
  <c r="B232" i="23"/>
  <c r="B238" i="23"/>
  <c r="N269" i="21"/>
  <c r="N266" i="21"/>
  <c r="K232" i="23"/>
  <c r="K238" i="23"/>
  <c r="K241" i="23"/>
  <c r="M232" i="23"/>
  <c r="M238" i="23"/>
  <c r="M241" i="23"/>
  <c r="D232" i="23"/>
  <c r="D238" i="23"/>
  <c r="D241" i="23"/>
  <c r="L229" i="21"/>
  <c r="L235" i="21"/>
  <c r="L238" i="21"/>
  <c r="G229" i="21"/>
  <c r="G235" i="21"/>
  <c r="G238" i="21"/>
  <c r="H229" i="21"/>
  <c r="H235" i="21"/>
  <c r="H238" i="21"/>
  <c r="D262" i="21"/>
  <c r="D263" i="21"/>
  <c r="N260" i="21"/>
  <c r="G67" i="2"/>
  <c r="H67" i="2"/>
  <c r="I67" i="2"/>
  <c r="I287" i="2"/>
  <c r="I288" i="2"/>
  <c r="I297" i="2"/>
  <c r="D23" i="21"/>
  <c r="D24" i="21"/>
  <c r="N21" i="21"/>
  <c r="D191" i="21"/>
  <c r="D192" i="21"/>
  <c r="N189" i="21"/>
  <c r="F201" i="21"/>
  <c r="F204" i="21"/>
  <c r="E205" i="21"/>
  <c r="G33" i="21"/>
  <c r="G36" i="21"/>
  <c r="I148" i="1"/>
  <c r="N27" i="21"/>
  <c r="B150" i="1"/>
  <c r="N133" i="21"/>
  <c r="B229" i="21"/>
  <c r="B235" i="21"/>
  <c r="N227" i="21"/>
  <c r="N229" i="21"/>
  <c r="B302" i="23"/>
  <c r="B305" i="23"/>
  <c r="N295" i="23"/>
  <c r="N302" i="23"/>
  <c r="N305" i="23"/>
  <c r="M275" i="23"/>
  <c r="M278" i="23"/>
  <c r="L279" i="23"/>
  <c r="F148" i="23"/>
  <c r="F151" i="23"/>
  <c r="E152" i="23"/>
  <c r="F145" i="21"/>
  <c r="F148" i="21"/>
  <c r="E149" i="21"/>
  <c r="N268" i="21"/>
  <c r="N258" i="21"/>
  <c r="N267" i="21"/>
  <c r="N262" i="21"/>
  <c r="I149" i="1"/>
  <c r="E37" i="23"/>
  <c r="P29" i="3"/>
  <c r="P33" i="3"/>
  <c r="R33" i="3"/>
  <c r="O35" i="3"/>
  <c r="P35" i="3"/>
  <c r="I150" i="1"/>
  <c r="I159" i="1"/>
  <c r="N192" i="21"/>
  <c r="N194" i="23"/>
  <c r="N136" i="21"/>
  <c r="N138" i="23"/>
  <c r="N283" i="26"/>
  <c r="M287" i="26"/>
  <c r="M288" i="26"/>
  <c r="G37" i="26"/>
  <c r="G38" i="26"/>
  <c r="G210" i="26"/>
  <c r="G211" i="26"/>
  <c r="H206" i="26"/>
  <c r="H209" i="26"/>
  <c r="I154" i="26"/>
  <c r="J150" i="26"/>
  <c r="J153" i="26"/>
  <c r="N191" i="21"/>
  <c r="N23" i="21"/>
  <c r="N24" i="21"/>
  <c r="N23" i="23"/>
  <c r="N135" i="21"/>
  <c r="N263" i="21"/>
  <c r="F204" i="23"/>
  <c r="F207" i="23"/>
  <c r="E208" i="23"/>
  <c r="B241" i="23"/>
  <c r="N238" i="23"/>
  <c r="N241" i="23"/>
  <c r="M272" i="21"/>
  <c r="M275" i="21"/>
  <c r="L276" i="21"/>
  <c r="I229" i="3"/>
  <c r="G145" i="21"/>
  <c r="G148" i="21"/>
  <c r="F149" i="21"/>
  <c r="G148" i="23"/>
  <c r="G151" i="23"/>
  <c r="F152" i="23"/>
  <c r="N275" i="23"/>
  <c r="M279" i="23"/>
  <c r="M280" i="23"/>
  <c r="G33" i="23"/>
  <c r="G36" i="23"/>
  <c r="F37" i="23"/>
  <c r="B238" i="21"/>
  <c r="N235" i="21"/>
  <c r="N238" i="21"/>
  <c r="H33" i="21"/>
  <c r="H36" i="21"/>
  <c r="G37" i="21"/>
  <c r="G38" i="21"/>
  <c r="G201" i="21"/>
  <c r="G204" i="21"/>
  <c r="F205" i="21"/>
  <c r="H37" i="26"/>
  <c r="K150" i="26"/>
  <c r="K153" i="26"/>
  <c r="J154" i="26"/>
  <c r="J155" i="26"/>
  <c r="I206" i="26"/>
  <c r="I209" i="26"/>
  <c r="H210" i="26"/>
  <c r="F208" i="23"/>
  <c r="G204" i="23"/>
  <c r="G207" i="23"/>
  <c r="M276" i="21"/>
  <c r="M277" i="21"/>
  <c r="N272" i="21"/>
  <c r="H201" i="21"/>
  <c r="H204" i="21"/>
  <c r="G205" i="21"/>
  <c r="G206" i="21"/>
  <c r="I33" i="21"/>
  <c r="I36" i="21"/>
  <c r="H37" i="21"/>
  <c r="H33" i="23"/>
  <c r="H36" i="23"/>
  <c r="G37" i="23"/>
  <c r="G38" i="23"/>
  <c r="G152" i="23"/>
  <c r="G153" i="23"/>
  <c r="H148" i="23"/>
  <c r="H151" i="23"/>
  <c r="G149" i="21"/>
  <c r="G150" i="21"/>
  <c r="H145" i="21"/>
  <c r="H148" i="21"/>
  <c r="I210" i="26"/>
  <c r="J206" i="26"/>
  <c r="J209" i="26"/>
  <c r="K154" i="26"/>
  <c r="L150" i="26"/>
  <c r="L153" i="26"/>
  <c r="I37" i="26"/>
  <c r="H204" i="23"/>
  <c r="H207" i="23"/>
  <c r="G208" i="23"/>
  <c r="G209" i="23"/>
  <c r="I145" i="21"/>
  <c r="I148" i="21"/>
  <c r="H149" i="21"/>
  <c r="I148" i="23"/>
  <c r="I151" i="23"/>
  <c r="H152" i="23"/>
  <c r="I33" i="23"/>
  <c r="I36" i="23"/>
  <c r="H37" i="23"/>
  <c r="I37" i="21"/>
  <c r="J33" i="21"/>
  <c r="J36" i="21"/>
  <c r="I201" i="21"/>
  <c r="I204" i="21"/>
  <c r="H205" i="21"/>
  <c r="J37" i="26"/>
  <c r="J38" i="26"/>
  <c r="M150" i="26"/>
  <c r="M153" i="26"/>
  <c r="L154" i="26"/>
  <c r="K206" i="26"/>
  <c r="K209" i="26"/>
  <c r="J210" i="26"/>
  <c r="J211" i="26"/>
  <c r="I204" i="23"/>
  <c r="I207" i="23"/>
  <c r="H208" i="23"/>
  <c r="J33" i="23"/>
  <c r="J36" i="23"/>
  <c r="I37" i="23"/>
  <c r="J148" i="23"/>
  <c r="J151" i="23"/>
  <c r="I152" i="23"/>
  <c r="J145" i="21"/>
  <c r="J148" i="21"/>
  <c r="I149" i="21"/>
  <c r="J201" i="21"/>
  <c r="J204" i="21"/>
  <c r="I205" i="21"/>
  <c r="K33" i="21"/>
  <c r="K36" i="21"/>
  <c r="J37" i="21"/>
  <c r="J38" i="21"/>
  <c r="K210" i="26"/>
  <c r="L206" i="26"/>
  <c r="L209" i="26"/>
  <c r="M154" i="26"/>
  <c r="M155" i="26"/>
  <c r="N150" i="26"/>
  <c r="K37" i="26"/>
  <c r="I208" i="23"/>
  <c r="J204" i="23"/>
  <c r="J207" i="23"/>
  <c r="K145" i="21"/>
  <c r="K148" i="21"/>
  <c r="J149" i="21"/>
  <c r="J150" i="21"/>
  <c r="J152" i="23"/>
  <c r="J153" i="23"/>
  <c r="K148" i="23"/>
  <c r="K151" i="23"/>
  <c r="L33" i="21"/>
  <c r="L36" i="21"/>
  <c r="K37" i="21"/>
  <c r="J205" i="21"/>
  <c r="J206" i="21"/>
  <c r="K201" i="21"/>
  <c r="K204" i="21"/>
  <c r="J37" i="23"/>
  <c r="J38" i="23"/>
  <c r="K33" i="23"/>
  <c r="K36" i="23"/>
  <c r="L37" i="26"/>
  <c r="M206" i="26"/>
  <c r="M209" i="26"/>
  <c r="L210" i="26"/>
  <c r="J208" i="23"/>
  <c r="J209" i="23"/>
  <c r="K204" i="23"/>
  <c r="K207" i="23"/>
  <c r="L37" i="21"/>
  <c r="M33" i="21"/>
  <c r="M36" i="21"/>
  <c r="L145" i="21"/>
  <c r="L148" i="21"/>
  <c r="K149" i="21"/>
  <c r="L33" i="23"/>
  <c r="L36" i="23"/>
  <c r="K37" i="23"/>
  <c r="L201" i="21"/>
  <c r="L204" i="21"/>
  <c r="K205" i="21"/>
  <c r="L148" i="23"/>
  <c r="L151" i="23"/>
  <c r="K152" i="23"/>
  <c r="M210" i="26"/>
  <c r="M211" i="26"/>
  <c r="N206" i="26"/>
  <c r="M37" i="26"/>
  <c r="M38" i="26"/>
  <c r="L204" i="23"/>
  <c r="L207" i="23"/>
  <c r="K208" i="23"/>
  <c r="M33" i="23"/>
  <c r="M36" i="23"/>
  <c r="L37" i="23"/>
  <c r="M145" i="21"/>
  <c r="M148" i="21"/>
  <c r="L149" i="21"/>
  <c r="L152" i="23"/>
  <c r="M148" i="23"/>
  <c r="M151" i="23"/>
  <c r="M201" i="21"/>
  <c r="M204" i="21"/>
  <c r="L205" i="21"/>
  <c r="M37" i="21"/>
  <c r="M38" i="21"/>
  <c r="N33" i="21"/>
  <c r="N36" i="21"/>
  <c r="M204" i="23"/>
  <c r="M207" i="23"/>
  <c r="L208" i="23"/>
  <c r="M205" i="21"/>
  <c r="M206" i="21"/>
  <c r="N201" i="21"/>
  <c r="M149" i="21"/>
  <c r="M150" i="21"/>
  <c r="N145" i="21"/>
  <c r="M37" i="23"/>
  <c r="M38" i="23"/>
  <c r="N33" i="23"/>
  <c r="N36" i="23"/>
  <c r="N148" i="23"/>
  <c r="M152" i="23"/>
  <c r="M153" i="23"/>
  <c r="N204" i="23"/>
  <c r="M208" i="23"/>
  <c r="M209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jilars</author>
    <author>sthert</author>
    <author>derise</author>
    <author>erskyg</author>
  </authors>
  <commentList>
    <comment ref="Z20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Betjentvagt</t>
        </r>
      </text>
    </comment>
    <comment ref="AC20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Valdemarsgade
08.15 - 13.00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Taste 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Taste 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21" authorId="1" shapeId="0" xr:uid="{00000000-0006-0000-0300-000005000000}">
      <text>
        <r>
          <rPr>
            <b/>
            <sz val="10"/>
            <color indexed="81"/>
            <rFont val="Tahoma"/>
            <family val="2"/>
          </rPr>
          <t>Til FES medlemsmøde kl. 10:00 - 16:00</t>
        </r>
      </text>
    </comment>
    <comment ref="O37" authorId="2" shapeId="0" xr:uid="{00000000-0006-0000-0300-00000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 køgelandevej
9-13</t>
        </r>
      </text>
    </comment>
    <comment ref="U37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13-18</t>
        </r>
      </text>
    </comment>
    <comment ref="Y37" authorId="2" shapeId="0" xr:uid="{00000000-0006-0000-0300-00000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Z37" authorId="2" shapeId="0" xr:uid="{00000000-0006-0000-0300-00000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AA37" authorId="2" shapeId="0" xr:uid="{00000000-0006-0000-0300-00000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AB37" authorId="2" shapeId="0" xr:uid="{00000000-0006-0000-0300-00000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13-18</t>
        </r>
      </text>
    </comment>
    <comment ref="AC37" authorId="2" shapeId="0" xr:uid="{00000000-0006-0000-0300-00000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9-13</t>
        </r>
      </text>
    </comment>
    <comment ref="AF37" authorId="3" shapeId="0" xr:uid="{00000000-0006-0000-0300-00000D000000}">
      <text>
        <r>
          <rPr>
            <b/>
            <sz val="8"/>
            <color indexed="81"/>
            <rFont val="Tahoma"/>
            <family val="2"/>
          </rPr>
          <t>derise:</t>
        </r>
        <r>
          <rPr>
            <sz val="8"/>
            <color indexed="81"/>
            <rFont val="Tahoma"/>
            <family val="2"/>
          </rPr>
          <t xml:space="preserve">
Gl. Køgelandevej</t>
        </r>
      </text>
    </comment>
    <comment ref="AB38" authorId="0" shapeId="0" xr:uid="{00000000-0006-0000-0300-00000E000000}">
      <text>
        <r>
          <rPr>
            <b/>
            <sz val="10"/>
            <color indexed="81"/>
            <rFont val="Tahoma"/>
            <family val="2"/>
          </rPr>
          <t>Møder senere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0" authorId="2" shapeId="0" xr:uid="{00000000-0006-0000-03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9-15</t>
        </r>
      </text>
    </comment>
    <comment ref="E40" authorId="2" shapeId="0" xr:uid="{00000000-0006-0000-03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9-15</t>
        </r>
      </text>
    </comment>
    <comment ref="AG40" authorId="2" shapeId="0" xr:uid="{00000000-0006-0000-0300-00001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T41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41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46" authorId="2" shapeId="0" xr:uid="{00000000-0006-0000-03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</t>
        </r>
      </text>
    </comment>
    <comment ref="AA46" authorId="2" shapeId="0" xr:uid="{00000000-0006-0000-03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</t>
        </r>
      </text>
    </comment>
    <comment ref="AB46" authorId="2" shapeId="0" xr:uid="{00000000-0006-0000-03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</t>
        </r>
      </text>
    </comment>
    <comment ref="AC46" authorId="2" shapeId="0" xr:uid="{00000000-0006-0000-0300-00001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</t>
        </r>
      </text>
    </comment>
    <comment ref="AF46" authorId="2" shapeId="0" xr:uid="{00000000-0006-0000-0300-00001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Griffenfeld
0900-1500</t>
        </r>
      </text>
    </comment>
    <comment ref="E70" authorId="0" shapeId="0" xr:uid="{00000000-0006-0000-0300-000019000000}">
      <text>
        <r>
          <rPr>
            <b/>
            <sz val="8"/>
            <color indexed="81"/>
            <rFont val="Tahoma"/>
            <family val="2"/>
          </rPr>
          <t>MED KURSUS
HOVEDKASSEN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0" authorId="0" shapeId="0" xr:uid="{00000000-0006-0000-0300-00001A000000}">
      <text>
        <r>
          <rPr>
            <sz val="10"/>
            <color indexed="81"/>
            <rFont val="Tahoma"/>
            <family val="2"/>
          </rPr>
          <t>Møde fra 9 - 10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70" authorId="0" shapeId="0" xr:uid="{00000000-0006-0000-0300-00001B000000}">
      <text>
        <r>
          <rPr>
            <b/>
            <sz val="9"/>
            <color indexed="81"/>
            <rFont val="Tahoma"/>
            <family val="2"/>
          </rPr>
          <t>HOVEDMED.
9 - 1130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90" authorId="2" shapeId="0" xr:uid="{00000000-0006-0000-03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Matthæusgade
</t>
        </r>
      </text>
    </comment>
    <comment ref="Y90" authorId="2" shapeId="0" xr:uid="{00000000-0006-0000-03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
9-15</t>
        </r>
      </text>
    </comment>
    <comment ref="D91" authorId="4" shapeId="0" xr:uid="{00000000-0006-0000-0300-00001E000000}">
      <text>
        <r>
          <rPr>
            <b/>
            <sz val="10"/>
            <color indexed="81"/>
            <rFont val="Tahoma"/>
            <family val="2"/>
          </rPr>
          <t>erskyg:</t>
        </r>
        <r>
          <rPr>
            <sz val="10"/>
            <color indexed="81"/>
            <rFont val="Tahoma"/>
            <family val="2"/>
          </rPr>
          <t xml:space="preserve">
3-vagt hele ugen
Skal i Spaniensgade tirsdag</t>
        </r>
      </text>
    </comment>
    <comment ref="E91" authorId="0" shapeId="0" xr:uid="{00000000-0006-0000-0300-00001F000000}">
      <text>
        <r>
          <rPr>
            <b/>
            <sz val="8"/>
            <color indexed="81"/>
            <rFont val="Tahoma"/>
            <family val="2"/>
          </rPr>
          <t>Spaniensgade 25
12.45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1" authorId="4" shapeId="0" xr:uid="{00000000-0006-0000-0300-000020000000}">
      <text>
        <r>
          <rPr>
            <b/>
            <sz val="10"/>
            <color indexed="81"/>
            <rFont val="Tahoma"/>
            <family val="2"/>
          </rPr>
          <t>erskyg:</t>
        </r>
        <r>
          <rPr>
            <sz val="10"/>
            <color indexed="81"/>
            <rFont val="Tahoma"/>
            <family val="2"/>
          </rPr>
          <t xml:space="preserve">
3-vagt</t>
        </r>
      </text>
    </comment>
    <comment ref="G91" authorId="4" shapeId="0" xr:uid="{00000000-0006-0000-0300-000021000000}">
      <text>
        <r>
          <rPr>
            <b/>
            <sz val="10"/>
            <color indexed="81"/>
            <rFont val="Tahoma"/>
            <family val="2"/>
          </rPr>
          <t>erskyg:</t>
        </r>
        <r>
          <rPr>
            <sz val="10"/>
            <color indexed="81"/>
            <rFont val="Tahoma"/>
            <family val="2"/>
          </rPr>
          <t xml:space="preserve">
3-vagt</t>
        </r>
      </text>
    </comment>
    <comment ref="H91" authorId="4" shapeId="0" xr:uid="{00000000-0006-0000-0300-000022000000}">
      <text>
        <r>
          <rPr>
            <b/>
            <sz val="10"/>
            <color indexed="81"/>
            <rFont val="Tahoma"/>
            <family val="2"/>
          </rPr>
          <t>erskyg:</t>
        </r>
        <r>
          <rPr>
            <sz val="10"/>
            <color indexed="81"/>
            <rFont val="Tahoma"/>
            <family val="2"/>
          </rPr>
          <t xml:space="preserve">
3-vagt</t>
        </r>
      </text>
    </comment>
    <comment ref="O91" authorId="2" shapeId="0" xr:uid="{00000000-0006-0000-03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Y91" authorId="2" shapeId="0" xr:uid="{00000000-0006-0000-03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Z91" authorId="2" shapeId="0" xr:uid="{00000000-0006-0000-03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AA91" authorId="2" shapeId="0" xr:uid="{00000000-0006-0000-03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AB91" authorId="2" shapeId="0" xr:uid="{00000000-0006-0000-03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13-18</t>
        </r>
      </text>
    </comment>
    <comment ref="AC91" authorId="2" shapeId="0" xr:uid="{00000000-0006-0000-03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9-13</t>
        </r>
      </text>
    </comment>
    <comment ref="V105" authorId="0" shapeId="0" xr:uid="{00000000-0006-0000-0300-000029000000}">
      <text>
        <r>
          <rPr>
            <b/>
            <sz val="10"/>
            <color indexed="81"/>
            <rFont val="Tahoma"/>
            <family val="2"/>
          </rPr>
          <t>Kødbyen
  6 - 18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05" authorId="1" shapeId="0" xr:uid="{00000000-0006-0000-0300-00002A000000}">
      <text>
        <r>
          <rPr>
            <b/>
            <sz val="10"/>
            <color indexed="81"/>
            <rFont val="Tahoma"/>
            <family val="2"/>
          </rPr>
          <t xml:space="preserve">H1-Vagt
</t>
        </r>
      </text>
    </comment>
    <comment ref="AF128" authorId="2" shapeId="0" xr:uid="{00000000-0006-0000-03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Valdemarsgade
0815-1540</t>
        </r>
      </text>
    </comment>
    <comment ref="AG128" authorId="2" shapeId="0" xr:uid="{00000000-0006-0000-03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Valdemarsgade
0815-1540</t>
        </r>
      </text>
    </comment>
    <comment ref="S129" authorId="0" shapeId="0" xr:uid="{00000000-0006-0000-0300-00002D000000}">
      <text>
        <r>
          <rPr>
            <b/>
            <sz val="10"/>
            <color indexed="81"/>
            <rFont val="Tahoma"/>
            <family val="2"/>
          </rPr>
          <t>Skal bruges til Kagens Dag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D131" authorId="2" shapeId="0" xr:uid="{00000000-0006-0000-03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 Køge landevej
9-15</t>
        </r>
      </text>
    </comment>
    <comment ref="N131" authorId="0" shapeId="0" xr:uid="{00000000-0006-0000-0300-00002F000000}">
      <text>
        <r>
          <rPr>
            <sz val="10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5" authorId="0" shapeId="0" xr:uid="{00000000-0006-0000-0300-000030000000}">
      <text>
        <r>
          <rPr>
            <sz val="10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5" authorId="0" shapeId="0" xr:uid="{00000000-0006-0000-0300-000031000000}">
      <text>
        <r>
          <rPr>
            <sz val="10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35" authorId="0" shapeId="0" xr:uid="{00000000-0006-0000-0300-000032000000}">
      <text>
        <r>
          <rPr>
            <sz val="10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35" authorId="2" shapeId="0" xr:uid="{00000000-0006-0000-03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 Køgelandevej
9-15</t>
        </r>
      </text>
    </comment>
    <comment ref="Z135" authorId="2" shapeId="0" xr:uid="{00000000-0006-0000-03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HNG
0800-1600</t>
        </r>
      </text>
    </comment>
    <comment ref="AA135" authorId="2" shapeId="0" xr:uid="{00000000-0006-0000-03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HNG
0800-1600</t>
        </r>
      </text>
    </comment>
    <comment ref="AB135" authorId="2" shapeId="0" xr:uid="{00000000-0006-0000-03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HNG
0800-1600</t>
        </r>
      </text>
    </comment>
    <comment ref="AC135" authorId="2" shapeId="0" xr:uid="{00000000-0006-0000-03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HNG
0800-1600</t>
        </r>
      </text>
    </comment>
    <comment ref="AB164" authorId="1" shapeId="0" xr:uid="{00000000-0006-0000-0300-000038000000}">
      <text>
        <r>
          <rPr>
            <b/>
            <sz val="10"/>
            <color indexed="81"/>
            <rFont val="Tahoma"/>
            <family val="2"/>
          </rPr>
          <t>Til FES medlemsmøde kl. 10:00 - 16:00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mipede</author>
    <author>jilars</author>
  </authors>
  <commentList>
    <comment ref="L17" authorId="0" shapeId="0" xr:uid="{00000000-0006-0000-0400-000001000000}">
      <text>
        <r>
          <rPr>
            <b/>
            <sz val="10"/>
            <color indexed="81"/>
            <rFont val="Tahoma"/>
            <family val="2"/>
          </rPr>
          <t>Rundvisning
for ØKF 16.45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39" authorId="1" shapeId="0" xr:uid="{00000000-0006-0000-0400-00000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0900-1500</t>
        </r>
      </text>
    </comment>
    <comment ref="H40" authorId="1" shapeId="0" xr:uid="{00000000-0006-0000-0400-00000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I40" authorId="1" shapeId="0" xr:uid="{00000000-0006-0000-0400-00000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J40" authorId="1" shapeId="0" xr:uid="{00000000-0006-0000-0400-00000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K40" authorId="1" shapeId="0" xr:uid="{00000000-0006-0000-0400-00000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13-18</t>
        </r>
      </text>
    </comment>
    <comment ref="L40" authorId="1" shapeId="0" xr:uid="{00000000-0006-0000-0400-00000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9-13</t>
        </r>
      </text>
    </comment>
    <comment ref="P40" authorId="1" shapeId="0" xr:uid="{00000000-0006-0000-0400-00000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Q40" authorId="1" shapeId="0" xr:uid="{00000000-0006-0000-0400-00000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X41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>Til møde kl. 10.45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42" authorId="1" shapeId="0" xr:uid="{00000000-0006-0000-0400-00000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
13-18
Steen 1-vagt fra kl.12</t>
        </r>
      </text>
    </comment>
    <comment ref="P45" authorId="0" shapeId="0" xr:uid="{00000000-0006-0000-0400-00000C000000}">
      <text>
        <r>
          <rPr>
            <b/>
            <sz val="10"/>
            <color indexed="81"/>
            <rFont val="Tahoma"/>
            <family val="2"/>
          </rPr>
          <t>Ørnevej 55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6" authorId="1" shapeId="0" xr:uid="{00000000-0006-0000-0400-00000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 Køgelandevej
9-15</t>
        </r>
      </text>
    </comment>
    <comment ref="J46" authorId="1" shapeId="0" xr:uid="{00000000-0006-0000-04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
0815-1540</t>
        </r>
      </text>
    </comment>
    <comment ref="L46" authorId="1" shapeId="0" xr:uid="{00000000-0006-0000-04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Griffenfeld
0900-1300</t>
        </r>
      </text>
    </comment>
    <comment ref="W46" authorId="2" shapeId="0" xr:uid="{00000000-0006-0000-0400-000010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Matthæusgade
9-15</t>
        </r>
      </text>
    </comment>
    <comment ref="X46" authorId="1" shapeId="0" xr:uid="{00000000-0006-0000-0400-00001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9-15</t>
        </r>
      </text>
    </comment>
    <comment ref="J70" authorId="0" shapeId="0" xr:uid="{00000000-0006-0000-0400-000012000000}">
      <text>
        <r>
          <rPr>
            <b/>
            <sz val="10"/>
            <color indexed="81"/>
            <rFont val="Tahoma"/>
            <family val="2"/>
          </rPr>
          <t>Møde i Hoved MED
9 - 11.30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70" authorId="0" shapeId="0" xr:uid="{00000000-0006-0000-0400-000013000000}">
      <text>
        <r>
          <rPr>
            <b/>
            <sz val="10"/>
            <color indexed="81"/>
            <rFont val="Tahoma"/>
            <family val="2"/>
          </rPr>
          <t>Møde i Kejd - MED</t>
        </r>
        <r>
          <rPr>
            <sz val="10"/>
            <color indexed="81"/>
            <rFont val="Tahoma"/>
            <family val="2"/>
          </rPr>
          <t xml:space="preserve">
10 -13</t>
        </r>
      </text>
    </comment>
    <comment ref="Z77" authorId="0" shapeId="0" xr:uid="{00000000-0006-0000-0400-000014000000}">
      <text>
        <r>
          <rPr>
            <b/>
            <sz val="10"/>
            <color indexed="81"/>
            <rFont val="Tahoma"/>
            <family val="2"/>
          </rPr>
          <t>Møder 06.30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8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 xml:space="preserve">Workshop
11.30-16.00.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78" authorId="0" shapeId="0" xr:uid="{00000000-0006-0000-0400-000016000000}">
      <text>
        <r>
          <rPr>
            <b/>
            <sz val="10"/>
            <color indexed="81"/>
            <rFont val="Tahoma"/>
            <family val="2"/>
          </rPr>
          <t>Kursus 12 - 15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78" authorId="0" shapeId="0" xr:uid="{00000000-0006-0000-0400-000017000000}">
      <text>
        <r>
          <rPr>
            <b/>
            <sz val="10"/>
            <color indexed="81"/>
            <rFont val="Tahoma"/>
            <family val="2"/>
          </rPr>
          <t>Kursus 9 - 12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90" authorId="1" shapeId="0" xr:uid="{00000000-0006-0000-0400-000018000000}">
      <text>
        <r>
          <rPr>
            <b/>
            <sz val="8"/>
            <color indexed="81"/>
            <rFont val="Tahoma"/>
            <family val="2"/>
          </rPr>
          <t>sthert
Gl Køgelandevej</t>
        </r>
      </text>
    </comment>
    <comment ref="J90" authorId="1" shapeId="0" xr:uid="{00000000-0006-0000-0400-000019000000}">
      <text>
        <r>
          <rPr>
            <b/>
            <sz val="8"/>
            <color indexed="81"/>
            <rFont val="Tahoma"/>
            <family val="2"/>
          </rPr>
          <t>sthert:
Matthæusgade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0815-1540</t>
        </r>
      </text>
    </comment>
    <comment ref="L90" authorId="1" shapeId="0" xr:uid="{00000000-0006-0000-04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
9-13</t>
        </r>
      </text>
    </comment>
    <comment ref="P90" authorId="1" shapeId="0" xr:uid="{00000000-0006-0000-0400-00001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 1</t>
        </r>
      </text>
    </comment>
    <comment ref="Q90" authorId="1" shapeId="0" xr:uid="{00000000-0006-0000-04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R90" authorId="1" shapeId="0" xr:uid="{00000000-0006-0000-04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9-18</t>
        </r>
      </text>
    </comment>
    <comment ref="S90" authorId="1" shapeId="0" xr:uid="{00000000-0006-0000-04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 + MUS +GRUS fra kl.1400</t>
        </r>
      </text>
    </comment>
    <comment ref="V90" authorId="2" shapeId="0" xr:uid="{00000000-0006-0000-0400-00001F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Matthæusgade
9-15</t>
        </r>
      </text>
    </comment>
    <comment ref="AE90" authorId="1" shapeId="0" xr:uid="{00000000-0006-0000-04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C91" authorId="1" shapeId="0" xr:uid="{00000000-0006-0000-04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9-15</t>
        </r>
      </text>
    </comment>
    <comment ref="E91" authorId="1" shapeId="0" xr:uid="{00000000-0006-0000-04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9-13</t>
        </r>
      </text>
    </comment>
    <comment ref="S91" authorId="1" shapeId="0" xr:uid="{00000000-0006-0000-04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MUS + Grus fra kl 14.00</t>
        </r>
      </text>
    </comment>
    <comment ref="X91" authorId="2" shapeId="0" xr:uid="{00000000-0006-0000-0400-000024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Spaniensgade 25
9-15
</t>
        </r>
      </text>
    </comment>
    <comment ref="I92" authorId="1" shapeId="0" xr:uid="{00000000-0006-0000-04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K2.. Møder selv på brønshøjvej</t>
        </r>
      </text>
    </comment>
    <comment ref="J92" authorId="1" shapeId="0" xr:uid="{00000000-0006-0000-04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K2.. Møder selv på brønshøjvej</t>
        </r>
      </text>
    </comment>
    <comment ref="S92" authorId="1" shapeId="0" xr:uid="{00000000-0006-0000-04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MUS + GRUS fra kl.1500</t>
        </r>
      </text>
    </comment>
    <comment ref="AD92" authorId="1" shapeId="0" xr:uid="{00000000-0006-0000-04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 for
Steen</t>
        </r>
      </text>
    </comment>
    <comment ref="AE92" authorId="1" shapeId="0" xr:uid="{00000000-0006-0000-04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 for
Steen</t>
        </r>
      </text>
    </comment>
    <comment ref="D104" authorId="0" shapeId="0" xr:uid="{00000000-0006-0000-0400-00002A000000}">
      <text>
        <r>
          <rPr>
            <b/>
            <sz val="9"/>
            <color indexed="81"/>
            <rFont val="Tahoma"/>
            <family val="2"/>
          </rPr>
          <t>Kødbyen 6 -18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5" authorId="0" shapeId="0" xr:uid="{00000000-0006-0000-0400-00002B000000}">
      <text>
        <r>
          <rPr>
            <b/>
            <sz val="8"/>
            <color indexed="81"/>
            <rFont val="Tahoma"/>
            <family val="2"/>
          </rPr>
          <t>Kødbyen 6 - 18</t>
        </r>
      </text>
    </comment>
    <comment ref="C128" authorId="1" shapeId="0" xr:uid="{00000000-0006-0000-04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Valdemarsgade
0815-1540</t>
        </r>
      </text>
    </comment>
    <comment ref="E128" authorId="1" shapeId="0" xr:uid="{00000000-0006-0000-04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Valdemarsgade
0815-1330</t>
        </r>
      </text>
    </comment>
    <comment ref="E131" authorId="1" shapeId="0" xr:uid="{00000000-0006-0000-04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i Matthæusgade kl. 0900 -1300 derefter
4-vagt på rådhuset</t>
        </r>
      </text>
    </comment>
    <comment ref="S131" authorId="0" shapeId="0" xr:uid="{00000000-0006-0000-0400-00002F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På OA.</t>
        </r>
      </text>
    </comment>
    <comment ref="AC131" authorId="3" shapeId="0" xr:uid="{00000000-0006-0000-0400-000030000000}">
      <text>
        <r>
          <rPr>
            <b/>
            <sz val="10"/>
            <color indexed="81"/>
            <rFont val="Tahoma"/>
            <family val="2"/>
          </rPr>
          <t>Gl. Køge Landevej 09:00 - 15:00</t>
        </r>
      </text>
    </comment>
    <comment ref="I133" authorId="0" shapeId="0" xr:uid="{00000000-0006-0000-0400-000031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33" authorId="0" shapeId="0" xr:uid="{00000000-0006-0000-0400-000032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33" authorId="0" shapeId="0" xr:uid="{00000000-0006-0000-0400-000033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33" authorId="0" shapeId="0" xr:uid="{00000000-0006-0000-0400-000034000000}">
      <text>
        <r>
          <rPr>
            <b/>
            <sz val="8"/>
            <color indexed="81"/>
            <rFont val="Tahoma"/>
            <family val="2"/>
          </rPr>
          <t>HNG
08.00 - 15.30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33" authorId="0" shapeId="0" xr:uid="{00000000-0006-0000-0400-000035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33" authorId="0" shapeId="0" xr:uid="{00000000-0006-0000-0400-000036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33" authorId="0" shapeId="0" xr:uid="{00000000-0006-0000-0400-000037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133" authorId="0" shapeId="0" xr:uid="{00000000-0006-0000-0400-000038000000}">
      <text>
        <r>
          <rPr>
            <b/>
            <sz val="8"/>
            <color indexed="81"/>
            <rFont val="Tahoma"/>
            <family val="2"/>
          </rPr>
          <t>HNG
08.00 - 15.30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33" authorId="0" shapeId="0" xr:uid="{00000000-0006-0000-0400-000039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33" authorId="0" shapeId="0" xr:uid="{00000000-0006-0000-0400-00003A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33" authorId="0" shapeId="0" xr:uid="{00000000-0006-0000-0400-00003B000000}">
      <text>
        <r>
          <rPr>
            <b/>
            <sz val="8"/>
            <color indexed="81"/>
            <rFont val="Tahoma"/>
            <family val="2"/>
          </rPr>
          <t>HNG
8 - 16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33" authorId="0" shapeId="0" xr:uid="{00000000-0006-0000-0400-00003C000000}">
      <text>
        <r>
          <rPr>
            <b/>
            <sz val="8"/>
            <color indexed="81"/>
            <rFont val="Tahoma"/>
            <family val="2"/>
          </rPr>
          <t>HNG
08.00 - 15.30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33" authorId="0" shapeId="0" xr:uid="{00000000-0006-0000-0400-00003D000000}">
      <text>
        <r>
          <rPr>
            <b/>
            <sz val="8"/>
            <color indexed="81"/>
            <rFont val="Tahoma"/>
            <family val="2"/>
          </rPr>
          <t>HNG
08.00 - 15.30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41" authorId="0" shapeId="0" xr:uid="{00000000-0006-0000-0400-00003E000000}">
      <text>
        <r>
          <rPr>
            <sz val="10"/>
            <color indexed="81"/>
            <rFont val="Tahoma"/>
            <family val="2"/>
          </rPr>
          <t xml:space="preserve">Patruljeleder
</t>
        </r>
      </text>
    </comment>
    <comment ref="Y141" authorId="0" shapeId="0" xr:uid="{00000000-0006-0000-0400-00003F000000}">
      <text>
        <r>
          <rPr>
            <sz val="10"/>
            <color indexed="81"/>
            <rFont val="Tahoma"/>
            <family val="2"/>
          </rPr>
          <t xml:space="preserve">Patruljeleder
</t>
        </r>
      </text>
    </comment>
    <comment ref="W142" authorId="1" shapeId="0" xr:uid="{00000000-0006-0000-04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X142" authorId="1" shapeId="0" xr:uid="{00000000-0006-0000-04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Y142" authorId="1" shapeId="0" xr:uid="{00000000-0006-0000-04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AC142" authorId="1" shapeId="0" xr:uid="{00000000-0006-0000-04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AD142" authorId="1" shapeId="0" xr:uid="{00000000-0006-0000-04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AF142" authorId="1" shapeId="0" xr:uid="{00000000-0006-0000-04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W159" authorId="0" shapeId="0" xr:uid="{00000000-0006-0000-0400-000046000000}">
      <text>
        <r>
          <rPr>
            <b/>
            <sz val="8"/>
            <color indexed="81"/>
            <rFont val="Tahoma"/>
            <family val="2"/>
          </rPr>
          <t>Patuljeleder
 kl. 16.30</t>
        </r>
        <r>
          <rPr>
            <sz val="8"/>
            <color indexed="81"/>
            <rFont val="Tahoma"/>
            <family val="2"/>
          </rPr>
          <t xml:space="preserve">
Sammen med Erik</t>
        </r>
      </text>
    </comment>
    <comment ref="AF159" authorId="0" shapeId="0" xr:uid="{00000000-0006-0000-0400-000047000000}">
      <text>
        <r>
          <rPr>
            <b/>
            <sz val="8"/>
            <color indexed="81"/>
            <rFont val="Tahoma"/>
            <family val="2"/>
          </rPr>
          <t>Kredsvagt</t>
        </r>
        <r>
          <rPr>
            <sz val="8"/>
            <color indexed="81"/>
            <rFont val="Tahoma"/>
            <family val="2"/>
          </rPr>
          <t xml:space="preserve">
Sammen med Steen</t>
        </r>
      </text>
    </comment>
    <comment ref="Q173" authorId="0" shapeId="0" xr:uid="{00000000-0006-0000-0400-000048000000}">
      <text>
        <r>
          <rPr>
            <b/>
            <sz val="10"/>
            <color indexed="81"/>
            <rFont val="Tahoma"/>
            <family val="2"/>
          </rPr>
          <t>Flyttefridag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bovolf</author>
    <author>flniel</author>
    <author>erskyg</author>
    <author>sthert</author>
    <author>Jesper Simonsen</author>
    <author>kipede</author>
  </authors>
  <commentList>
    <comment ref="U14" authorId="0" shapeId="0" xr:uid="{00000000-0006-0000-0500-000001000000}">
      <text>
        <r>
          <rPr>
            <sz val="10"/>
            <color indexed="81"/>
            <rFont val="Tahoma"/>
            <family val="2"/>
          </rPr>
          <t>Valgdepot pga. vandskade.
8,00-16,00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4" authorId="0" shapeId="0" xr:uid="{00000000-0006-0000-0500-000002000000}">
      <text>
        <r>
          <rPr>
            <sz val="10"/>
            <color indexed="81"/>
            <rFont val="Tahoma"/>
            <family val="2"/>
          </rPr>
          <t>Valgdepot pga. vandskade.
8,00-16,00.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5" authorId="0" shapeId="0" xr:uid="{00000000-0006-0000-0500-000003000000}">
      <text>
        <r>
          <rPr>
            <sz val="12"/>
            <color indexed="81"/>
            <rFont val="Tahoma"/>
            <family val="2"/>
          </rPr>
          <t>Valgdepot pga.
vandskade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5" authorId="0" shapeId="0" xr:uid="{00000000-0006-0000-0500-000004000000}">
      <text>
        <r>
          <rPr>
            <sz val="12"/>
            <color indexed="81"/>
            <rFont val="Tahoma"/>
            <family val="2"/>
          </rPr>
          <t>Valgdepot pga. vandskade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5" authorId="0" shapeId="0" xr:uid="{00000000-0006-0000-0500-000005000000}">
      <text>
        <r>
          <rPr>
            <sz val="12"/>
            <color indexed="81"/>
            <rFont val="Tahoma"/>
            <family val="2"/>
          </rPr>
          <t>Valgdepot pga. af vandskade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7" authorId="0" shapeId="0" xr:uid="{00000000-0006-0000-0500-000006000000}">
      <text>
        <r>
          <rPr>
            <sz val="10"/>
            <color indexed="81"/>
            <rFont val="Tahoma"/>
            <family val="2"/>
          </rPr>
          <t>7-15 for Bo Volfing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7" authorId="0" shapeId="0" xr:uid="{00000000-0006-0000-0500-000007000000}">
      <text>
        <r>
          <rPr>
            <sz val="10"/>
            <color indexed="81"/>
            <rFont val="Tahoma"/>
            <family val="2"/>
          </rPr>
          <t>7-15 for Bo Volfing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7" authorId="0" shapeId="0" xr:uid="{00000000-0006-0000-0500-000008000000}">
      <text>
        <r>
          <rPr>
            <sz val="10"/>
            <color indexed="81"/>
            <rFont val="Tahoma"/>
            <family val="2"/>
          </rPr>
          <t>7-15 for Bo Volfing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7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Mødetid kl. 09.00</t>
        </r>
        <r>
          <rPr>
            <b/>
            <sz val="8"/>
            <color indexed="81"/>
            <rFont val="Tahoma"/>
            <family val="2"/>
          </rPr>
          <t xml:space="preserve">
Ekstravagt ved specielbryllup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37" authorId="2" shapeId="0" xr:uid="{00000000-0006-0000-0500-00000A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Svanevej 13.00 - 18.00
</t>
        </r>
      </text>
    </comment>
    <comment ref="Q37" authorId="2" shapeId="0" xr:uid="{00000000-0006-0000-0500-00000B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fra 07.30 - 17.30</t>
        </r>
      </text>
    </comment>
    <comment ref="T37" authorId="3" shapeId="0" xr:uid="{00000000-0006-0000-0500-00000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 Køge landevej
0845-1500</t>
        </r>
      </text>
    </comment>
    <comment ref="U37" authorId="3" shapeId="0" xr:uid="{00000000-0006-0000-0500-00000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 Køge landevej
0845-1500</t>
        </r>
      </text>
    </comment>
    <comment ref="V37" authorId="3" shapeId="0" xr:uid="{00000000-0006-0000-05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 Køge landevej
0845-1500</t>
        </r>
      </text>
    </comment>
    <comment ref="W37" authorId="3" shapeId="0" xr:uid="{00000000-0006-0000-05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 Køge landevej
1245-1800</t>
        </r>
      </text>
    </comment>
    <comment ref="X37" authorId="3" shapeId="0" xr:uid="{00000000-0006-0000-05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 Køge landevej
0845-1300</t>
        </r>
      </text>
    </comment>
    <comment ref="AA37" authorId="3" shapeId="0" xr:uid="{00000000-0006-0000-0500-00001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
9-15</t>
        </r>
      </text>
    </comment>
    <comment ref="AB37" authorId="3" shapeId="0" xr:uid="{00000000-0006-0000-0500-00001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
9-15</t>
        </r>
      </text>
    </comment>
    <comment ref="AC37" authorId="3" shapeId="0" xr:uid="{00000000-0006-0000-0500-00001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
9-15</t>
        </r>
      </text>
    </comment>
    <comment ref="AD37" authorId="3" shapeId="0" xr:uid="{00000000-0006-0000-05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
13-18</t>
        </r>
      </text>
    </comment>
    <comment ref="AE37" authorId="3" shapeId="0" xr:uid="{00000000-0006-0000-05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 landevej
9-13</t>
        </r>
      </text>
    </comment>
    <comment ref="AA38" authorId="3" shapeId="0" xr:uid="{00000000-0006-0000-05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9-15</t>
        </r>
      </text>
    </comment>
    <comment ref="AB38" authorId="3" shapeId="0" xr:uid="{00000000-0006-0000-0500-00001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9-15</t>
        </r>
      </text>
    </comment>
    <comment ref="AC38" authorId="3" shapeId="0" xr:uid="{00000000-0006-0000-0500-00001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9-15</t>
        </r>
      </text>
    </comment>
    <comment ref="AD38" authorId="3" shapeId="0" xr:uid="{00000000-0006-0000-0500-00001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9-15</t>
        </r>
      </text>
    </comment>
    <comment ref="AE38" authorId="3" shapeId="0" xr:uid="{00000000-0006-0000-05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9-15</t>
        </r>
      </text>
    </comment>
    <comment ref="O39" authorId="3" shapeId="0" xr:uid="{00000000-0006-0000-0500-00001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
0800-1530</t>
        </r>
      </text>
    </comment>
    <comment ref="P39" authorId="3" shapeId="0" xr:uid="{00000000-0006-0000-05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
0800-1530</t>
        </r>
      </text>
    </comment>
    <comment ref="T39" authorId="3" shapeId="0" xr:uid="{00000000-0006-0000-05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0900-1500</t>
        </r>
      </text>
    </comment>
    <comment ref="U39" authorId="3" shapeId="0" xr:uid="{00000000-0006-0000-05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0900-1500</t>
        </r>
      </text>
    </comment>
    <comment ref="V39" authorId="3" shapeId="0" xr:uid="{00000000-0006-0000-0500-00001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0900-1500</t>
        </r>
      </text>
    </comment>
    <comment ref="W39" authorId="3" shapeId="0" xr:uid="{00000000-0006-0000-05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1300-1800</t>
        </r>
      </text>
    </comment>
    <comment ref="X39" authorId="3" shapeId="0" xr:uid="{00000000-0006-0000-05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0900-1300</t>
        </r>
      </text>
    </comment>
    <comment ref="W40" authorId="3" shapeId="0" xr:uid="{00000000-0006-0000-05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13-18</t>
        </r>
      </text>
    </comment>
    <comment ref="X40" authorId="4" shapeId="0" xr:uid="{00000000-0006-0000-0500-000023000000}">
      <text>
        <r>
          <rPr>
            <b/>
            <sz val="8"/>
            <color indexed="81"/>
            <rFont val="Tahoma"/>
            <family val="2"/>
          </rPr>
          <t>Jesper Simonsen:</t>
        </r>
        <r>
          <rPr>
            <sz val="8"/>
            <color indexed="81"/>
            <rFont val="Tahoma"/>
            <family val="2"/>
          </rPr>
          <t xml:space="preserve">
remisevej 9-13</t>
        </r>
      </text>
    </comment>
    <comment ref="AA40" authorId="3" shapeId="0" xr:uid="{00000000-0006-0000-05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i matthæusgade
0815-1540</t>
        </r>
      </text>
    </comment>
    <comment ref="M42" authorId="3" shapeId="0" xr:uid="{00000000-0006-0000-05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N42" authorId="3" shapeId="0" xr:uid="{00000000-0006-0000-05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O42" authorId="3" shapeId="0" xr:uid="{00000000-0006-0000-05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P42" authorId="3" shapeId="0" xr:uid="{00000000-0006-0000-05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13-18</t>
        </r>
      </text>
    </comment>
    <comment ref="Q42" authorId="3" shapeId="0" xr:uid="{00000000-0006-0000-05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9-13</t>
        </r>
      </text>
    </comment>
    <comment ref="S42" authorId="2" shapeId="0" xr:uid="{00000000-0006-0000-0500-00002A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KA-vagt</t>
        </r>
      </text>
    </comment>
    <comment ref="M45" authorId="3" shapeId="0" xr:uid="{00000000-0006-0000-05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
0800-1530</t>
        </r>
      </text>
    </comment>
    <comment ref="N45" authorId="3" shapeId="0" xr:uid="{00000000-0006-0000-05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
0800-1530</t>
        </r>
      </text>
    </comment>
    <comment ref="O45" authorId="2" shapeId="0" xr:uid="{00000000-0006-0000-0500-00002D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i1, fra 08.30 - 14.00
</t>
        </r>
      </text>
    </comment>
    <comment ref="Q45" authorId="3" shapeId="0" xr:uid="{00000000-0006-0000-05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
0800-1500</t>
        </r>
      </text>
    </comment>
    <comment ref="T45" authorId="3" shapeId="0" xr:uid="{00000000-0006-0000-0500-00002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9-15</t>
        </r>
      </text>
    </comment>
    <comment ref="U45" authorId="3" shapeId="0" xr:uid="{00000000-0006-0000-0500-00003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9-15</t>
        </r>
      </text>
    </comment>
    <comment ref="V45" authorId="3" shapeId="0" xr:uid="{00000000-0006-0000-0500-00003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9-15</t>
        </r>
      </text>
    </comment>
    <comment ref="W45" authorId="3" shapeId="0" xr:uid="{00000000-0006-0000-05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13-18</t>
        </r>
      </text>
    </comment>
    <comment ref="X45" authorId="3" shapeId="0" xr:uid="{00000000-0006-0000-05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9-13</t>
        </r>
      </text>
    </comment>
    <comment ref="F46" authorId="3" shapeId="0" xr:uid="{00000000-0006-0000-05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 9-12
derefter 4-vagt</t>
        </r>
      </text>
    </comment>
    <comment ref="J46" authorId="3" shapeId="0" xr:uid="{00000000-0006-0000-05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O46" authorId="3" shapeId="0" xr:uid="{00000000-0006-0000-05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 LANDEVEJ
RÅDHUSSERVICE DÆKKER HOVEDPORTEN FOR 3-VAGT</t>
        </r>
      </text>
    </comment>
    <comment ref="P46" authorId="3" shapeId="0" xr:uid="{00000000-0006-0000-05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 LANDEVEJ
RÅDHUSSERVICE DÆKKER HOVEDPORTEN FOR 3-VAGT</t>
        </r>
      </text>
    </comment>
    <comment ref="Q46" authorId="3" shapeId="0" xr:uid="{00000000-0006-0000-05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 LANDEVEJ
</t>
        </r>
      </text>
    </comment>
    <comment ref="AB47" authorId="2" shapeId="0" xr:uid="{00000000-0006-0000-0500-000039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HNG 08.00 - 15.30</t>
        </r>
      </text>
    </comment>
    <comment ref="AC47" authorId="2" shapeId="0" xr:uid="{00000000-0006-0000-0500-00003A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HNG 08.00 - 15.30</t>
        </r>
      </text>
    </comment>
    <comment ref="AD47" authorId="2" shapeId="0" xr:uid="{00000000-0006-0000-0500-00003B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HNG 08.00 - 15.30</t>
        </r>
      </text>
    </comment>
    <comment ref="AE47" authorId="2" shapeId="0" xr:uid="{00000000-0006-0000-0500-00003C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HNG 08.00 - 15.00</t>
        </r>
      </text>
    </comment>
    <comment ref="AF47" authorId="1" shapeId="0" xr:uid="{00000000-0006-0000-0500-00003D000000}">
      <text>
        <r>
          <rPr>
            <b/>
            <sz val="9"/>
            <color indexed="81"/>
            <rFont val="Tahoma"/>
            <family val="2"/>
          </rPr>
          <t>Niels møder i Oplysningen 9 - 14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8" authorId="1" shapeId="0" xr:uid="{00000000-0006-0000-0500-00003E000000}">
      <text>
        <r>
          <rPr>
            <b/>
            <sz val="10"/>
            <color indexed="81"/>
            <rFont val="Tahoma"/>
            <family val="2"/>
          </rPr>
          <t>Spaniensgade 25
 9 - 13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C49" authorId="3" shapeId="0" xr:uid="{00000000-0006-0000-0500-00003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3-vagt  på OA.</t>
        </r>
      </text>
    </comment>
    <comment ref="F50" authorId="3" shapeId="0" xr:uid="{00000000-0006-0000-05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9-15</t>
        </r>
      </text>
    </comment>
    <comment ref="G50" authorId="3" shapeId="0" xr:uid="{00000000-0006-0000-05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9-15</t>
        </r>
      </text>
    </comment>
    <comment ref="H50" authorId="3" shapeId="0" xr:uid="{00000000-0006-0000-05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9-15</t>
        </r>
      </text>
    </comment>
    <comment ref="I50" authorId="3" shapeId="0" xr:uid="{00000000-0006-0000-05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13-18</t>
        </r>
      </text>
    </comment>
    <comment ref="J50" authorId="3" shapeId="0" xr:uid="{00000000-0006-0000-05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Svendborggade
9-13</t>
        </r>
      </text>
    </comment>
    <comment ref="M50" authorId="3" shapeId="0" xr:uid="{00000000-0006-0000-05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
9-15</t>
        </r>
      </text>
    </comment>
    <comment ref="N50" authorId="3" shapeId="0" xr:uid="{00000000-0006-0000-05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
9-15</t>
        </r>
      </text>
    </comment>
    <comment ref="O50" authorId="3" shapeId="0" xr:uid="{00000000-0006-0000-05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
9-15</t>
        </r>
      </text>
    </comment>
    <comment ref="P50" authorId="3" shapeId="0" xr:uid="{00000000-0006-0000-05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
13-18</t>
        </r>
      </text>
    </comment>
    <comment ref="Q50" authorId="3" shapeId="0" xr:uid="{00000000-0006-0000-0500-00004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Svendborg
9-13</t>
        </r>
      </text>
    </comment>
    <comment ref="F51" authorId="3" shapeId="0" xr:uid="{00000000-0006-0000-0500-00004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1-vagt</t>
        </r>
      </text>
    </comment>
    <comment ref="G51" authorId="3" shapeId="0" xr:uid="{00000000-0006-0000-0500-00004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1-vagt</t>
        </r>
      </text>
    </comment>
    <comment ref="H51" authorId="3" shapeId="0" xr:uid="{00000000-0006-0000-0500-00004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1-vagt</t>
        </r>
      </text>
    </comment>
    <comment ref="I51" authorId="3" shapeId="0" xr:uid="{00000000-0006-0000-0500-00004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1-vagt</t>
        </r>
      </text>
    </comment>
    <comment ref="J51" authorId="3" shapeId="0" xr:uid="{00000000-0006-0000-05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1-vagt</t>
        </r>
      </text>
    </comment>
    <comment ref="S78" authorId="2" shapeId="0" xr:uid="{00000000-0006-0000-0500-00004F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A2 07.00 - 19.00</t>
        </r>
      </text>
    </comment>
    <comment ref="AA78" authorId="3" shapeId="0" xr:uid="{00000000-0006-0000-05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 KL.07</t>
        </r>
      </text>
    </comment>
    <comment ref="AB78" authorId="3" shapeId="0" xr:uid="{00000000-0006-0000-05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8-vagt på oa.</t>
        </r>
      </text>
    </comment>
    <comment ref="F90" authorId="3" shapeId="0" xr:uid="{00000000-0006-0000-05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G90" authorId="3" shapeId="0" xr:uid="{00000000-0006-0000-0500-00005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H90" authorId="3" shapeId="0" xr:uid="{00000000-0006-0000-05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I90" authorId="3" shapeId="0" xr:uid="{00000000-0006-0000-0500-00005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J90" authorId="3" shapeId="0" xr:uid="{00000000-0006-0000-0500-00005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M90" authorId="3" shapeId="0" xr:uid="{00000000-0006-0000-05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N90" authorId="3" shapeId="0" xr:uid="{00000000-0006-0000-0500-00005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O90" authorId="3" shapeId="0" xr:uid="{00000000-0006-0000-0500-00005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P90" authorId="3" shapeId="0" xr:uid="{00000000-0006-0000-0500-00005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Q90" authorId="3" shapeId="0" xr:uid="{00000000-0006-0000-0500-00005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</t>
        </r>
      </text>
    </comment>
    <comment ref="T90" authorId="3" shapeId="0" xr:uid="{00000000-0006-0000-0500-00005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U90" authorId="3" shapeId="0" xr:uid="{00000000-0006-0000-0500-00005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V90" authorId="3" shapeId="0" xr:uid="{00000000-0006-0000-0500-00005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W90" authorId="3" shapeId="0" xr:uid="{00000000-0006-0000-0500-00005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X90" authorId="3" shapeId="0" xr:uid="{00000000-0006-0000-0500-00006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AA90" authorId="3" shapeId="0" xr:uid="{00000000-0006-0000-0500-00006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AB90" authorId="3" shapeId="0" xr:uid="{00000000-0006-0000-0500-00006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AC90" authorId="3" shapeId="0" xr:uid="{00000000-0006-0000-0500-00006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AD90" authorId="3" shapeId="0" xr:uid="{00000000-0006-0000-0500-00006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AE90" authorId="3" shapeId="0" xr:uid="{00000000-0006-0000-0500-00006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AA91" authorId="3" shapeId="0" xr:uid="{00000000-0006-0000-0500-00006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0900-1500</t>
        </r>
      </text>
    </comment>
    <comment ref="AB91" authorId="0" shapeId="0" xr:uid="{00000000-0006-0000-0500-000067000000}">
      <text>
        <r>
          <rPr>
            <sz val="10"/>
            <color indexed="81"/>
            <rFont val="Tahoma"/>
            <family val="2"/>
          </rPr>
          <t>Remisevej 09,00-15,00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(Hvis Camilla er syg)</t>
        </r>
      </text>
    </comment>
    <comment ref="AC91" authorId="0" shapeId="0" xr:uid="{00000000-0006-0000-0500-000068000000}">
      <text>
        <r>
          <rPr>
            <sz val="10"/>
            <color indexed="81"/>
            <rFont val="Tahoma"/>
            <family val="2"/>
          </rPr>
          <t>Remisevej
09,00-15,00
(Hvis Camilla er syg)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91" authorId="3" shapeId="0" xr:uid="{00000000-0006-0000-0500-00006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13-18</t>
        </r>
      </text>
    </comment>
    <comment ref="AE91" authorId="3" shapeId="0" xr:uid="{00000000-0006-0000-0500-00006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0900-1300</t>
        </r>
      </text>
    </comment>
    <comment ref="C92" authorId="3" shapeId="0" xr:uid="{00000000-0006-0000-0500-00006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 som k2</t>
        </r>
      </text>
    </comment>
    <comment ref="G103" authorId="1" shapeId="0" xr:uid="{00000000-0006-0000-0500-00006C000000}">
      <text>
        <r>
          <rPr>
            <b/>
            <sz val="9"/>
            <color indexed="81"/>
            <rFont val="Tahoma"/>
            <family val="2"/>
          </rPr>
          <t>Skal møde i retten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15" authorId="3" shapeId="0" xr:uid="{00000000-0006-0000-0500-00006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4-vagt 
på OA.</t>
        </r>
      </text>
    </comment>
    <comment ref="V115" authorId="0" shapeId="0" xr:uid="{00000000-0006-0000-0500-00006E000000}">
      <text>
        <r>
          <rPr>
            <sz val="10"/>
            <color indexed="81"/>
            <rFont val="Tahoma"/>
            <family val="2"/>
          </rPr>
          <t>Valgdepot pga. vandskade.
8,00-12,00.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15" authorId="2" shapeId="0" xr:uid="{00000000-0006-0000-0500-00006F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Carsten møder i oplysningen kl. 09 - 14.00</t>
        </r>
      </text>
    </comment>
    <comment ref="AA115" authorId="5" shapeId="0" xr:uid="{00000000-0006-0000-0500-000070000000}">
      <text>
        <r>
          <rPr>
            <b/>
            <sz val="8"/>
            <color indexed="81"/>
            <rFont val="Tahoma"/>
            <family val="2"/>
          </rPr>
          <t>kipede: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7-vagt på OA</t>
        </r>
      </text>
    </comment>
    <comment ref="AA116" authorId="2" shapeId="0" xr:uid="{00000000-0006-0000-0500-000071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 på OA</t>
        </r>
      </text>
    </comment>
    <comment ref="F118" authorId="3" shapeId="0" xr:uid="{00000000-0006-0000-0500-00007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G118" authorId="3" shapeId="0" xr:uid="{00000000-0006-0000-0500-00007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H118" authorId="3" shapeId="0" xr:uid="{00000000-0006-0000-0500-00007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I118" authorId="3" shapeId="0" xr:uid="{00000000-0006-0000-0500-00007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13-18</t>
        </r>
      </text>
    </comment>
    <comment ref="J118" authorId="3" shapeId="0" xr:uid="{00000000-0006-0000-0500-00007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9-13</t>
        </r>
      </text>
    </comment>
    <comment ref="T118" authorId="3" shapeId="0" xr:uid="{00000000-0006-0000-0500-00007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0815-1530</t>
        </r>
      </text>
    </comment>
    <comment ref="U118" authorId="3" shapeId="0" xr:uid="{00000000-0006-0000-0500-00007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0815-1530</t>
        </r>
      </text>
    </comment>
    <comment ref="V118" authorId="3" shapeId="0" xr:uid="{00000000-0006-0000-0500-00007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0815-1530</t>
        </r>
      </text>
    </comment>
    <comment ref="W118" authorId="3" shapeId="0" xr:uid="{00000000-0006-0000-0500-00007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0900-1800</t>
        </r>
      </text>
    </comment>
    <comment ref="X118" authorId="3" shapeId="0" xr:uid="{00000000-0006-0000-0500-00007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0815-1330</t>
        </r>
      </text>
    </comment>
    <comment ref="Y118" authorId="1" shapeId="0" xr:uid="{00000000-0006-0000-0500-00007C000000}">
      <text>
        <r>
          <rPr>
            <b/>
            <sz val="9"/>
            <color indexed="81"/>
            <rFont val="Tahoma"/>
            <family val="2"/>
          </rPr>
          <t>Mødetid kl. 09.00</t>
        </r>
        <r>
          <rPr>
            <b/>
            <sz val="8"/>
            <color indexed="81"/>
            <rFont val="Tahoma"/>
            <family val="2"/>
          </rPr>
          <t xml:space="preserve">
Ekstravagt ved specielbryllup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18" authorId="3" shapeId="0" xr:uid="{00000000-0006-0000-0500-00007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0815-1530..OA</t>
        </r>
      </text>
    </comment>
    <comment ref="AB118" authorId="3" shapeId="0" xr:uid="{00000000-0006-0000-0500-00007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0815-1530..OA</t>
        </r>
      </text>
    </comment>
    <comment ref="AC128" authorId="2" shapeId="0" xr:uid="{00000000-0006-0000-0500-00007F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Fortsætter som 7-vagt</t>
        </r>
      </text>
    </comment>
    <comment ref="C129" authorId="3" shapeId="0" xr:uid="{00000000-0006-0000-0500-00008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D129" authorId="3" shapeId="0" xr:uid="{00000000-0006-0000-0500-00008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Var på arbejde til kl. 24</t>
        </r>
      </text>
    </comment>
    <comment ref="O129" authorId="2" shapeId="0" xr:uid="{00000000-0006-0000-0500-000082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Matthæusgade 1</t>
        </r>
      </text>
    </comment>
    <comment ref="Q152" authorId="1" shapeId="0" xr:uid="{00000000-0006-0000-0500-000083000000}">
      <text>
        <r>
          <rPr>
            <b/>
            <sz val="10"/>
            <color indexed="81"/>
            <rFont val="Tahoma"/>
            <family val="2"/>
          </rPr>
          <t>Flyttefridag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58" authorId="0" shapeId="0" xr:uid="{00000000-0006-0000-0500-000084000000}">
      <text>
        <r>
          <rPr>
            <sz val="10"/>
            <color indexed="81"/>
            <rFont val="Tahoma"/>
            <family val="2"/>
          </rPr>
          <t>Valgdepot pga. vandskade.
8,00-16,00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58" authorId="2" shapeId="0" xr:uid="{00000000-0006-0000-0500-000085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Ændret fra sen til alm. Dagvagt p.g.a. arrangementer
hele ugen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zn95</author>
    <author>bovolf</author>
    <author>erskyg</author>
  </authors>
  <commentList>
    <comment ref="S16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4 ferietimer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1" authorId="0" shapeId="0" xr:uid="{00000000-0006-0000-0E00-000002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1" authorId="0" shapeId="0" xr:uid="{00000000-0006-0000-0E00-000003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21" authorId="0" shapeId="0" xr:uid="{00000000-0006-0000-0E00-000004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21" authorId="0" shapeId="0" xr:uid="{00000000-0006-0000-0E00-000005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21" authorId="0" shapeId="0" xr:uid="{00000000-0006-0000-0E00-000006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7" authorId="1" shapeId="0" xr:uid="{00000000-0006-0000-0E00-00000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Svendborggade 9-15</t>
        </r>
      </text>
    </comment>
    <comment ref="E37" authorId="1" shapeId="0" xr:uid="{00000000-0006-0000-0E00-00000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Svendborggade 9-15</t>
        </r>
      </text>
    </comment>
    <comment ref="F37" authorId="1" shapeId="0" xr:uid="{00000000-0006-0000-0E00-00000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Svendborggade 9-15</t>
        </r>
      </text>
    </comment>
    <comment ref="Y37" authorId="2" shapeId="0" xr:uid="{00000000-0006-0000-0E00-00000A000000}">
      <text>
        <r>
          <rPr>
            <b/>
            <sz val="8"/>
            <color indexed="81"/>
            <rFont val="Tahoma"/>
            <family val="2"/>
          </rPr>
          <t>zn95:</t>
        </r>
        <r>
          <rPr>
            <sz val="8"/>
            <color indexed="81"/>
            <rFont val="Tahoma"/>
            <family val="2"/>
          </rPr>
          <t xml:space="preserve">
Remisevej
0900-1500</t>
        </r>
      </text>
    </comment>
    <comment ref="Z37" authorId="2" shapeId="0" xr:uid="{00000000-0006-0000-0E00-00000B000000}">
      <text>
        <r>
          <rPr>
            <b/>
            <sz val="8"/>
            <color indexed="81"/>
            <rFont val="Tahoma"/>
            <family val="2"/>
          </rPr>
          <t>zn95:</t>
        </r>
        <r>
          <rPr>
            <sz val="8"/>
            <color indexed="81"/>
            <rFont val="Tahoma"/>
            <family val="2"/>
          </rPr>
          <t xml:space="preserve">
Remisevej
0900-1500</t>
        </r>
      </text>
    </comment>
    <comment ref="AA37" authorId="2" shapeId="0" xr:uid="{00000000-0006-0000-0E00-00000C000000}">
      <text>
        <r>
          <rPr>
            <b/>
            <sz val="8"/>
            <color indexed="81"/>
            <rFont val="Tahoma"/>
            <family val="2"/>
          </rPr>
          <t>zn95:</t>
        </r>
        <r>
          <rPr>
            <sz val="8"/>
            <color indexed="81"/>
            <rFont val="Tahoma"/>
            <family val="2"/>
          </rPr>
          <t xml:space="preserve">
Remisevej
0900-1500</t>
        </r>
      </text>
    </comment>
    <comment ref="AB37" authorId="2" shapeId="0" xr:uid="{00000000-0006-0000-0E00-00000D000000}">
      <text>
        <r>
          <rPr>
            <b/>
            <sz val="8"/>
            <color indexed="81"/>
            <rFont val="Tahoma"/>
            <family val="2"/>
          </rPr>
          <t>zn95:</t>
        </r>
        <r>
          <rPr>
            <sz val="8"/>
            <color indexed="81"/>
            <rFont val="Tahoma"/>
            <family val="2"/>
          </rPr>
          <t xml:space="preserve">
Remisevej
0900-1500</t>
        </r>
      </text>
    </comment>
    <comment ref="AC37" authorId="2" shapeId="0" xr:uid="{00000000-0006-0000-0E00-00000E000000}">
      <text>
        <r>
          <rPr>
            <b/>
            <sz val="8"/>
            <color indexed="81"/>
            <rFont val="Tahoma"/>
            <family val="2"/>
          </rPr>
          <t>zn95:</t>
        </r>
        <r>
          <rPr>
            <sz val="8"/>
            <color indexed="81"/>
            <rFont val="Tahoma"/>
            <family val="2"/>
          </rPr>
          <t xml:space="preserve">
Remisevej
0900-1500</t>
        </r>
      </text>
    </comment>
    <comment ref="AF37" authorId="1" shapeId="0" xr:uid="{00000000-0006-0000-0E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09-15</t>
        </r>
      </text>
    </comment>
    <comment ref="D38" authorId="0" shapeId="0" xr:uid="{00000000-0006-0000-0E00-000010000000}">
      <text>
        <r>
          <rPr>
            <b/>
            <sz val="8"/>
            <color indexed="81"/>
            <rFont val="Tahoma"/>
            <family val="2"/>
          </rPr>
          <t>Ørnevej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8" authorId="0" shapeId="0" xr:uid="{00000000-0006-0000-0E00-000011000000}">
      <text>
        <r>
          <rPr>
            <b/>
            <sz val="8"/>
            <color indexed="81"/>
            <rFont val="Tahoma"/>
            <family val="2"/>
          </rPr>
          <t>Ørnevej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 shapeId="0" xr:uid="{00000000-0006-0000-0E00-000012000000}">
      <text>
        <r>
          <rPr>
            <b/>
            <sz val="8"/>
            <color indexed="81"/>
            <rFont val="Tahoma"/>
            <family val="2"/>
          </rPr>
          <t>Ørnevej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8" authorId="0" shapeId="0" xr:uid="{00000000-0006-0000-0E00-000013000000}">
      <text>
        <r>
          <rPr>
            <b/>
            <sz val="8"/>
            <color indexed="81"/>
            <rFont val="Tahoma"/>
            <family val="2"/>
          </rPr>
          <t>Ørnevej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8" authorId="0" shapeId="0" xr:uid="{00000000-0006-0000-0E00-000014000000}">
      <text>
        <r>
          <rPr>
            <b/>
            <sz val="8"/>
            <color indexed="81"/>
            <rFont val="Tahoma"/>
            <family val="2"/>
          </rPr>
          <t>Ørnevej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8" authorId="0" shapeId="0" xr:uid="{00000000-0006-0000-0E00-000015000000}">
      <text>
        <r>
          <rPr>
            <b/>
            <sz val="8"/>
            <color indexed="81"/>
            <rFont val="Tahoma"/>
            <family val="2"/>
          </rPr>
          <t>Ørnevej 
 13 - 18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" authorId="0" shapeId="0" xr:uid="{00000000-0006-0000-0E00-000016000000}">
      <text>
        <r>
          <rPr>
            <b/>
            <sz val="8"/>
            <color indexed="81"/>
            <rFont val="Tahoma"/>
            <family val="2"/>
          </rPr>
          <t>ØRNEVEJ
 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38" authorId="2" shapeId="0" xr:uid="{00000000-0006-0000-0E00-000017000000}">
      <text>
        <r>
          <rPr>
            <b/>
            <sz val="8"/>
            <color indexed="81"/>
            <rFont val="Tahoma"/>
            <family val="2"/>
          </rPr>
          <t>zn95:</t>
        </r>
        <r>
          <rPr>
            <sz val="8"/>
            <color indexed="81"/>
            <rFont val="Tahoma"/>
            <family val="2"/>
          </rPr>
          <t xml:space="preserve">
Omlagt tjeneste</t>
        </r>
      </text>
    </comment>
    <comment ref="Q38" authorId="2" shapeId="0" xr:uid="{00000000-0006-0000-0E00-000018000000}">
      <text>
        <r>
          <rPr>
            <b/>
            <sz val="8"/>
            <color indexed="81"/>
            <rFont val="Tahoma"/>
            <family val="2"/>
          </rPr>
          <t>zn95:</t>
        </r>
        <r>
          <rPr>
            <sz val="8"/>
            <color indexed="81"/>
            <rFont val="Tahoma"/>
            <family val="2"/>
          </rPr>
          <t xml:space="preserve">
Omlagt tjeneste</t>
        </r>
      </text>
    </comment>
    <comment ref="R38" authorId="0" shapeId="0" xr:uid="{00000000-0006-0000-0E00-000019000000}">
      <text>
        <r>
          <rPr>
            <b/>
            <sz val="8"/>
            <color indexed="81"/>
            <rFont val="Tahoma"/>
            <family val="2"/>
          </rPr>
          <t>TR-KURSUS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38" authorId="0" shapeId="0" xr:uid="{00000000-0006-0000-0E00-00001A000000}">
      <text>
        <r>
          <rPr>
            <b/>
            <sz val="8"/>
            <color indexed="81"/>
            <rFont val="Tahoma"/>
            <family val="2"/>
          </rPr>
          <t>TR-KURSUS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38" authorId="1" shapeId="0" xr:uid="{00000000-0006-0000-0E00-00001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Økf. ØRNEVEJ</t>
        </r>
      </text>
    </comment>
    <comment ref="U38" authorId="1" shapeId="0" xr:uid="{00000000-0006-0000-0E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Økf. ØRNEVEJ</t>
        </r>
      </text>
    </comment>
    <comment ref="V38" authorId="1" shapeId="0" xr:uid="{00000000-0006-0000-0E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Økf. ØRNEVEJ</t>
        </r>
      </text>
    </comment>
    <comment ref="Y38" authorId="1" shapeId="0" xr:uid="{00000000-0006-0000-0E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Økf. ØRNEVEJ</t>
        </r>
      </text>
    </comment>
    <comment ref="Z38" authorId="1" shapeId="0" xr:uid="{00000000-0006-0000-0E00-00001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Økf. ØRNEVEJ</t>
        </r>
      </text>
    </comment>
    <comment ref="AA38" authorId="1" shapeId="0" xr:uid="{00000000-0006-0000-0E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Økf. ØRNEVEJ</t>
        </r>
      </text>
    </comment>
    <comment ref="AB38" authorId="1" shapeId="0" xr:uid="{00000000-0006-0000-0E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Økf. ØRNEVEJ</t>
        </r>
      </text>
    </comment>
    <comment ref="AC38" authorId="1" shapeId="0" xr:uid="{00000000-0006-0000-0E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Økf. ØRNEVEJ</t>
        </r>
      </text>
    </comment>
    <comment ref="AF38" authorId="1" shapeId="0" xr:uid="{00000000-0006-0000-0E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E39" authorId="3" shapeId="0" xr:uid="{00000000-0006-0000-0E00-000024000000}">
      <text>
        <r>
          <rPr>
            <sz val="10"/>
            <color indexed="81"/>
            <rFont val="Tahoma"/>
            <family val="2"/>
          </rPr>
          <t>+ OA K2
Bo Volfing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3" shapeId="0" xr:uid="{00000000-0006-0000-0E00-000025000000}">
      <text>
        <r>
          <rPr>
            <sz val="10"/>
            <color indexed="81"/>
            <rFont val="Tahoma"/>
            <family val="2"/>
          </rPr>
          <t>+ OA K2
Bo Volfing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39" authorId="1" shapeId="0" xr:uid="{00000000-0006-0000-0E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Svendborggade</t>
        </r>
      </text>
    </comment>
    <comment ref="T39" authorId="1" shapeId="0" xr:uid="{00000000-0006-0000-0E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Svendborggade</t>
        </r>
      </text>
    </comment>
    <comment ref="U39" authorId="1" shapeId="0" xr:uid="{00000000-0006-0000-0E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Svendborggade
13-18</t>
        </r>
      </text>
    </comment>
    <comment ref="V39" authorId="1" shapeId="0" xr:uid="{00000000-0006-0000-0E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Svendborggade
9 - 13</t>
        </r>
      </text>
    </comment>
    <comment ref="Y39" authorId="2" shapeId="0" xr:uid="{00000000-0006-0000-0E00-00002A000000}">
      <text>
        <r>
          <rPr>
            <b/>
            <sz val="8"/>
            <color indexed="81"/>
            <rFont val="Tahoma"/>
            <family val="2"/>
          </rPr>
          <t>Gl.Køge
0900-15</t>
        </r>
      </text>
    </comment>
    <comment ref="Z39" authorId="1" shapeId="0" xr:uid="{00000000-0006-0000-0E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
0900-15.00</t>
        </r>
      </text>
    </comment>
    <comment ref="AA39" authorId="1" shapeId="0" xr:uid="{00000000-0006-0000-0E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 Køge
0900-15.00</t>
        </r>
      </text>
    </comment>
    <comment ref="D40" authorId="0" shapeId="0" xr:uid="{00000000-0006-0000-0E00-00002D000000}">
      <text>
        <r>
          <rPr>
            <b/>
            <sz val="8"/>
            <color indexed="81"/>
            <rFont val="Tahoma"/>
            <family val="2"/>
          </rPr>
          <t>Gl.KØGELANDEVEJ</t>
        </r>
        <r>
          <rPr>
            <sz val="8"/>
            <color indexed="81"/>
            <rFont val="Tahoma"/>
            <family val="2"/>
          </rPr>
          <t xml:space="preserve">
9 - 15</t>
        </r>
      </text>
    </comment>
    <comment ref="E40" authorId="0" shapeId="0" xr:uid="{00000000-0006-0000-0E00-00002E000000}">
      <text>
        <r>
          <rPr>
            <b/>
            <sz val="8"/>
            <color indexed="81"/>
            <rFont val="Tahoma"/>
            <family val="2"/>
          </rPr>
          <t>Gl.KØGELANDEVEJ</t>
        </r>
        <r>
          <rPr>
            <sz val="8"/>
            <color indexed="81"/>
            <rFont val="Tahoma"/>
            <family val="2"/>
          </rPr>
          <t xml:space="preserve">
9 - 15</t>
        </r>
      </text>
    </comment>
    <comment ref="F40" authorId="0" shapeId="0" xr:uid="{00000000-0006-0000-0E00-00002F000000}">
      <text>
        <r>
          <rPr>
            <b/>
            <sz val="8"/>
            <color indexed="81"/>
            <rFont val="Tahoma"/>
            <family val="2"/>
          </rPr>
          <t>Gl.KØGELANDEVEJ</t>
        </r>
        <r>
          <rPr>
            <sz val="8"/>
            <color indexed="81"/>
            <rFont val="Tahoma"/>
            <family val="2"/>
          </rPr>
          <t xml:space="preserve">
9 - 15</t>
        </r>
      </text>
    </comment>
    <comment ref="L40" authorId="1" shapeId="0" xr:uid="{00000000-0006-0000-0E00-00003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9-15</t>
        </r>
      </text>
    </comment>
    <comment ref="M40" authorId="1" shapeId="0" xr:uid="{00000000-0006-0000-0E00-00003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9-15</t>
        </r>
      </text>
    </comment>
    <comment ref="N40" authorId="1" shapeId="0" xr:uid="{00000000-0006-0000-0E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13-18</t>
        </r>
      </text>
    </comment>
    <comment ref="O40" authorId="1" shapeId="0" xr:uid="{00000000-0006-0000-0E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9-13</t>
        </r>
      </text>
    </comment>
    <comment ref="S40" authorId="1" shapeId="0" xr:uid="{00000000-0006-0000-0E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
0900-1500</t>
        </r>
      </text>
    </comment>
    <comment ref="Z40" authorId="0" shapeId="0" xr:uid="{00000000-0006-0000-0E00-000035000000}">
      <text>
        <r>
          <rPr>
            <b/>
            <sz val="8"/>
            <color indexed="81"/>
            <rFont val="Tahoma"/>
            <family val="2"/>
          </rPr>
          <t xml:space="preserve">
Svanevej</t>
        </r>
      </text>
    </comment>
    <comment ref="AA40" authorId="0" shapeId="0" xr:uid="{00000000-0006-0000-0E00-000036000000}">
      <text>
        <r>
          <rPr>
            <b/>
            <sz val="8"/>
            <color indexed="81"/>
            <rFont val="Tahoma"/>
            <family val="2"/>
          </rPr>
          <t>Svanevej</t>
        </r>
      </text>
    </comment>
    <comment ref="AB40" authorId="0" shapeId="0" xr:uid="{00000000-0006-0000-0E00-000037000000}">
      <text>
        <r>
          <rPr>
            <b/>
            <sz val="8"/>
            <color indexed="81"/>
            <rFont val="Tahoma"/>
            <family val="2"/>
          </rPr>
          <t>Svanevej</t>
        </r>
      </text>
    </comment>
    <comment ref="AC40" authorId="0" shapeId="0" xr:uid="{00000000-0006-0000-0E00-000038000000}">
      <text>
        <r>
          <rPr>
            <b/>
            <sz val="8"/>
            <color indexed="81"/>
            <rFont val="Tahoma"/>
            <family val="2"/>
          </rPr>
          <t>Svanevej</t>
        </r>
      </text>
    </comment>
    <comment ref="D42" authorId="0" shapeId="0" xr:uid="{00000000-0006-0000-0E00-000039000000}">
      <text>
        <r>
          <rPr>
            <b/>
            <sz val="10"/>
            <color indexed="81"/>
            <rFont val="Tahoma"/>
            <family val="2"/>
          </rPr>
          <t>Remisevej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2" authorId="0" shapeId="0" xr:uid="{00000000-0006-0000-0E00-00003A000000}">
      <text>
        <r>
          <rPr>
            <b/>
            <sz val="10"/>
            <color indexed="81"/>
            <rFont val="Tahoma"/>
            <family val="2"/>
          </rPr>
          <t>Remisevej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 shapeId="0" xr:uid="{00000000-0006-0000-0E00-00003B000000}">
      <text>
        <r>
          <rPr>
            <b/>
            <sz val="10"/>
            <color indexed="81"/>
            <rFont val="Tahoma"/>
            <family val="2"/>
          </rPr>
          <t>Remisevej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2" authorId="0" shapeId="0" xr:uid="{00000000-0006-0000-0E00-00003C000000}">
      <text>
        <r>
          <rPr>
            <b/>
            <sz val="8"/>
            <color indexed="81"/>
            <rFont val="Tahoma"/>
            <family val="2"/>
          </rPr>
          <t>Matthæusgade 1
9 -15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E00-00003D000000}">
      <text>
        <r>
          <rPr>
            <b/>
            <sz val="8"/>
            <color indexed="81"/>
            <rFont val="Tahoma"/>
            <family val="2"/>
          </rPr>
          <t>Svanej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43" authorId="1" shapeId="0" xr:uid="{00000000-0006-0000-0E00-00003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13-18</t>
        </r>
      </text>
    </comment>
    <comment ref="O43" authorId="1" shapeId="0" xr:uid="{00000000-0006-0000-0E00-00003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0900-1300</t>
        </r>
      </text>
    </comment>
    <comment ref="Z43" authorId="1" shapeId="0" xr:uid="{00000000-0006-0000-0E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0900-15.00</t>
        </r>
      </text>
    </comment>
    <comment ref="AA43" authorId="1" shapeId="0" xr:uid="{00000000-0006-0000-0E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0900-15.00</t>
        </r>
      </text>
    </comment>
    <comment ref="AB43" authorId="1" shapeId="0" xr:uid="{00000000-0006-0000-0E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13-18</t>
        </r>
      </text>
    </comment>
    <comment ref="AC43" authorId="1" shapeId="0" xr:uid="{00000000-0006-0000-0E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0900-13.00</t>
        </r>
      </text>
    </comment>
    <comment ref="AF43" authorId="0" shapeId="0" xr:uid="{00000000-0006-0000-0E00-000044000000}">
      <text>
        <r>
          <rPr>
            <b/>
            <sz val="8"/>
            <color indexed="81"/>
            <rFont val="Tahoma"/>
            <family val="2"/>
          </rPr>
          <t>Valdemarsgade 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" authorId="1" shapeId="0" xr:uid="{00000000-0006-0000-0E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
9-13</t>
        </r>
      </text>
    </comment>
    <comment ref="AF46" authorId="1" shapeId="0" xr:uid="{00000000-0006-0000-0E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9-15</t>
        </r>
      </text>
    </comment>
    <comment ref="D47" authorId="0" shapeId="0" xr:uid="{00000000-0006-0000-0E00-000047000000}">
      <text>
        <r>
          <rPr>
            <b/>
            <sz val="9"/>
            <color indexed="81"/>
            <rFont val="Tahoma"/>
            <family val="2"/>
          </rPr>
          <t>Møder som Anders
07.00 - 14.45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7" authorId="0" shapeId="0" xr:uid="{00000000-0006-0000-0E00-000048000000}">
      <text>
        <r>
          <rPr>
            <b/>
            <sz val="9"/>
            <color indexed="81"/>
            <rFont val="Tahoma"/>
            <family val="2"/>
          </rPr>
          <t>Møder som Anders
07.00 - 14.45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 shapeId="0" xr:uid="{00000000-0006-0000-0E00-000049000000}">
      <text>
        <r>
          <rPr>
            <b/>
            <sz val="9"/>
            <color indexed="81"/>
            <rFont val="Tahoma"/>
            <family val="2"/>
          </rPr>
          <t>Møder som Anders
07.00 - 14.45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48" authorId="1" shapeId="0" xr:uid="{00000000-0006-0000-0E00-00004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Svendborggade</t>
        </r>
      </text>
    </comment>
    <comment ref="Q49" authorId="2" shapeId="0" xr:uid="{00000000-0006-0000-0E00-00004B000000}">
      <text>
        <r>
          <rPr>
            <b/>
            <sz val="8"/>
            <color indexed="81"/>
            <rFont val="Tahoma"/>
            <family val="2"/>
          </rPr>
          <t>zn95:</t>
        </r>
        <r>
          <rPr>
            <sz val="8"/>
            <color indexed="81"/>
            <rFont val="Tahoma"/>
            <family val="2"/>
          </rPr>
          <t xml:space="preserve">
Møder som B2 efter arrangement i hallen</t>
        </r>
      </text>
    </comment>
    <comment ref="L50" authorId="0" shapeId="0" xr:uid="{00000000-0006-0000-0E00-00004C000000}">
      <text>
        <r>
          <rPr>
            <b/>
            <sz val="8"/>
            <color indexed="81"/>
            <rFont val="Tahoma"/>
            <family val="2"/>
          </rPr>
          <t>Ørnevej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0" authorId="0" shapeId="0" xr:uid="{00000000-0006-0000-0E00-00004D000000}">
      <text>
        <r>
          <rPr>
            <b/>
            <sz val="8"/>
            <color indexed="81"/>
            <rFont val="Tahoma"/>
            <family val="2"/>
          </rPr>
          <t>Ørnevej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0" authorId="0" shapeId="0" xr:uid="{00000000-0006-0000-0E00-00004E000000}">
      <text>
        <r>
          <rPr>
            <b/>
            <sz val="8"/>
            <color indexed="81"/>
            <rFont val="Tahoma"/>
            <family val="2"/>
          </rPr>
          <t>Ørnevej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72" authorId="0" shapeId="0" xr:uid="{00000000-0006-0000-0E00-00004F000000}">
      <text>
        <r>
          <rPr>
            <b/>
            <sz val="8"/>
            <color indexed="81"/>
            <rFont val="Tahoma"/>
            <family val="2"/>
          </rPr>
          <t>Kursus 12.30 - 15.30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84" authorId="0" shapeId="0" xr:uid="{00000000-0006-0000-0E00-000050000000}">
      <text>
        <r>
          <rPr>
            <b/>
            <sz val="8"/>
            <color indexed="81"/>
            <rFont val="Tahoma"/>
            <family val="2"/>
          </rPr>
          <t>Svanej 12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84" authorId="0" shapeId="0" xr:uid="{00000000-0006-0000-0E00-000051000000}">
      <text>
        <r>
          <rPr>
            <b/>
            <sz val="8"/>
            <color indexed="81"/>
            <rFont val="Tahoma"/>
            <family val="2"/>
          </rPr>
          <t>Svanej 12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4" authorId="0" shapeId="0" xr:uid="{00000000-0006-0000-0E00-000052000000}">
      <text>
        <r>
          <rPr>
            <b/>
            <sz val="8"/>
            <color indexed="81"/>
            <rFont val="Tahoma"/>
            <family val="2"/>
          </rPr>
          <t>Svanej 12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84" authorId="0" shapeId="0" xr:uid="{00000000-0006-0000-0E00-000053000000}">
      <text>
        <r>
          <rPr>
            <b/>
            <sz val="8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84" authorId="0" shapeId="0" xr:uid="{00000000-0006-0000-0E00-000054000000}">
      <text>
        <r>
          <rPr>
            <b/>
            <sz val="8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84" authorId="0" shapeId="0" xr:uid="{00000000-0006-0000-0E00-000055000000}">
      <text>
        <r>
          <rPr>
            <sz val="8"/>
            <color indexed="81"/>
            <rFont val="Tahoma"/>
            <family val="2"/>
          </rPr>
          <t xml:space="preserve">Svanevej
</t>
        </r>
      </text>
    </comment>
    <comment ref="O84" authorId="0" shapeId="0" xr:uid="{00000000-0006-0000-0E00-000056000000}">
      <text>
        <r>
          <rPr>
            <sz val="8"/>
            <color indexed="81"/>
            <rFont val="Tahoma"/>
            <family val="2"/>
          </rPr>
          <t xml:space="preserve">Svanevej
</t>
        </r>
      </text>
    </comment>
    <comment ref="S84" authorId="0" shapeId="0" xr:uid="{00000000-0006-0000-0E00-000057000000}">
      <text>
        <r>
          <rPr>
            <b/>
            <sz val="8"/>
            <color indexed="81"/>
            <rFont val="Tahoma"/>
            <family val="2"/>
          </rPr>
          <t>Spaniensgade 4
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84" authorId="0" shapeId="0" xr:uid="{00000000-0006-0000-0E00-000058000000}">
      <text>
        <r>
          <rPr>
            <b/>
            <sz val="8"/>
            <color indexed="81"/>
            <rFont val="Tahoma"/>
            <family val="2"/>
          </rPr>
          <t>Ørnevej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84" authorId="0" shapeId="0" xr:uid="{00000000-0006-0000-0E00-000059000000}">
      <text>
        <r>
          <rPr>
            <b/>
            <sz val="8"/>
            <color indexed="81"/>
            <rFont val="Tahoma"/>
            <family val="2"/>
          </rPr>
          <t>Ørnevej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84" authorId="0" shapeId="0" xr:uid="{00000000-0006-0000-0E00-00005A000000}">
      <text>
        <r>
          <rPr>
            <b/>
            <sz val="8"/>
            <color indexed="81"/>
            <rFont val="Tahoma"/>
            <family val="2"/>
          </rPr>
          <t>Ørnevej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84" authorId="0" shapeId="0" xr:uid="{00000000-0006-0000-0E00-00005B000000}">
      <text>
        <r>
          <rPr>
            <b/>
            <sz val="8"/>
            <color indexed="81"/>
            <rFont val="Tahoma"/>
            <family val="2"/>
          </rPr>
          <t>Ørnevej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97" authorId="0" shapeId="0" xr:uid="{00000000-0006-0000-0E00-00005C000000}">
      <text>
        <r>
          <rPr>
            <b/>
            <sz val="10"/>
            <color indexed="81"/>
            <rFont val="Tahoma"/>
            <family val="2"/>
          </rPr>
          <t>Kødbyen 06.00 18.00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97" authorId="0" shapeId="0" xr:uid="{00000000-0006-0000-0E00-00005D000000}">
      <text>
        <r>
          <rPr>
            <b/>
            <sz val="8"/>
            <color indexed="81"/>
            <rFont val="Tahoma"/>
            <family val="2"/>
          </rPr>
          <t>Møder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97" authorId="0" shapeId="0" xr:uid="{00000000-0006-0000-0E00-00005E000000}">
      <text>
        <r>
          <rPr>
            <b/>
            <sz val="8"/>
            <color indexed="81"/>
            <rFont val="Tahoma"/>
            <family val="2"/>
          </rPr>
          <t>Møder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8" authorId="0" shapeId="0" xr:uid="{00000000-0006-0000-0E00-00005F000000}">
      <text>
        <r>
          <rPr>
            <b/>
            <sz val="10"/>
            <color indexed="81"/>
            <rFont val="Tahoma"/>
            <family val="2"/>
          </rPr>
          <t>Kødbyen 06.00 18.00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98" authorId="0" shapeId="0" xr:uid="{00000000-0006-0000-0E00-000060000000}">
      <text>
        <r>
          <rPr>
            <b/>
            <sz val="10"/>
            <color indexed="81"/>
            <rFont val="Tahoma"/>
            <family val="2"/>
          </rPr>
          <t>Kødbyen 06.00 18.00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22" authorId="0" shapeId="0" xr:uid="{00000000-0006-0000-0E00-000061000000}">
      <text>
        <r>
          <rPr>
            <b/>
            <sz val="8"/>
            <color indexed="81"/>
            <rFont val="Tahoma"/>
            <family val="2"/>
          </rPr>
          <t>Oplysningen
08.00 - 16.30</t>
        </r>
      </text>
    </comment>
    <comment ref="M122" authorId="0" shapeId="0" xr:uid="{00000000-0006-0000-0E00-000062000000}">
      <text>
        <r>
          <rPr>
            <b/>
            <sz val="8"/>
            <color indexed="81"/>
            <rFont val="Tahoma"/>
            <family val="2"/>
          </rPr>
          <t>Oplysningen
08.00 - 16.30</t>
        </r>
      </text>
    </comment>
    <comment ref="N122" authorId="0" shapeId="0" xr:uid="{00000000-0006-0000-0E00-000063000000}">
      <text>
        <r>
          <rPr>
            <b/>
            <sz val="8"/>
            <color indexed="81"/>
            <rFont val="Tahoma"/>
            <family val="2"/>
          </rPr>
          <t>Oplysningen
08.00 - 16.30</t>
        </r>
      </text>
    </comment>
    <comment ref="O122" authorId="0" shapeId="0" xr:uid="{00000000-0006-0000-0E00-000064000000}">
      <text>
        <r>
          <rPr>
            <b/>
            <sz val="8"/>
            <color indexed="81"/>
            <rFont val="Tahoma"/>
            <family val="2"/>
          </rPr>
          <t>Oplysningen
08.00 - 16.30</t>
        </r>
      </text>
    </comment>
    <comment ref="P122" authorId="0" shapeId="0" xr:uid="{00000000-0006-0000-0E00-000065000000}">
      <text>
        <r>
          <rPr>
            <b/>
            <sz val="11"/>
            <color indexed="81"/>
            <rFont val="Tahoma"/>
            <family val="2"/>
          </rPr>
          <t>Oplysningen
 9 - 14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24" authorId="0" shapeId="0" xr:uid="{00000000-0006-0000-0E00-000066000000}">
      <text>
        <r>
          <rPr>
            <b/>
            <sz val="9"/>
            <color indexed="81"/>
            <rFont val="Tahoma"/>
            <family val="2"/>
          </rPr>
          <t>Matthæusgade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24" authorId="0" shapeId="0" xr:uid="{00000000-0006-0000-0E00-000067000000}">
      <text>
        <r>
          <rPr>
            <b/>
            <sz val="9"/>
            <color indexed="81"/>
            <rFont val="Tahoma"/>
            <family val="2"/>
          </rPr>
          <t>Matthæusgade</t>
        </r>
        <r>
          <rPr>
            <sz val="8"/>
            <color indexed="81"/>
            <rFont val="Tahoma"/>
            <family val="2"/>
          </rPr>
          <t xml:space="preserve">
9-15</t>
        </r>
      </text>
    </comment>
    <comment ref="F124" authorId="0" shapeId="0" xr:uid="{00000000-0006-0000-0E00-000068000000}">
      <text>
        <r>
          <rPr>
            <b/>
            <sz val="9"/>
            <color indexed="81"/>
            <rFont val="Tahoma"/>
            <family val="2"/>
          </rPr>
          <t>Matthæusgade</t>
        </r>
        <r>
          <rPr>
            <sz val="8"/>
            <color indexed="81"/>
            <rFont val="Tahoma"/>
            <family val="2"/>
          </rPr>
          <t xml:space="preserve">
9-15</t>
        </r>
      </text>
    </comment>
    <comment ref="Y124" authorId="1" shapeId="0" xr:uid="{00000000-0006-0000-0E00-00006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
0900-1500</t>
        </r>
      </text>
    </comment>
    <comment ref="AB124" authorId="1" shapeId="0" xr:uid="{00000000-0006-0000-0E00-00006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
13-18</t>
        </r>
      </text>
    </comment>
    <comment ref="AC124" authorId="1" shapeId="0" xr:uid="{00000000-0006-0000-0E00-00006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 09-13</t>
        </r>
      </text>
    </comment>
    <comment ref="R125" authorId="0" shapeId="0" xr:uid="{00000000-0006-0000-0E00-00006C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125" authorId="0" shapeId="0" xr:uid="{00000000-0006-0000-0E00-00006D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25" authorId="0" shapeId="0" xr:uid="{00000000-0006-0000-0E00-00006E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25" authorId="0" shapeId="0" xr:uid="{00000000-0006-0000-0E00-00006F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5" authorId="0" shapeId="0" xr:uid="{00000000-0006-0000-0E00-000070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5" authorId="4" shapeId="0" xr:uid="{00000000-0006-0000-0E00-000071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Gl. Køge Landevej 10.30-15.00</t>
        </r>
      </text>
    </comment>
    <comment ref="D126" authorId="0" shapeId="0" xr:uid="{00000000-0006-0000-0E00-000072000000}">
      <text>
        <r>
          <rPr>
            <b/>
            <sz val="8"/>
            <color indexed="81"/>
            <rFont val="Tahoma"/>
            <family val="2"/>
          </rPr>
          <t>Matthæusgade 1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26" authorId="0" shapeId="0" xr:uid="{00000000-0006-0000-0E00-000073000000}">
      <text>
        <r>
          <rPr>
            <b/>
            <sz val="8"/>
            <color indexed="81"/>
            <rFont val="Tahoma"/>
            <family val="2"/>
          </rPr>
          <t>Matthæusgade 1
9-15</t>
        </r>
      </text>
    </comment>
    <comment ref="F126" authorId="0" shapeId="0" xr:uid="{00000000-0006-0000-0E00-000074000000}">
      <text>
        <r>
          <rPr>
            <b/>
            <sz val="8"/>
            <color indexed="81"/>
            <rFont val="Tahoma"/>
            <family val="2"/>
          </rPr>
          <t>Matthæusgade 1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26" authorId="0" shapeId="0" xr:uid="{00000000-0006-0000-0E00-000075000000}">
      <text>
        <r>
          <rPr>
            <b/>
            <sz val="8"/>
            <color indexed="81"/>
            <rFont val="Tahoma"/>
            <family val="2"/>
          </rPr>
          <t>Svanevej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6" authorId="1" shapeId="0" xr:uid="{00000000-0006-0000-0E00-00007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13-18</t>
        </r>
      </text>
    </comment>
    <comment ref="O126" authorId="1" shapeId="0" xr:uid="{00000000-0006-0000-0E00-00007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0900-1300</t>
        </r>
      </text>
    </comment>
    <comment ref="AF126" authorId="1" shapeId="0" xr:uid="{00000000-0006-0000-0E00-00007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0900-15.00</t>
        </r>
      </text>
    </comment>
    <comment ref="D127" authorId="3" shapeId="0" xr:uid="{00000000-0006-0000-0E00-000079000000}">
      <text>
        <r>
          <rPr>
            <sz val="10"/>
            <color indexed="81"/>
            <rFont val="Tahoma"/>
            <family val="2"/>
          </rPr>
          <t>+ OA K2 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214" authorId="0" shapeId="0" xr:uid="{00000000-0006-0000-0E00-00007A000000}">
      <text>
        <r>
          <rPr>
            <b/>
            <sz val="8"/>
            <color indexed="81"/>
            <rFont val="Tahoma"/>
            <family val="2"/>
          </rPr>
          <t>FF OG FE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221" authorId="0" shapeId="0" xr:uid="{00000000-0006-0000-0E00-00007B000000}">
      <text>
        <r>
          <rPr>
            <b/>
            <sz val="8"/>
            <color indexed="81"/>
            <rFont val="Tahoma"/>
            <family val="2"/>
          </rPr>
          <t>En time som ferie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marasm</author>
    <author>erskyg</author>
    <author>jilars</author>
  </authors>
  <commentList>
    <comment ref="Y17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Brønshøjvej 17
 08.30 - 15.00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00000000-0006-0000-0600-000002000000}">
      <text>
        <r>
          <rPr>
            <b/>
            <sz val="10"/>
            <color indexed="81"/>
            <rFont val="Tahoma"/>
            <family val="2"/>
          </rPr>
          <t>Fashionweek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1" authorId="0" shapeId="0" xr:uid="{00000000-0006-0000-0600-000003000000}">
      <text>
        <r>
          <rPr>
            <b/>
            <sz val="10"/>
            <color indexed="81"/>
            <rFont val="Tahoma"/>
            <family val="2"/>
          </rPr>
          <t>Fashionweek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 shapeId="0" xr:uid="{00000000-0006-0000-0600-000004000000}">
      <text>
        <r>
          <rPr>
            <b/>
            <sz val="10"/>
            <color indexed="81"/>
            <rFont val="Tahoma"/>
            <family val="2"/>
          </rPr>
          <t>Fashionweek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 shapeId="0" xr:uid="{00000000-0006-0000-0600-000005000000}">
      <text>
        <r>
          <rPr>
            <b/>
            <sz val="10"/>
            <color indexed="81"/>
            <rFont val="Tahoma"/>
            <family val="2"/>
          </rPr>
          <t>Fashionweek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32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Svendborggade 5
 9 - 15</t>
        </r>
      </text>
    </comment>
    <comment ref="Z32" authorId="1" shapeId="0" xr:uid="{00000000-0006-0000-0600-00000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0900-1500</t>
        </r>
      </text>
    </comment>
    <comment ref="AA32" authorId="1" shapeId="0" xr:uid="{00000000-0006-0000-0600-00000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1300-1800</t>
        </r>
      </text>
    </comment>
    <comment ref="AB32" authorId="1" shapeId="0" xr:uid="{00000000-0006-0000-0600-00000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0900-1300</t>
        </r>
      </text>
    </comment>
    <comment ref="AE32" authorId="1" shapeId="0" xr:uid="{00000000-0006-0000-0600-00000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0900-1500</t>
        </r>
      </text>
    </comment>
    <comment ref="AF32" authorId="1" shapeId="0" xr:uid="{00000000-0006-0000-0600-00000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0900-1500</t>
        </r>
      </text>
    </comment>
    <comment ref="AG32" authorId="1" shapeId="0" xr:uid="{00000000-0006-0000-0600-00000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0900-1500</t>
        </r>
      </text>
    </comment>
    <comment ref="C33" authorId="1" shapeId="0" xr:uid="{00000000-0006-0000-0600-00000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D33" authorId="1" shapeId="0" xr:uid="{00000000-0006-0000-06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E33" authorId="1" shapeId="0" xr:uid="{00000000-0006-0000-06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F33" authorId="1" shapeId="0" xr:uid="{00000000-0006-0000-06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G33" authorId="1" shapeId="0" xr:uid="{00000000-0006-0000-0600-00001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AA34" authorId="0" shapeId="0" xr:uid="{00000000-0006-0000-0600-000012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34" authorId="0" shapeId="0" xr:uid="{00000000-0006-0000-0600-000013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4" authorId="0" shapeId="0" xr:uid="{00000000-0006-0000-0600-000014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34" authorId="0" shapeId="0" xr:uid="{00000000-0006-0000-0600-000015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1" shapeId="0" xr:uid="{00000000-0006-0000-06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</t>
        </r>
      </text>
    </comment>
    <comment ref="D35" authorId="1" shapeId="0" xr:uid="{00000000-0006-0000-0600-00001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 + Matthæusgade 14-1530</t>
        </r>
      </text>
    </comment>
    <comment ref="E35" authorId="1" shapeId="0" xr:uid="{00000000-0006-0000-0600-00001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</t>
        </r>
      </text>
    </comment>
    <comment ref="F35" authorId="1" shapeId="0" xr:uid="{00000000-0006-0000-0600-00001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</t>
        </r>
      </text>
    </comment>
    <comment ref="G35" authorId="1" shapeId="0" xr:uid="{00000000-0006-0000-06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</t>
        </r>
      </text>
    </comment>
    <comment ref="M35" authorId="1" shapeId="0" xr:uid="{00000000-0006-0000-0600-00001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 Køgelandevej
1200-1800</t>
        </r>
      </text>
    </comment>
    <comment ref="N35" authorId="1" shapeId="0" xr:uid="{00000000-0006-0000-06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 Køgelandevej
0900-1400</t>
        </r>
      </text>
    </comment>
    <comment ref="AE35" authorId="2" shapeId="0" xr:uid="{00000000-0006-0000-0600-00001D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Matthæusgade 1</t>
        </r>
      </text>
    </comment>
    <comment ref="AF35" authorId="2" shapeId="0" xr:uid="{00000000-0006-0000-0600-00001E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Matthæusgade 1</t>
        </r>
      </text>
    </comment>
    <comment ref="AG35" authorId="2" shapeId="0" xr:uid="{00000000-0006-0000-0600-00001F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Matthæusgade 1</t>
        </r>
      </text>
    </comment>
    <comment ref="Q41" authorId="1" shapeId="0" xr:uid="{00000000-0006-0000-06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R41" authorId="1" shapeId="0" xr:uid="{00000000-0006-0000-06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S41" authorId="1" shapeId="0" xr:uid="{00000000-0006-0000-06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T41" authorId="1" shapeId="0" xr:uid="{00000000-0006-0000-06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U41" authorId="1" shapeId="0" xr:uid="{00000000-0006-0000-06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X41" authorId="1" shapeId="0" xr:uid="{00000000-0006-0000-06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Y41" authorId="1" shapeId="0" xr:uid="{00000000-0006-0000-06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Z41" authorId="1" shapeId="0" xr:uid="{00000000-0006-0000-06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AA41" authorId="1" shapeId="0" xr:uid="{00000000-0006-0000-06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AB41" authorId="1" shapeId="0" xr:uid="{00000000-0006-0000-06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O42" authorId="0" shapeId="0" xr:uid="{00000000-0006-0000-0600-00002A000000}">
      <text>
        <r>
          <rPr>
            <b/>
            <sz val="9"/>
            <color indexed="81"/>
            <rFont val="Tahoma"/>
            <family val="2"/>
          </rPr>
          <t>Niels møder i Oplysningen 9 - 14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42" authorId="1" shapeId="0" xr:uid="{00000000-0006-0000-06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Hovedport v2</t>
        </r>
      </text>
    </comment>
    <comment ref="R42" authorId="1" shapeId="0" xr:uid="{00000000-0006-0000-06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S42" authorId="1" shapeId="0" xr:uid="{00000000-0006-0000-06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T42" authorId="1" shapeId="0" xr:uid="{00000000-0006-0000-06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1030-1800</t>
        </r>
      </text>
    </comment>
    <comment ref="U42" authorId="1" shapeId="0" xr:uid="{00000000-0006-0000-0600-00002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0815-1345</t>
        </r>
      </text>
    </comment>
    <comment ref="D72" authorId="0" shapeId="0" xr:uid="{00000000-0006-0000-0600-000030000000}">
      <text>
        <r>
          <rPr>
            <b/>
            <sz val="8"/>
            <color indexed="81"/>
            <rFont val="Tahoma"/>
            <family val="2"/>
          </rPr>
          <t>Møder 06.30</t>
        </r>
      </text>
    </comment>
    <comment ref="E72" authorId="0" shapeId="0" xr:uid="{00000000-0006-0000-0600-000031000000}">
      <text>
        <r>
          <rPr>
            <b/>
            <sz val="8"/>
            <color indexed="81"/>
            <rFont val="Tahoma"/>
            <family val="2"/>
          </rPr>
          <t>Møder 06.30</t>
        </r>
      </text>
    </comment>
    <comment ref="F72" authorId="0" shapeId="0" xr:uid="{00000000-0006-0000-0600-000032000000}">
      <text>
        <r>
          <rPr>
            <b/>
            <sz val="8"/>
            <color indexed="81"/>
            <rFont val="Tahoma"/>
            <family val="2"/>
          </rPr>
          <t>Møder 06.30</t>
        </r>
      </text>
    </comment>
    <comment ref="G72" authorId="0" shapeId="0" xr:uid="{00000000-0006-0000-0600-000033000000}">
      <text>
        <r>
          <rPr>
            <b/>
            <sz val="8"/>
            <color indexed="81"/>
            <rFont val="Tahoma"/>
            <family val="2"/>
          </rPr>
          <t>Møder 06.30</t>
        </r>
      </text>
    </comment>
    <comment ref="Q72" authorId="0" shapeId="0" xr:uid="{00000000-0006-0000-0600-000034000000}">
      <text>
        <r>
          <rPr>
            <b/>
            <sz val="8"/>
            <color indexed="81"/>
            <rFont val="Tahoma"/>
            <family val="2"/>
          </rPr>
          <t>Møder 06.30</t>
        </r>
      </text>
    </comment>
    <comment ref="AC73" authorId="3" shapeId="0" xr:uid="{00000000-0006-0000-0600-000035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Oplysningen
09.00 - 14.00</t>
        </r>
      </text>
    </comment>
    <comment ref="C85" authorId="1" shapeId="0" xr:uid="{00000000-0006-0000-06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D85" authorId="1" shapeId="0" xr:uid="{00000000-0006-0000-06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E85" authorId="1" shapeId="0" xr:uid="{00000000-0006-0000-06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F85" authorId="1" shapeId="0" xr:uid="{00000000-0006-0000-0600-00003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G85" authorId="1" shapeId="0" xr:uid="{00000000-0006-0000-0600-00003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J85" authorId="1" shapeId="0" xr:uid="{00000000-0006-0000-06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 for Karina</t>
        </r>
      </text>
    </comment>
    <comment ref="K85" authorId="1" shapeId="0" xr:uid="{00000000-0006-0000-0600-00003C000000}">
      <text>
        <r>
          <rPr>
            <b/>
            <sz val="10"/>
            <color indexed="81"/>
            <rFont val="Tahoma"/>
            <family val="2"/>
          </rPr>
          <t>Matthæusgade kl. 12:00 - 15:00</t>
        </r>
      </text>
    </comment>
    <comment ref="L85" authorId="1" shapeId="0" xr:uid="{00000000-0006-0000-0600-00003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 for Karina</t>
        </r>
      </text>
    </comment>
    <comment ref="M85" authorId="1" shapeId="0" xr:uid="{00000000-0006-0000-0600-00003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på Brønshøjvej. Gorm k2</t>
        </r>
      </text>
    </comment>
    <comment ref="N85" authorId="1" shapeId="0" xr:uid="{00000000-0006-0000-0600-00003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på Brønshøjvej. Gorm k2</t>
        </r>
      </text>
    </comment>
    <comment ref="C86" authorId="1" shapeId="0" xr:uid="{00000000-0006-0000-06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
0800-1530</t>
        </r>
      </text>
    </comment>
    <comment ref="D86" authorId="1" shapeId="0" xr:uid="{00000000-0006-0000-06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
0800-1530</t>
        </r>
      </text>
    </comment>
    <comment ref="E86" authorId="1" shapeId="0" xr:uid="{00000000-0006-0000-06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
0800-1530</t>
        </r>
      </text>
    </comment>
    <comment ref="K86" authorId="4" shapeId="0" xr:uid="{00000000-0006-0000-0600-000043000000}">
      <text>
        <r>
          <rPr>
            <b/>
            <sz val="10"/>
            <color indexed="81"/>
            <rFont val="Tahoma"/>
            <family val="2"/>
          </rPr>
          <t>Brønshøjvej kl. 12:00 - 15:00</t>
        </r>
      </text>
    </comment>
    <comment ref="N86" authorId="1" shapeId="0" xr:uid="{00000000-0006-0000-06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
0900-1300</t>
        </r>
      </text>
    </comment>
    <comment ref="Q86" authorId="1" shapeId="0" xr:uid="{00000000-0006-0000-06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R86" authorId="1" shapeId="0" xr:uid="{00000000-0006-0000-06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
9-15</t>
        </r>
      </text>
    </comment>
    <comment ref="S86" authorId="1" shapeId="0" xr:uid="{00000000-0006-0000-06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
9-15</t>
        </r>
      </text>
    </comment>
    <comment ref="T86" authorId="1" shapeId="0" xr:uid="{00000000-0006-0000-06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
13-18</t>
        </r>
      </text>
    </comment>
    <comment ref="U86" authorId="1" shapeId="0" xr:uid="{00000000-0006-0000-0600-000049000000}">
      <text>
        <r>
          <rPr>
            <b/>
            <sz val="8"/>
            <color indexed="81"/>
            <rFont val="Tahoma"/>
            <family val="2"/>
          </rPr>
          <t>sthert:
Spaniensgade
9-13</t>
        </r>
      </text>
    </comment>
    <comment ref="X86" authorId="1" shapeId="0" xr:uid="{00000000-0006-0000-0600-00004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
0900-1500</t>
        </r>
      </text>
    </comment>
    <comment ref="AE87" authorId="0" shapeId="0" xr:uid="{00000000-0006-0000-0600-00004B000000}">
      <text>
        <r>
          <rPr>
            <sz val="9"/>
            <color indexed="81"/>
            <rFont val="Tahoma"/>
            <family val="2"/>
          </rPr>
          <t>Oplysningen
 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87" authorId="0" shapeId="0" xr:uid="{00000000-0006-0000-0600-00004C000000}">
      <text>
        <r>
          <rPr>
            <sz val="9"/>
            <color indexed="81"/>
            <rFont val="Tahoma"/>
            <family val="2"/>
          </rPr>
          <t>Oplysningen
 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87" authorId="0" shapeId="0" xr:uid="{00000000-0006-0000-0600-00004D000000}">
      <text>
        <r>
          <rPr>
            <sz val="9"/>
            <color indexed="81"/>
            <rFont val="Tahoma"/>
            <family val="2"/>
          </rPr>
          <t>Oplysnigen 9 - 13 
MATTHÆUSGADE
13 - 15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3" authorId="0" shapeId="0" xr:uid="{00000000-0006-0000-0600-00004E000000}">
      <text>
        <r>
          <rPr>
            <b/>
            <sz val="8"/>
            <color indexed="81"/>
            <rFont val="Tahoma"/>
            <family val="2"/>
          </rPr>
          <t>Svendborggade 5
 12.00 - 15.00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3" authorId="0" shapeId="0" xr:uid="{00000000-0006-0000-0600-00004F000000}">
      <text>
        <r>
          <rPr>
            <b/>
            <sz val="8"/>
            <color indexed="81"/>
            <rFont val="Tahoma"/>
            <family val="2"/>
          </rPr>
          <t>Svendborggade 5
 13.00 - 18.00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23" authorId="0" shapeId="0" xr:uid="{00000000-0006-0000-0600-000050000000}">
      <text>
        <r>
          <rPr>
            <b/>
            <sz val="8"/>
            <color indexed="81"/>
            <rFont val="Tahoma"/>
            <family val="2"/>
          </rPr>
          <t>Svendborggade 5
9.00 - 13.00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124" authorId="0" shapeId="0" xr:uid="{00000000-0006-0000-0600-000051000000}">
      <text>
        <r>
          <rPr>
            <b/>
            <sz val="8"/>
            <color indexed="81"/>
            <rFont val="Tahoma"/>
            <family val="2"/>
          </rPr>
          <t>Martin møder 12.30
 Er I Spaniensgade 25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126" authorId="0" shapeId="0" xr:uid="{00000000-0006-0000-0600-000052000000}">
      <text>
        <r>
          <rPr>
            <b/>
            <sz val="11"/>
            <color indexed="81"/>
            <rFont val="Tahoma"/>
            <family val="2"/>
          </rPr>
          <t>Svendborggade 5
 9 - 15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X128" authorId="0" shapeId="0" xr:uid="{00000000-0006-0000-0600-000053000000}">
      <text>
        <r>
          <rPr>
            <b/>
            <sz val="8"/>
            <color indexed="81"/>
            <rFont val="Tahoma"/>
            <family val="2"/>
          </rPr>
          <t>Oplysningen 9 - 17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36" authorId="0" shapeId="0" xr:uid="{00000000-0006-0000-0600-000054000000}">
      <text>
        <r>
          <rPr>
            <b/>
            <sz val="9"/>
            <color indexed="81"/>
            <rFont val="Tahoma"/>
            <family val="2"/>
          </rPr>
          <t>Svendborggade 5
 9 - 15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6" authorId="0" shapeId="0" xr:uid="{00000000-0006-0000-0600-000055000000}">
      <text>
        <r>
          <rPr>
            <b/>
            <sz val="9"/>
            <color indexed="81"/>
            <rFont val="Tahoma"/>
            <family val="2"/>
          </rPr>
          <t>Svendborggade 5
13 - 18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36" authorId="0" shapeId="0" xr:uid="{00000000-0006-0000-0600-000056000000}">
      <text>
        <r>
          <rPr>
            <b/>
            <sz val="12"/>
            <color indexed="81"/>
            <rFont val="Tahoma"/>
            <family val="2"/>
          </rPr>
          <t>Er tastet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D136" authorId="0" shapeId="0" xr:uid="{00000000-0006-0000-0600-000057000000}">
      <text>
        <r>
          <rPr>
            <sz val="10"/>
            <color indexed="81"/>
            <rFont val="Tahoma"/>
            <family val="2"/>
          </rPr>
          <t xml:space="preserve">Er tastet
</t>
        </r>
      </text>
    </comment>
    <comment ref="G137" authorId="0" shapeId="0" xr:uid="{00000000-0006-0000-0600-000058000000}">
      <text>
        <r>
          <rPr>
            <b/>
            <sz val="12"/>
            <color indexed="81"/>
            <rFont val="Tahoma"/>
            <family val="2"/>
          </rPr>
          <t>Er tastet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Q137" authorId="1" shapeId="0" xr:uid="{00000000-0006-0000-0600-00005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 KØGE LANDEVEJ
0900-1500</t>
        </r>
      </text>
    </comment>
    <comment ref="R137" authorId="1" shapeId="0" xr:uid="{00000000-0006-0000-0600-00005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 SOM 2-VAGT
I OPLYSNINGEN</t>
        </r>
      </text>
    </comment>
    <comment ref="S137" authorId="1" shapeId="0" xr:uid="{00000000-0006-0000-0600-00005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 SOM 2-VAGT
I OPLYSNINGEN</t>
        </r>
      </text>
    </comment>
    <comment ref="T137" authorId="1" shapeId="0" xr:uid="{00000000-0006-0000-0600-00005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 SOM 2-VAGT
I OPLYSNINGEN</t>
        </r>
      </text>
    </comment>
    <comment ref="U137" authorId="1" shapeId="0" xr:uid="{00000000-0006-0000-0600-00005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 SOM 2-VAGT
I OPLYSNINGEN</t>
        </r>
      </text>
    </comment>
    <comment ref="V137" authorId="0" shapeId="0" xr:uid="{00000000-0006-0000-0600-00005E000000}">
      <text>
        <r>
          <rPr>
            <b/>
            <sz val="8"/>
            <color indexed="81"/>
            <rFont val="Tahoma"/>
            <family val="2"/>
          </rPr>
          <t>e TASTET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37" authorId="1" shapeId="0" xr:uid="{00000000-0006-0000-0600-00005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Y137" authorId="1" shapeId="0" xr:uid="{00000000-0006-0000-0600-00006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Z137" authorId="1" shapeId="0" xr:uid="{00000000-0006-0000-0600-000061000000}">
      <text>
        <r>
          <rPr>
            <b/>
            <sz val="8"/>
            <color indexed="81"/>
            <rFont val="Tahoma"/>
            <family val="2"/>
          </rPr>
          <t>Matthæusgade 1
kl 9-16</t>
        </r>
      </text>
    </comment>
    <comment ref="AA137" authorId="1" shapeId="0" xr:uid="{00000000-0006-0000-0600-00006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Hovedporten
v-1</t>
        </r>
      </text>
    </comment>
    <comment ref="AB137" authorId="1" shapeId="0" xr:uid="{00000000-0006-0000-0600-000063000000}">
      <text>
        <r>
          <rPr>
            <b/>
            <sz val="8"/>
            <color indexed="81"/>
            <rFont val="Tahoma"/>
            <family val="2"/>
          </rPr>
          <t>Ørnevej 55
 9 - 13</t>
        </r>
      </text>
    </comment>
    <comment ref="AC137" authorId="0" shapeId="0" xr:uid="{00000000-0006-0000-0600-000064000000}">
      <text>
        <r>
          <rPr>
            <b/>
            <sz val="8"/>
            <color indexed="81"/>
            <rFont val="Tahoma"/>
            <family val="2"/>
          </rPr>
          <t>Er tastet</t>
        </r>
      </text>
    </comment>
    <comment ref="AE139" authorId="0" shapeId="0" xr:uid="{00000000-0006-0000-0600-000065000000}">
      <text>
        <r>
          <rPr>
            <sz val="8"/>
            <color indexed="81"/>
            <rFont val="Tahoma"/>
            <family val="2"/>
          </rPr>
          <t xml:space="preserve">Oplysningen
 08.30  - 16.30
</t>
        </r>
      </text>
    </comment>
    <comment ref="AF139" authorId="0" shapeId="0" xr:uid="{00000000-0006-0000-0600-000066000000}">
      <text>
        <r>
          <rPr>
            <sz val="8"/>
            <color indexed="81"/>
            <rFont val="Tahoma"/>
            <family val="2"/>
          </rPr>
          <t xml:space="preserve">Oplysningen
 08.30  - 16.30
</t>
        </r>
      </text>
    </comment>
    <comment ref="AG139" authorId="0" shapeId="0" xr:uid="{00000000-0006-0000-0600-000067000000}">
      <text>
        <r>
          <rPr>
            <sz val="8"/>
            <color indexed="81"/>
            <rFont val="Tahoma"/>
            <family val="2"/>
          </rPr>
          <t xml:space="preserve">Oplysningen
 08.30  - 16.30
</t>
        </r>
      </text>
    </comment>
    <comment ref="Q158" authorId="0" shapeId="0" xr:uid="{00000000-0006-0000-0600-000068000000}">
      <text>
        <r>
          <rPr>
            <b/>
            <sz val="9"/>
            <color indexed="81"/>
            <rFont val="Tahoma"/>
            <family val="2"/>
          </rPr>
          <t>Er også mødt om dagen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04" authorId="0" shapeId="0" xr:uid="{00000000-0006-0000-0600-000069000000}">
      <text>
        <r>
          <rPr>
            <b/>
            <sz val="10"/>
            <color indexed="81"/>
            <rFont val="Tahoma"/>
            <family val="2"/>
          </rPr>
          <t>Jubilæumsfri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mipede</author>
    <author>marasm</author>
    <author>kjjesp</author>
    <author>derise</author>
  </authors>
  <commentList>
    <comment ref="P14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Valgdepot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Valgdepot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5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Valgdepot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5" authorId="0" shapeId="0" xr:uid="{00000000-0006-0000-0700-000004000000}">
      <text>
        <r>
          <rPr>
            <b/>
            <sz val="10"/>
            <color indexed="81"/>
            <rFont val="Tahoma"/>
            <family val="2"/>
          </rPr>
          <t>Møder i retten. 13.45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Q16" authorId="0" shapeId="0" xr:uid="{00000000-0006-0000-0700-000005000000}">
      <text>
        <r>
          <rPr>
            <b/>
            <sz val="10"/>
            <color indexed="81"/>
            <rFont val="Tahoma"/>
            <family val="2"/>
          </rPr>
          <t>VALG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6" authorId="0" shapeId="0" xr:uid="{00000000-0006-0000-0700-000006000000}">
      <text>
        <r>
          <rPr>
            <b/>
            <sz val="12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7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VALG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1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1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1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1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1" authorId="0" shapeId="0" xr:uid="{00000000-0006-0000-0700-00000D000000}">
      <text>
        <r>
          <rPr>
            <b/>
            <sz val="10"/>
            <color indexed="81"/>
            <rFont val="Tahoma"/>
            <family val="2"/>
          </rPr>
          <t>Ordne ting til fintælling
Husk afspærringssnor</t>
        </r>
      </text>
    </comment>
    <comment ref="R21" authorId="0" shapeId="0" xr:uid="{00000000-0006-0000-0700-00000E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7" authorId="1" shapeId="0" xr:uid="{00000000-0006-0000-07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1300-1800</t>
        </r>
      </text>
    </comment>
    <comment ref="D37" authorId="1" shapeId="0" xr:uid="{00000000-0006-0000-07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0900-1300</t>
        </r>
      </text>
    </comment>
    <comment ref="G37" authorId="1" shapeId="0" xr:uid="{00000000-0006-0000-0700-00001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0900-1500</t>
        </r>
      </text>
    </comment>
    <comment ref="H37" authorId="1" shapeId="0" xr:uid="{00000000-0006-0000-0700-00001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0900-1500</t>
        </r>
      </text>
    </comment>
    <comment ref="I37" authorId="1" shapeId="0" xr:uid="{00000000-0006-0000-0700-00001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0900-1500</t>
        </r>
      </text>
    </comment>
    <comment ref="J37" authorId="1" shapeId="0" xr:uid="{00000000-0006-0000-07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1300-1800</t>
        </r>
      </text>
    </comment>
    <comment ref="K37" authorId="1" shapeId="0" xr:uid="{00000000-0006-0000-07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0900-1300</t>
        </r>
      </text>
    </comment>
    <comment ref="Q37" authorId="0" shapeId="0" xr:uid="{00000000-0006-0000-0700-000016000000}">
      <text>
        <r>
          <rPr>
            <b/>
            <sz val="10"/>
            <color indexed="81"/>
            <rFont val="Tahoma"/>
            <family val="2"/>
          </rPr>
          <t>Valg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1" shapeId="0" xr:uid="{00000000-0006-0000-0700-00001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H38" authorId="1" shapeId="0" xr:uid="{00000000-0006-0000-0700-00001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I38" authorId="1" shapeId="0" xr:uid="{00000000-0006-0000-0700-00001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J38" authorId="1" shapeId="0" xr:uid="{00000000-0006-0000-07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1030-1800</t>
        </r>
      </text>
    </comment>
    <comment ref="W38" authorId="2" shapeId="0" xr:uid="{00000000-0006-0000-0700-00001B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Ørnevej 9-15</t>
        </r>
      </text>
    </comment>
    <comment ref="C39" authorId="0" shapeId="0" xr:uid="{00000000-0006-0000-0700-00001C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9" authorId="0" shapeId="0" xr:uid="{00000000-0006-0000-0700-00001D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 shapeId="0" xr:uid="{00000000-0006-0000-0700-00001E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9" authorId="0" shapeId="0" xr:uid="{00000000-0006-0000-0700-00001F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39" authorId="0" shapeId="0" xr:uid="{00000000-0006-0000-0700-000020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39" authorId="0" shapeId="0" xr:uid="{00000000-0006-0000-0700-000021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0" authorId="3" shapeId="0" xr:uid="{00000000-0006-0000-0700-000022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Matthæusgade 1</t>
        </r>
      </text>
    </comment>
    <comment ref="D40" authorId="3" shapeId="0" xr:uid="{00000000-0006-0000-0700-000023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Matthæusgade 1</t>
        </r>
      </text>
    </comment>
    <comment ref="O40" authorId="1" shapeId="0" xr:uid="{00000000-0006-0000-07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P40" authorId="1" shapeId="0" xr:uid="{00000000-0006-0000-07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Q40" authorId="1" shapeId="0" xr:uid="{00000000-0006-0000-07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R40" authorId="0" shapeId="0" xr:uid="{00000000-0006-0000-0700-000027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40" authorId="0" shapeId="0" xr:uid="{00000000-0006-0000-0700-00002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Svanevej
0900-1500</t>
        </r>
      </text>
    </comment>
    <comment ref="AB40" authorId="4" shapeId="0" xr:uid="{00000000-0006-0000-0700-000029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R41" authorId="0" shapeId="0" xr:uid="{00000000-0006-0000-0700-00002A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42" authorId="0" shapeId="0" xr:uid="{00000000-0006-0000-0700-00002B000000}">
      <text>
        <r>
          <rPr>
            <b/>
            <sz val="10"/>
            <color indexed="81"/>
            <rFont val="Tahoma"/>
            <family val="2"/>
          </rPr>
          <t>VALG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42" authorId="0" shapeId="0" xr:uid="{00000000-0006-0000-0700-00002C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44" authorId="0" shapeId="0" xr:uid="{00000000-0006-0000-0700-00002D000000}">
      <text>
        <r>
          <rPr>
            <b/>
            <sz val="9"/>
            <color indexed="81"/>
            <rFont val="Tahoma"/>
            <family val="2"/>
          </rPr>
          <t>Møder som 
 3 - vagt på OA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46" authorId="1" shapeId="0" xr:uid="{00000000-0006-0000-07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</t>
        </r>
      </text>
    </comment>
    <comment ref="O46" authorId="1" shapeId="0" xr:uid="{00000000-0006-0000-0700-00002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</t>
        </r>
      </text>
    </comment>
    <comment ref="P46" authorId="1" shapeId="0" xr:uid="{00000000-0006-0000-0700-00003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</t>
        </r>
      </text>
    </comment>
    <comment ref="Q46" authorId="1" shapeId="0" xr:uid="{00000000-0006-0000-0700-00003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</t>
        </r>
      </text>
    </comment>
    <comment ref="R46" authorId="1" shapeId="0" xr:uid="{00000000-0006-0000-0700-000032000000}">
      <text>
        <r>
          <rPr>
            <b/>
            <sz val="10"/>
            <color indexed="81"/>
            <rFont val="Tahoma"/>
            <family val="2"/>
          </rPr>
          <t>sthert:</t>
        </r>
        <r>
          <rPr>
            <sz val="10"/>
            <color indexed="81"/>
            <rFont val="Tahoma"/>
            <family val="2"/>
          </rPr>
          <t xml:space="preserve">
Matthæusgade 9 -13
Fintælling 13.30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46" authorId="0" shapeId="0" xr:uid="{00000000-0006-0000-0700-000033000000}">
      <text>
        <r>
          <rPr>
            <b/>
            <sz val="10"/>
            <color indexed="81"/>
            <rFont val="Tahoma"/>
            <family val="2"/>
          </rPr>
          <t>Svanevej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46" authorId="0" shapeId="0" xr:uid="{00000000-0006-0000-0700-000034000000}">
      <text>
        <r>
          <rPr>
            <b/>
            <sz val="10"/>
            <color indexed="81"/>
            <rFont val="Tahoma"/>
            <family val="2"/>
          </rPr>
          <t>Svanevej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46" authorId="0" shapeId="0" xr:uid="{00000000-0006-0000-0700-000035000000}">
      <text>
        <r>
          <rPr>
            <b/>
            <sz val="10"/>
            <color indexed="81"/>
            <rFont val="Tahoma"/>
            <family val="2"/>
          </rPr>
          <t>Matthæusgade  8.15-15.40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46" authorId="0" shapeId="0" xr:uid="{00000000-0006-0000-0700-000036000000}">
      <text>
        <r>
          <rPr>
            <b/>
            <sz val="10"/>
            <color indexed="81"/>
            <rFont val="Tahoma"/>
            <family val="2"/>
          </rPr>
          <t>Svanevej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46" authorId="0" shapeId="0" xr:uid="{00000000-0006-0000-0700-000037000000}">
      <text>
        <r>
          <rPr>
            <b/>
            <sz val="10"/>
            <color indexed="81"/>
            <rFont val="Tahoma"/>
            <family val="2"/>
          </rPr>
          <t>Svanevej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47" authorId="0" shapeId="0" xr:uid="{00000000-0006-0000-0700-000038000000}">
      <text>
        <r>
          <rPr>
            <sz val="10"/>
            <color indexed="81"/>
            <rFont val="Tahoma"/>
            <family val="2"/>
          </rPr>
          <t>Vagthavende</t>
        </r>
        <r>
          <rPr>
            <sz val="8"/>
            <color indexed="81"/>
            <rFont val="Tahoma"/>
            <family val="2"/>
          </rPr>
          <t xml:space="preserve">
22.30 - 06.30</t>
        </r>
      </text>
    </comment>
    <comment ref="R48" authorId="0" shapeId="0" xr:uid="{00000000-0006-0000-0700-000039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9" authorId="0" shapeId="0" xr:uid="{00000000-0006-0000-0700-00003A000000}">
      <text>
        <r>
          <rPr>
            <b/>
            <sz val="8"/>
            <color indexed="81"/>
            <rFont val="Tahoma"/>
            <family val="2"/>
          </rPr>
          <t>Niels Bo møder 
kl. 15.15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49" authorId="1" shapeId="0" xr:uid="{00000000-0006-0000-07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O49" authorId="1" shapeId="0" xr:uid="{00000000-0006-0000-0700-00003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R49" authorId="0" shapeId="0" xr:uid="{00000000-0006-0000-0700-00003D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R50" authorId="0" shapeId="0" xr:uid="{00000000-0006-0000-0700-00003E000000}">
      <text>
        <r>
          <rPr>
            <b/>
            <sz val="10"/>
            <color indexed="81"/>
            <rFont val="Tahoma"/>
            <family val="2"/>
          </rPr>
          <t>Svanevej 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71" authorId="0" shapeId="0" xr:uid="{00000000-0006-0000-0700-00003F000000}">
      <text>
        <r>
          <rPr>
            <sz val="8"/>
            <color indexed="81"/>
            <rFont val="Tahoma"/>
            <family val="2"/>
          </rPr>
          <t xml:space="preserve">Remisevej 0900 
</t>
        </r>
      </text>
    </comment>
    <comment ref="E72" authorId="0" shapeId="0" xr:uid="{00000000-0006-0000-0700-000040000000}">
      <text>
        <r>
          <rPr>
            <b/>
            <sz val="8"/>
            <color indexed="81"/>
            <rFont val="Tahoma"/>
            <family val="2"/>
          </rPr>
          <t>Oplysningen 9 - 14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72" authorId="0" shapeId="0" xr:uid="{00000000-0006-0000-0700-000041000000}">
      <text>
        <r>
          <rPr>
            <sz val="8"/>
            <color indexed="81"/>
            <rFont val="Tahoma"/>
            <family val="2"/>
          </rPr>
          <t xml:space="preserve">Per og  Kristoffer
 ordne ting og sager.
</t>
        </r>
      </text>
    </comment>
    <comment ref="G84" authorId="1" shapeId="0" xr:uid="{00000000-0006-0000-07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H84" authorId="1" shapeId="0" xr:uid="{00000000-0006-0000-07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I84" authorId="1" shapeId="0" xr:uid="{00000000-0006-0000-07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J84" authorId="1" shapeId="0" xr:uid="{00000000-0006-0000-07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K84" authorId="1" shapeId="0" xr:uid="{00000000-0006-0000-07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N84" authorId="1" shapeId="0" xr:uid="{00000000-0006-0000-07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Q84" authorId="0" shapeId="0" xr:uid="{00000000-0006-0000-0700-000048000000}">
      <text>
        <r>
          <rPr>
            <b/>
            <sz val="10"/>
            <color indexed="81"/>
            <rFont val="Tahoma"/>
            <family val="2"/>
          </rPr>
          <t>VALG: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84" authorId="1" shapeId="0" xr:uid="{00000000-0006-0000-0700-000049000000}">
      <text>
        <r>
          <rPr>
            <b/>
            <sz val="10"/>
            <color indexed="81"/>
            <rFont val="Tahoma"/>
            <family val="2"/>
          </rPr>
          <t>FINTÆLLING</t>
        </r>
      </text>
    </comment>
    <comment ref="AC84" authorId="1" shapeId="0" xr:uid="{00000000-0006-0000-0700-00004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AD84" authorId="1" shapeId="0" xr:uid="{00000000-0006-0000-0700-00004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AE84" authorId="1" shapeId="0" xr:uid="{00000000-0006-0000-0700-00004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AF84" authorId="1" shapeId="0" xr:uid="{00000000-0006-0000-0700-00004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G85" authorId="1" shapeId="0" xr:uid="{00000000-0006-0000-07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
0900-1500</t>
        </r>
      </text>
    </comment>
    <comment ref="H85" authorId="0" shapeId="0" xr:uid="{00000000-0006-0000-0700-00004F000000}">
      <text>
        <r>
          <rPr>
            <b/>
            <sz val="10"/>
            <color indexed="81"/>
            <rFont val="Tahoma"/>
            <family val="2"/>
          </rPr>
          <t>Ali møder i Mathæusgade 1 
kl. 12.45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5" authorId="0" shapeId="0" xr:uid="{00000000-0006-0000-0700-000050000000}">
      <text>
        <r>
          <rPr>
            <b/>
            <sz val="8"/>
            <color indexed="81"/>
            <rFont val="Tahoma"/>
            <family val="2"/>
          </rPr>
          <t>GL.KØGEVEJ
9 -13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85" authorId="0" shapeId="0" xr:uid="{00000000-0006-0000-0700-000051000000}">
      <text>
        <r>
          <rPr>
            <b/>
            <sz val="8"/>
            <color indexed="81"/>
            <rFont val="Tahoma"/>
            <family val="2"/>
          </rPr>
          <t>GL.KØGEVEJ
9 -15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5" authorId="0" shapeId="0" xr:uid="{00000000-0006-0000-0700-000052000000}">
      <text>
        <r>
          <rPr>
            <b/>
            <sz val="8"/>
            <color indexed="81"/>
            <rFont val="Tahoma"/>
            <family val="2"/>
          </rPr>
          <t>GL.KØGEVEJ
9 -15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85" authorId="0" shapeId="0" xr:uid="{00000000-0006-0000-0700-000053000000}">
      <text>
        <r>
          <rPr>
            <b/>
            <sz val="10"/>
            <color indexed="81"/>
            <rFont val="Tahoma"/>
            <family val="2"/>
          </rPr>
          <t>ØRNEVEJ 55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85" authorId="5" shapeId="0" xr:uid="{00000000-0006-0000-0700-000054000000}">
      <text>
        <r>
          <rPr>
            <b/>
            <sz val="8"/>
            <color indexed="81"/>
            <rFont val="Tahoma"/>
            <family val="2"/>
          </rPr>
          <t>derise:</t>
        </r>
        <r>
          <rPr>
            <sz val="8"/>
            <color indexed="81"/>
            <rFont val="Tahoma"/>
            <family val="2"/>
          </rPr>
          <t xml:space="preserve">
Toftegårds Plads
Henning Larsen syg</t>
        </r>
      </text>
    </comment>
    <comment ref="V85" authorId="5" shapeId="0" xr:uid="{00000000-0006-0000-0700-000055000000}">
      <text>
        <r>
          <rPr>
            <b/>
            <sz val="8"/>
            <color indexed="81"/>
            <rFont val="Tahoma"/>
            <family val="2"/>
          </rPr>
          <t>derise:</t>
        </r>
        <r>
          <rPr>
            <sz val="8"/>
            <color indexed="81"/>
            <rFont val="Tahoma"/>
            <family val="2"/>
          </rPr>
          <t xml:space="preserve">
Toftegårds Plads
Henning Larsen syg
samt K2 </t>
        </r>
      </text>
    </comment>
    <comment ref="W85" authorId="2" shapeId="0" xr:uid="{00000000-0006-0000-0700-000056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K2</t>
        </r>
      </text>
    </comment>
    <comment ref="AB85" authorId="0" shapeId="0" xr:uid="{00000000-0006-0000-0700-000057000000}">
      <text>
        <r>
          <rPr>
            <b/>
            <sz val="8"/>
            <color indexed="81"/>
            <rFont val="Tahoma"/>
            <family val="2"/>
          </rPr>
          <t>Valdemarsgade 4
08.30 - 15.30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85" authorId="0" shapeId="0" xr:uid="{00000000-0006-0000-0700-000058000000}">
      <text>
        <r>
          <rPr>
            <b/>
            <sz val="8"/>
            <color indexed="81"/>
            <rFont val="Tahoma"/>
            <family val="2"/>
          </rPr>
          <t>Valdemarsgade 4
08.30 - 15.30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6" authorId="0" shapeId="0" xr:uid="{00000000-0006-0000-0700-000059000000}">
      <text>
        <r>
          <rPr>
            <sz val="9"/>
            <color indexed="81"/>
            <rFont val="Tahoma"/>
            <family val="2"/>
          </rPr>
          <t>Oplysningen
 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86" authorId="0" shapeId="0" xr:uid="{00000000-0006-0000-0700-00005A000000}">
      <text>
        <r>
          <rPr>
            <sz val="9"/>
            <color indexed="81"/>
            <rFont val="Tahoma"/>
            <family val="2"/>
          </rPr>
          <t>Oplysningen
 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86" authorId="0" shapeId="0" xr:uid="{00000000-0006-0000-0700-00005B000000}">
      <text>
        <r>
          <rPr>
            <b/>
            <sz val="8"/>
            <color indexed="81"/>
            <rFont val="Tahoma"/>
            <family val="2"/>
          </rPr>
          <t>Svanevej 13 - 18</t>
        </r>
      </text>
    </comment>
    <comment ref="W86" authorId="2" shapeId="0" xr:uid="{00000000-0006-0000-0700-00005C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Matthæusgade
9-15</t>
        </r>
      </text>
    </comment>
    <comment ref="AE86" authorId="1" shapeId="0" xr:uid="{00000000-0006-0000-0700-00005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13-18</t>
        </r>
      </text>
    </comment>
    <comment ref="AF86" authorId="1" shapeId="0" xr:uid="{00000000-0006-0000-0700-00005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09-13</t>
        </r>
      </text>
    </comment>
    <comment ref="R97" authorId="0" shapeId="0" xr:uid="{00000000-0006-0000-0700-00005F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99" authorId="0" shapeId="0" xr:uid="{00000000-0006-0000-0700-000060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10" authorId="0" shapeId="0" xr:uid="{00000000-0006-0000-0700-000061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2" authorId="0" shapeId="0" xr:uid="{00000000-0006-0000-0700-000062000000}">
      <text>
        <r>
          <rPr>
            <b/>
            <sz val="10"/>
            <color indexed="81"/>
            <rFont val="Tahoma"/>
            <family val="2"/>
          </rPr>
          <t>VALG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22" authorId="0" shapeId="0" xr:uid="{00000000-0006-0000-0700-000063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22" authorId="1" shapeId="0" xr:uid="{00000000-0006-0000-0700-00006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 Køge Landevej
13-18</t>
        </r>
      </text>
    </comment>
    <comment ref="Y122" authorId="1" shapeId="0" xr:uid="{00000000-0006-0000-0700-00006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 Køge Landevej
0900-1300</t>
        </r>
      </text>
    </comment>
    <comment ref="AB122" authorId="1" shapeId="0" xr:uid="{00000000-0006-0000-0700-00006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 Køge Landevej
0900-1500</t>
        </r>
      </text>
    </comment>
    <comment ref="AD122" authorId="0" shapeId="0" xr:uid="{00000000-0006-0000-0700-000067000000}">
      <text>
        <r>
          <rPr>
            <b/>
            <sz val="9"/>
            <color indexed="81"/>
            <rFont val="Tahoma"/>
            <family val="2"/>
          </rPr>
          <t>Ottiliavej
 10 - 16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2" authorId="0" shapeId="0" xr:uid="{00000000-0006-0000-0700-000068000000}">
      <text>
        <r>
          <rPr>
            <b/>
            <sz val="8"/>
            <color indexed="81"/>
            <rFont val="Tahoma"/>
            <family val="2"/>
          </rPr>
          <t>Oplysningen
 8.30 - 16.00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3" authorId="1" shapeId="0" xr:uid="{00000000-0006-0000-0700-00006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 som 4-vagt</t>
        </r>
      </text>
    </comment>
    <comment ref="D123" authorId="1" shapeId="0" xr:uid="{00000000-0006-0000-0700-00006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 som 4-vagt</t>
        </r>
      </text>
    </comment>
    <comment ref="R123" authorId="0" shapeId="0" xr:uid="{00000000-0006-0000-0700-00006B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23" authorId="0" shapeId="0" xr:uid="{00000000-0006-0000-0700-00006C000000}">
      <text>
        <r>
          <rPr>
            <b/>
            <sz val="10"/>
            <color indexed="81"/>
            <rFont val="Tahoma"/>
            <family val="2"/>
          </rPr>
          <t>Møde i Oplysningen
9 - 16</t>
        </r>
      </text>
    </comment>
    <comment ref="V123" authorId="0" shapeId="0" xr:uid="{00000000-0006-0000-0700-00006D000000}">
      <text>
        <r>
          <rPr>
            <b/>
            <sz val="10"/>
            <color indexed="81"/>
            <rFont val="Tahoma"/>
            <family val="2"/>
          </rPr>
          <t>Møde i Oplysningen
9 - 16</t>
        </r>
      </text>
    </comment>
    <comment ref="W123" authorId="0" shapeId="0" xr:uid="{00000000-0006-0000-0700-00006E000000}">
      <text>
        <r>
          <rPr>
            <b/>
            <sz val="10"/>
            <color indexed="81"/>
            <rFont val="Tahoma"/>
            <family val="2"/>
          </rPr>
          <t>Møde i Oplysningen
9 - 16</t>
        </r>
      </text>
    </comment>
    <comment ref="X125" authorId="0" shapeId="0" xr:uid="{00000000-0006-0000-0700-00006F000000}">
      <text>
        <r>
          <rPr>
            <b/>
            <sz val="10"/>
            <color indexed="81"/>
            <rFont val="Tahoma"/>
            <family val="2"/>
          </rPr>
          <t>Møde i posten 
 08.30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5" authorId="1" shapeId="0" xr:uid="{00000000-0006-0000-0700-00007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1400-1600</t>
        </r>
      </text>
    </comment>
    <comment ref="R126" authorId="0" shapeId="0" xr:uid="{00000000-0006-0000-0700-000071000000}">
      <text>
        <r>
          <rPr>
            <b/>
            <sz val="10"/>
            <color indexed="81"/>
            <rFont val="Tahoma"/>
            <family val="2"/>
          </rPr>
          <t>Gl.Køgevej 4
 9 - 13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J127" authorId="0" shapeId="0" xr:uid="{00000000-0006-0000-0700-000072000000}">
      <text>
        <r>
          <rPr>
            <b/>
            <sz val="8"/>
            <color indexed="81"/>
            <rFont val="Tahoma"/>
            <family val="2"/>
          </rPr>
          <t>Oplæring Matthæusgade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27" authorId="0" shapeId="0" xr:uid="{00000000-0006-0000-0700-000073000000}">
      <text>
        <r>
          <rPr>
            <b/>
            <sz val="8"/>
            <color indexed="81"/>
            <rFont val="Tahoma"/>
            <family val="2"/>
          </rPr>
          <t>Oplæring Matthæusgade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7" authorId="0" shapeId="0" xr:uid="{00000000-0006-0000-0700-000074000000}">
      <text>
        <r>
          <rPr>
            <b/>
            <sz val="10"/>
            <color indexed="81"/>
            <rFont val="Tahoma"/>
            <family val="2"/>
          </rPr>
          <t>Matthæusgade 1
 13 - 18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18 - 13</t>
        </r>
      </text>
    </comment>
    <comment ref="R127" authorId="0" shapeId="0" xr:uid="{00000000-0006-0000-0700-000075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8" authorId="0" shapeId="0" xr:uid="{00000000-0006-0000-0700-000076000000}">
      <text>
        <r>
          <rPr>
            <b/>
            <sz val="9"/>
            <color indexed="81"/>
            <rFont val="Tahoma"/>
            <family val="2"/>
          </rPr>
          <t>Oplysningen
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8" authorId="0" shapeId="0" xr:uid="{00000000-0006-0000-0700-000077000000}">
      <text>
        <r>
          <rPr>
            <b/>
            <sz val="9"/>
            <color indexed="81"/>
            <rFont val="Tahoma"/>
            <family val="2"/>
          </rPr>
          <t>Oplysningen
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8" authorId="0" shapeId="0" xr:uid="{00000000-0006-0000-0700-000078000000}">
      <text>
        <r>
          <rPr>
            <b/>
            <sz val="9"/>
            <color indexed="81"/>
            <rFont val="Tahoma"/>
            <family val="2"/>
          </rPr>
          <t>Oplysningen
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28" authorId="0" shapeId="0" xr:uid="{00000000-0006-0000-0700-000079000000}">
      <text>
        <r>
          <rPr>
            <b/>
            <sz val="9"/>
            <color indexed="81"/>
            <rFont val="Tahoma"/>
            <family val="2"/>
          </rPr>
          <t>Oplysningen
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28" authorId="0" shapeId="0" xr:uid="{00000000-0006-0000-0700-00007A000000}">
      <text>
        <r>
          <rPr>
            <b/>
            <sz val="9"/>
            <color indexed="81"/>
            <rFont val="Tahoma"/>
            <family val="2"/>
          </rPr>
          <t>Oplysningen
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8" authorId="0" shapeId="0" xr:uid="{00000000-0006-0000-0700-00007B000000}">
      <text>
        <r>
          <rPr>
            <b/>
            <sz val="9"/>
            <color indexed="81"/>
            <rFont val="Tahoma"/>
            <family val="2"/>
          </rPr>
          <t>Oplysningen
9 - 16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35" authorId="0" shapeId="0" xr:uid="{00000000-0006-0000-0700-00007C000000}">
      <text>
        <r>
          <rPr>
            <b/>
            <sz val="8"/>
            <color indexed="81"/>
            <rFont val="Tahoma"/>
            <family val="2"/>
          </rPr>
          <t>Martin møder kl. 17.30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35" authorId="0" shapeId="0" xr:uid="{00000000-0006-0000-0700-00007D000000}">
      <text>
        <r>
          <rPr>
            <b/>
            <sz val="10"/>
            <color indexed="81"/>
            <rFont val="Tahoma"/>
            <family val="2"/>
          </rPr>
          <t>Er tastet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5" authorId="0" shapeId="0" xr:uid="{00000000-0006-0000-0700-00007E000000}">
      <text>
        <r>
          <rPr>
            <b/>
            <sz val="9"/>
            <color indexed="81"/>
            <rFont val="Tahoma"/>
            <family val="2"/>
          </rPr>
          <t>Svendborggade 5
 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35" authorId="0" shapeId="0" xr:uid="{00000000-0006-0000-0700-00007F000000}">
      <text>
        <r>
          <rPr>
            <b/>
            <sz val="8"/>
            <color indexed="81"/>
            <rFont val="Tahoma"/>
            <family val="2"/>
          </rPr>
          <t>Er tastet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35" authorId="0" shapeId="0" xr:uid="{00000000-0006-0000-0700-000080000000}">
      <text>
        <r>
          <rPr>
            <b/>
            <sz val="10"/>
            <color indexed="81"/>
            <rFont val="Tahoma"/>
            <family val="2"/>
          </rPr>
          <t>Skal gå kl. 22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135" authorId="0" shapeId="0" xr:uid="{00000000-0006-0000-0700-000081000000}">
      <text>
        <r>
          <rPr>
            <b/>
            <sz val="10"/>
            <color indexed="81"/>
            <rFont val="Tahoma"/>
            <family val="2"/>
          </rPr>
          <t>Er tastet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136" authorId="0" shapeId="0" xr:uid="{00000000-0006-0000-0700-000082000000}">
      <text>
        <r>
          <rPr>
            <b/>
            <sz val="10"/>
            <color indexed="81"/>
            <rFont val="Tahoma"/>
            <family val="2"/>
          </rPr>
          <t>Er tastet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37" authorId="0" shapeId="0" xr:uid="{00000000-0006-0000-0700-000083000000}">
      <text>
        <r>
          <rPr>
            <sz val="8"/>
            <color indexed="81"/>
            <rFont val="Tahoma"/>
            <family val="2"/>
          </rPr>
          <t xml:space="preserve">Oplysningen
 08.30  - 16.30
</t>
        </r>
      </text>
    </comment>
    <comment ref="D137" authorId="0" shapeId="0" xr:uid="{00000000-0006-0000-0700-000084000000}">
      <text>
        <r>
          <rPr>
            <sz val="8"/>
            <color indexed="81"/>
            <rFont val="Tahoma"/>
            <family val="2"/>
          </rPr>
          <t xml:space="preserve">Oplysningen
 08.30  - 16.30
</t>
        </r>
      </text>
    </comment>
    <comment ref="G137" authorId="0" shapeId="0" xr:uid="{00000000-0006-0000-0700-000085000000}">
      <text>
        <r>
          <rPr>
            <sz val="8"/>
            <color indexed="81"/>
            <rFont val="Tahoma"/>
            <family val="2"/>
          </rPr>
          <t xml:space="preserve">Oplysningen
 08.30  - 16.30
</t>
        </r>
      </text>
    </comment>
    <comment ref="H137" authorId="0" shapeId="0" xr:uid="{00000000-0006-0000-0700-000086000000}">
      <text>
        <r>
          <rPr>
            <sz val="8"/>
            <color indexed="81"/>
            <rFont val="Tahoma"/>
            <family val="2"/>
          </rPr>
          <t xml:space="preserve">Oplysningen
 08.30  - 16.30
</t>
        </r>
      </text>
    </comment>
    <comment ref="I137" authorId="0" shapeId="0" xr:uid="{00000000-0006-0000-0700-000087000000}">
      <text>
        <r>
          <rPr>
            <sz val="8"/>
            <color indexed="81"/>
            <rFont val="Tahoma"/>
            <family val="2"/>
          </rPr>
          <t xml:space="preserve">Oplysningen
 08.30  - 16.30
</t>
        </r>
      </text>
    </comment>
    <comment ref="R157" authorId="0" shapeId="0" xr:uid="{00000000-0006-0000-0700-000088000000}">
      <text>
        <r>
          <rPr>
            <b/>
            <sz val="8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60" authorId="0" shapeId="0" xr:uid="{00000000-0006-0000-0700-000089000000}">
      <text>
        <r>
          <rPr>
            <b/>
            <sz val="10"/>
            <color indexed="81"/>
            <rFont val="Tahoma"/>
            <family val="2"/>
          </rPr>
          <t>Afspadsering
 08.30 - 12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R161" authorId="0" shapeId="0" xr:uid="{00000000-0006-0000-0700-00008A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62" authorId="0" shapeId="0" xr:uid="{00000000-0006-0000-0700-00008B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3" authorId="0" shapeId="0" xr:uid="{00000000-0006-0000-0700-00008C000000}">
      <text>
        <r>
          <rPr>
            <b/>
            <sz val="9"/>
            <color indexed="81"/>
            <rFont val="Tahoma"/>
            <family val="2"/>
          </rPr>
          <t>Afspadsering
 6 - 12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65" authorId="0" shapeId="0" xr:uid="{00000000-0006-0000-0700-00008D000000}">
      <text>
        <r>
          <rPr>
            <b/>
            <sz val="10"/>
            <color indexed="81"/>
            <rFont val="Tahoma"/>
            <family val="2"/>
          </rPr>
          <t>Fintælling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92" authorId="2" shapeId="0" xr:uid="{00000000-0006-0000-0700-00008E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K2</t>
        </r>
      </text>
    </comment>
    <comment ref="R225" authorId="0" shapeId="0" xr:uid="{00000000-0006-0000-0700-00008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jilars</author>
    <author>erskyg</author>
  </authors>
  <commentList>
    <comment ref="L21" authorId="0" shapeId="0" xr:uid="{00000000-0006-0000-0800-000001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21" authorId="0" shapeId="0" xr:uid="{00000000-0006-0000-0800-000002000000}">
      <text>
        <r>
          <rPr>
            <sz val="8"/>
            <color indexed="81"/>
            <rFont val="Tahoma"/>
            <family val="2"/>
          </rPr>
          <t xml:space="preserve">Taste OA
</t>
        </r>
      </text>
    </comment>
    <comment ref="AG21" authorId="0" shapeId="0" xr:uid="{00000000-0006-0000-0800-000003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7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Spaniensgade
0900-1500</t>
        </r>
      </text>
    </comment>
    <comment ref="M37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Spaniensgade
0900-1500</t>
        </r>
      </text>
    </comment>
    <comment ref="N37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Spaniensgade
0900-1500</t>
        </r>
      </text>
    </comment>
    <comment ref="F38" authorId="1" shapeId="0" xr:uid="{00000000-0006-0000-0800-00000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 08.30  - 16.30</t>
        </r>
      </text>
    </comment>
    <comment ref="G38" authorId="1" shapeId="0" xr:uid="{00000000-0006-0000-0800-00000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 08.30  - 16.30</t>
        </r>
      </text>
    </comment>
    <comment ref="H38" authorId="1" shapeId="0" xr:uid="{00000000-0006-0000-0800-00000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 08.30  - 16.30</t>
        </r>
      </text>
    </comment>
    <comment ref="I38" authorId="1" shapeId="0" xr:uid="{00000000-0006-0000-0800-00000A000000}">
      <text>
        <r>
          <rPr>
            <b/>
            <sz val="8"/>
            <color indexed="81"/>
            <rFont val="Tahoma"/>
            <family val="2"/>
          </rPr>
          <t>Møder kl. 10</t>
        </r>
        <r>
          <rPr>
            <sz val="8"/>
            <color indexed="81"/>
            <rFont val="Tahoma"/>
            <family val="2"/>
          </rPr>
          <t xml:space="preserve">
i oplysningen</t>
        </r>
      </text>
    </comment>
    <comment ref="S38" authorId="1" shapeId="0" xr:uid="{00000000-0006-0000-0800-00000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omlagt tjeneste
Ørnevej</t>
        </r>
      </text>
    </comment>
    <comment ref="T38" authorId="1" shapeId="0" xr:uid="{00000000-0006-0000-0800-00000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omlagt tjeneste
Ørnevej</t>
        </r>
      </text>
    </comment>
    <comment ref="U38" authorId="1" shapeId="0" xr:uid="{00000000-0006-0000-0800-00000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omlagt tjeneste
Ørnevej</t>
        </r>
      </text>
    </comment>
    <comment ref="V38" authorId="1" shapeId="0" xr:uid="{00000000-0006-0000-08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omlagt tjeneste
Ørnevej</t>
        </r>
      </text>
    </comment>
    <comment ref="W38" authorId="1" shapeId="0" xr:uid="{00000000-0006-0000-08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omlagt tjeneste
Ørnevej 10-13</t>
        </r>
      </text>
    </comment>
    <comment ref="E39" authorId="0" shapeId="0" xr:uid="{00000000-0006-0000-0800-000010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9" authorId="0" shapeId="0" xr:uid="{00000000-0006-0000-0800-000011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39" authorId="0" shapeId="0" xr:uid="{00000000-0006-0000-0800-000012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39" authorId="0" shapeId="0" xr:uid="{00000000-0006-0000-0800-000013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39" authorId="0" shapeId="0" xr:uid="{00000000-0006-0000-0800-000014000000}">
      <text>
        <r>
          <rPr>
            <sz val="10"/>
            <color indexed="81"/>
            <rFont val="Tahoma"/>
            <family val="2"/>
          </rPr>
          <t>Brønshøjvej 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 shapeId="0" xr:uid="{00000000-0006-0000-0800-000015000000}">
      <text>
        <r>
          <rPr>
            <b/>
            <sz val="8"/>
            <color indexed="81"/>
            <rFont val="Tahoma"/>
            <family val="2"/>
          </rPr>
          <t>Kursus 9 - 12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0" authorId="1" shapeId="0" xr:uid="{00000000-0006-0000-08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
0900-1300</t>
        </r>
      </text>
    </comment>
    <comment ref="U40" authorId="0" shapeId="0" xr:uid="{00000000-0006-0000-0800-000017000000}">
      <text>
        <r>
          <rPr>
            <b/>
            <sz val="8"/>
            <color indexed="81"/>
            <rFont val="Tahoma"/>
            <family val="2"/>
          </rPr>
          <t>Gl. Køgelandevej</t>
        </r>
        <r>
          <rPr>
            <sz val="8"/>
            <color indexed="81"/>
            <rFont val="Tahoma"/>
            <family val="2"/>
          </rPr>
          <t xml:space="preserve">
0830-1500</t>
        </r>
      </text>
    </comment>
    <comment ref="V40" authorId="0" shapeId="0" xr:uid="{00000000-0006-0000-0800-000018000000}">
      <text>
        <r>
          <rPr>
            <b/>
            <sz val="8"/>
            <color indexed="81"/>
            <rFont val="Tahoma"/>
            <family val="2"/>
          </rPr>
          <t>Gl. Køgelandevej</t>
        </r>
        <r>
          <rPr>
            <sz val="8"/>
            <color indexed="81"/>
            <rFont val="Tahoma"/>
            <family val="2"/>
          </rPr>
          <t xml:space="preserve">
13-15</t>
        </r>
      </text>
    </comment>
    <comment ref="W40" authorId="0" shapeId="0" xr:uid="{00000000-0006-0000-0800-000019000000}">
      <text>
        <r>
          <rPr>
            <b/>
            <sz val="8"/>
            <color indexed="81"/>
            <rFont val="Tahoma"/>
            <family val="2"/>
          </rPr>
          <t>Gl. Køgelandevej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40" authorId="1" shapeId="0" xr:uid="{00000000-0006-0000-08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
12-15</t>
        </r>
      </text>
    </comment>
    <comment ref="AG40" authorId="1" shapeId="0" xr:uid="{00000000-0006-0000-0800-00001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Z41" authorId="0" shapeId="0" xr:uid="{00000000-0006-0000-0800-00001C000000}">
      <text>
        <r>
          <rPr>
            <b/>
            <sz val="10"/>
            <color indexed="81"/>
            <rFont val="Tahoma"/>
            <family val="2"/>
          </rPr>
          <t>Officepakken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41" authorId="0" shapeId="0" xr:uid="{00000000-0006-0000-0800-00001D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" authorId="2" shapeId="0" xr:uid="{00000000-0006-0000-0800-00001E000000}">
      <text>
        <r>
          <rPr>
            <b/>
            <sz val="10"/>
            <color indexed="81"/>
            <rFont val="Tahoma"/>
            <family val="2"/>
          </rPr>
          <t>Svendborggade 13-18</t>
        </r>
      </text>
    </comment>
    <comment ref="P45" authorId="2" shapeId="0" xr:uid="{00000000-0006-0000-0800-00001F000000}">
      <text>
        <r>
          <rPr>
            <b/>
            <sz val="10"/>
            <color indexed="81"/>
            <rFont val="Tahoma"/>
            <family val="2"/>
          </rPr>
          <t>Svendborggade 9-13</t>
        </r>
      </text>
    </comment>
    <comment ref="F46" authorId="0" shapeId="0" xr:uid="{00000000-0006-0000-0800-000020000000}">
      <text>
        <r>
          <rPr>
            <b/>
            <sz val="8"/>
            <color indexed="81"/>
            <rFont val="Tahoma"/>
            <family val="2"/>
          </rPr>
          <t>Kursus 9 - 12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8" authorId="0" shapeId="0" xr:uid="{00000000-0006-0000-0800-000021000000}">
      <text>
        <r>
          <rPr>
            <b/>
            <sz val="9"/>
            <color indexed="81"/>
            <rFont val="Tahoma"/>
            <family val="2"/>
          </rPr>
          <t>Møder 14.45 og afløser Jakob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48" authorId="3" shapeId="0" xr:uid="{00000000-0006-0000-0800-000022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Møder som 3-vagt kl. 07.30 på OA</t>
        </r>
      </text>
    </comment>
    <comment ref="P48" authorId="0" shapeId="0" xr:uid="{00000000-0006-0000-0800-000023000000}">
      <text>
        <r>
          <rPr>
            <b/>
            <sz val="9"/>
            <color indexed="81"/>
            <rFont val="Tahoma"/>
            <family val="2"/>
          </rPr>
          <t>Parkeringsvagt
 13 - 16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1" authorId="0" shapeId="0" xr:uid="{00000000-0006-0000-0800-000024000000}">
      <text>
        <r>
          <rPr>
            <b/>
            <sz val="8"/>
            <color indexed="81"/>
            <rFont val="Tahoma"/>
            <family val="2"/>
          </rPr>
          <t>Kursus 9 - 12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1" authorId="0" shapeId="0" xr:uid="{00000000-0006-0000-0800-000025000000}">
      <text>
        <r>
          <rPr>
            <b/>
            <sz val="10"/>
            <color indexed="81"/>
            <rFont val="Tahoma"/>
            <family val="2"/>
          </rPr>
          <t>Møder for Jim
 06.30</t>
        </r>
      </text>
    </comment>
    <comment ref="O71" authorId="0" shapeId="0" xr:uid="{00000000-0006-0000-0800-000026000000}">
      <text>
        <r>
          <rPr>
            <sz val="8"/>
            <color indexed="81"/>
            <rFont val="Tahoma"/>
            <family val="2"/>
          </rPr>
          <t xml:space="preserve">
0900-1000 møde amk</t>
        </r>
      </text>
    </comment>
    <comment ref="F72" authorId="0" shapeId="0" xr:uid="{00000000-0006-0000-0800-000027000000}">
      <text>
        <r>
          <rPr>
            <b/>
            <sz val="8"/>
            <color indexed="81"/>
            <rFont val="Tahoma"/>
            <family val="2"/>
          </rPr>
          <t>Kursus 9 - 12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72" authorId="0" shapeId="0" xr:uid="{00000000-0006-0000-0800-000028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E84" authorId="1" shapeId="0" xr:uid="{00000000-0006-0000-08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F84" authorId="0" shapeId="0" xr:uid="{00000000-0006-0000-0800-00002A000000}">
      <text>
        <r>
          <rPr>
            <b/>
            <sz val="8"/>
            <color indexed="81"/>
            <rFont val="Tahoma"/>
            <family val="2"/>
          </rPr>
          <t>Kursus 9 - 12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4" authorId="1" shapeId="0" xr:uid="{00000000-0006-0000-08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svanvej</t>
        </r>
      </text>
    </comment>
    <comment ref="H84" authorId="1" shapeId="0" xr:uid="{00000000-0006-0000-08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I84" authorId="1" shapeId="0" xr:uid="{00000000-0006-0000-08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M84" authorId="1" shapeId="0" xr:uid="{00000000-0006-0000-08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N84" authorId="1" shapeId="0" xr:uid="{00000000-0006-0000-0800-00002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O84" authorId="0" shapeId="0" xr:uid="{00000000-0006-0000-0800-000030000000}">
      <text>
        <r>
          <rPr>
            <sz val="8"/>
            <color indexed="81"/>
            <rFont val="Tahoma"/>
            <family val="2"/>
          </rPr>
          <t xml:space="preserve">
0900-1000 møde amk</t>
        </r>
      </text>
    </comment>
    <comment ref="P84" authorId="1" shapeId="0" xr:uid="{00000000-0006-0000-0800-00003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S84" authorId="1" shapeId="0" xr:uid="{00000000-0006-0000-08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T84" authorId="1" shapeId="0" xr:uid="{00000000-0006-0000-08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U84" authorId="1" shapeId="0" xr:uid="{00000000-0006-0000-08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V84" authorId="1" shapeId="0" xr:uid="{00000000-0006-0000-08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W84" authorId="1" shapeId="0" xr:uid="{00000000-0006-0000-08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Z84" authorId="1" shapeId="0" xr:uid="{00000000-0006-0000-08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Spaniensgade
9-12</t>
        </r>
      </text>
    </comment>
    <comment ref="AG84" authorId="1" shapeId="0" xr:uid="{00000000-0006-0000-08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E85" authorId="2" shapeId="0" xr:uid="{00000000-0006-0000-0800-000039000000}">
      <text>
        <r>
          <rPr>
            <b/>
            <sz val="10"/>
            <color indexed="81"/>
            <rFont val="Tahoma"/>
            <family val="2"/>
          </rPr>
          <t>Svendborggade 5
9 -15</t>
        </r>
      </text>
    </comment>
    <comment ref="F85" authorId="2" shapeId="0" xr:uid="{00000000-0006-0000-0800-00003A000000}">
      <text>
        <r>
          <rPr>
            <b/>
            <sz val="10"/>
            <color indexed="81"/>
            <rFont val="Tahoma"/>
            <family val="2"/>
          </rPr>
          <t>Svendborggade 5
9 -15</t>
        </r>
      </text>
    </comment>
    <comment ref="AA85" authorId="1" shapeId="0" xr:uid="{00000000-0006-0000-08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Spaniensgade
9-15</t>
        </r>
      </text>
    </comment>
    <comment ref="AB85" authorId="1" shapeId="0" xr:uid="{00000000-0006-0000-0800-00003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Spaniensgade
9-15</t>
        </r>
      </text>
    </comment>
    <comment ref="AC85" authorId="1" shapeId="0" xr:uid="{00000000-0006-0000-0800-00003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Spaniensgade
13-18</t>
        </r>
      </text>
    </comment>
    <comment ref="AD85" authorId="1" shapeId="0" xr:uid="{00000000-0006-0000-0800-00003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Spaniensgade
9-13</t>
        </r>
      </text>
    </comment>
    <comment ref="AG85" authorId="1" shapeId="0" xr:uid="{00000000-0006-0000-0800-00003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SPANIENS-GADE</t>
        </r>
      </text>
    </comment>
    <comment ref="F86" authorId="1" shapeId="0" xr:uid="{00000000-0006-0000-08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0900-1500</t>
        </r>
      </text>
    </comment>
    <comment ref="O86" authorId="0" shapeId="0" xr:uid="{00000000-0006-0000-0800-000041000000}">
      <text>
        <r>
          <rPr>
            <b/>
            <sz val="10"/>
            <color indexed="81"/>
            <rFont val="Tahoma"/>
            <family val="2"/>
          </rPr>
          <t>Skal bruges i hallen kl. 12.15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86" authorId="0" shapeId="0" xr:uid="{00000000-0006-0000-0800-000042000000}">
      <text>
        <r>
          <rPr>
            <b/>
            <sz val="8"/>
            <color indexed="81"/>
            <rFont val="Tahoma"/>
            <family val="2"/>
          </rPr>
          <t>Svanevej 12
 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86" authorId="0" shapeId="0" xr:uid="{00000000-0006-0000-0800-000043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0" authorId="0" shapeId="0" xr:uid="{00000000-0006-0000-0800-000044000000}">
      <text>
        <r>
          <rPr>
            <b/>
            <sz val="8"/>
            <color indexed="81"/>
            <rFont val="Tahoma"/>
            <family val="2"/>
          </rPr>
          <t>Kursus 9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0" authorId="0" shapeId="0" xr:uid="{00000000-0006-0000-0800-000045000000}">
      <text>
        <r>
          <rPr>
            <sz val="8"/>
            <color indexed="81"/>
            <rFont val="Tahoma"/>
            <family val="2"/>
          </rPr>
          <t xml:space="preserve">
0900-1000 møde amk</t>
        </r>
      </text>
    </comment>
    <comment ref="L122" authorId="0" shapeId="0" xr:uid="{00000000-0006-0000-0800-000046000000}">
      <text>
        <r>
          <rPr>
            <b/>
            <sz val="10"/>
            <color indexed="81"/>
            <rFont val="Tahoma"/>
            <family val="2"/>
          </rPr>
          <t>Møde i Oplysningen
9 - 16</t>
        </r>
      </text>
    </comment>
    <comment ref="M122" authorId="0" shapeId="0" xr:uid="{00000000-0006-0000-0800-000047000000}">
      <text>
        <r>
          <rPr>
            <b/>
            <sz val="10"/>
            <color indexed="81"/>
            <rFont val="Tahoma"/>
            <family val="2"/>
          </rPr>
          <t>Møde i Oplysningen
9 - 16</t>
        </r>
      </text>
    </comment>
    <comment ref="N122" authorId="0" shapeId="0" xr:uid="{00000000-0006-0000-0800-000048000000}">
      <text>
        <r>
          <rPr>
            <b/>
            <sz val="10"/>
            <color indexed="81"/>
            <rFont val="Tahoma"/>
            <family val="2"/>
          </rPr>
          <t>Møde i Oplysningen
9 - 16</t>
        </r>
      </text>
    </comment>
    <comment ref="O122" authorId="0" shapeId="0" xr:uid="{00000000-0006-0000-0800-000049000000}">
      <text>
        <r>
          <rPr>
            <b/>
            <sz val="10"/>
            <color indexed="81"/>
            <rFont val="Tahoma"/>
            <family val="2"/>
          </rPr>
          <t>Møde i Oplysningen
9 - 16</t>
        </r>
      </text>
    </comment>
    <comment ref="P122" authorId="0" shapeId="0" xr:uid="{00000000-0006-0000-0800-00004A000000}">
      <text>
        <r>
          <rPr>
            <b/>
            <sz val="10"/>
            <color indexed="81"/>
            <rFont val="Tahoma"/>
            <family val="2"/>
          </rPr>
          <t>Møde i Oplysningen
9 - 16</t>
        </r>
      </text>
    </comment>
    <comment ref="E124" authorId="1" shapeId="0" xr:uid="{00000000-0006-0000-0800-00004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POSTEN 08.30</t>
        </r>
      </text>
    </comment>
    <comment ref="L124" authorId="1" shapeId="0" xr:uid="{00000000-0006-0000-0800-00004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M124" authorId="1" shapeId="0" xr:uid="{00000000-0006-0000-0800-00004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N124" authorId="1" shapeId="0" xr:uid="{00000000-0006-0000-08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0815-1540</t>
        </r>
      </text>
    </comment>
    <comment ref="O124" authorId="1" shapeId="0" xr:uid="{00000000-0006-0000-0800-00004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1030-1800</t>
        </r>
      </text>
    </comment>
    <comment ref="P124" authorId="1" shapeId="0" xr:uid="{00000000-0006-0000-08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0815-1330</t>
        </r>
      </text>
    </comment>
    <comment ref="G125" authorId="0" shapeId="0" xr:uid="{00000000-0006-0000-0800-000051000000}">
      <text>
        <r>
          <rPr>
            <b/>
            <sz val="8"/>
            <color indexed="81"/>
            <rFont val="Tahoma"/>
            <family val="2"/>
          </rPr>
          <t>Oplysningen
 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25" authorId="0" shapeId="0" xr:uid="{00000000-0006-0000-0800-000052000000}">
      <text>
        <r>
          <rPr>
            <b/>
            <sz val="8"/>
            <color indexed="81"/>
            <rFont val="Tahoma"/>
            <family val="2"/>
          </rPr>
          <t>Oplysningen
 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5" authorId="0" shapeId="0" xr:uid="{00000000-0006-0000-0800-000053000000}">
      <text>
        <r>
          <rPr>
            <b/>
            <sz val="10"/>
            <color indexed="81"/>
            <rFont val="Tahoma"/>
            <family val="2"/>
          </rPr>
          <t>HNG 
8 - 14</t>
        </r>
      </text>
    </comment>
    <comment ref="T126" authorId="1" shapeId="0" xr:uid="{00000000-0006-0000-0800-000054000000}">
      <text>
        <r>
          <rPr>
            <sz val="8"/>
            <color indexed="81"/>
            <rFont val="Tahoma"/>
            <family val="2"/>
          </rPr>
          <t xml:space="preserve">
Oplysningen
 9 -16</t>
        </r>
      </text>
    </comment>
    <comment ref="U126" authorId="1" shapeId="0" xr:uid="{00000000-0006-0000-0800-000055000000}">
      <text>
        <r>
          <rPr>
            <sz val="8"/>
            <color indexed="81"/>
            <rFont val="Tahoma"/>
            <family val="2"/>
          </rPr>
          <t xml:space="preserve">
Oplysningen
 9 -16</t>
        </r>
      </text>
    </comment>
    <comment ref="V126" authorId="1" shapeId="0" xr:uid="{00000000-0006-0000-0800-000056000000}">
      <text>
        <r>
          <rPr>
            <sz val="8"/>
            <color indexed="81"/>
            <rFont val="Tahoma"/>
            <family val="2"/>
          </rPr>
          <t xml:space="preserve">
Oplysningen
 9 -16</t>
        </r>
      </text>
    </comment>
    <comment ref="W126" authorId="1" shapeId="0" xr:uid="{00000000-0006-0000-0800-000057000000}">
      <text>
        <r>
          <rPr>
            <sz val="8"/>
            <color indexed="81"/>
            <rFont val="Tahoma"/>
            <family val="2"/>
          </rPr>
          <t xml:space="preserve">
Oplysningen
 9 -16</t>
        </r>
      </text>
    </comment>
    <comment ref="X126" authorId="1" shapeId="0" xr:uid="{00000000-0006-0000-0800-00005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
 9 -14</t>
        </r>
      </text>
    </comment>
    <comment ref="O151" authorId="0" shapeId="0" xr:uid="{00000000-0006-0000-0800-000059000000}">
      <text>
        <r>
          <rPr>
            <b/>
            <sz val="10"/>
            <color indexed="81"/>
            <rFont val="Tahoma"/>
            <family val="2"/>
          </rPr>
          <t>08.30 - 12.30</t>
        </r>
      </text>
    </comment>
    <comment ref="O152" authorId="0" shapeId="0" xr:uid="{00000000-0006-0000-0800-00005A000000}">
      <text>
        <r>
          <rPr>
            <b/>
            <sz val="10"/>
            <color indexed="81"/>
            <rFont val="Tahoma"/>
            <family val="2"/>
          </rPr>
          <t>08.30 - 12.30</t>
        </r>
      </text>
    </comment>
    <comment ref="F156" authorId="0" shapeId="0" xr:uid="{00000000-0006-0000-0800-00005B000000}">
      <text>
        <r>
          <rPr>
            <b/>
            <sz val="8"/>
            <color indexed="81"/>
            <rFont val="Tahoma"/>
            <family val="2"/>
          </rPr>
          <t>Kursus 9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6" authorId="0" shapeId="0" xr:uid="{00000000-0006-0000-0800-00005C000000}">
      <text>
        <r>
          <rPr>
            <sz val="8"/>
            <color indexed="81"/>
            <rFont val="Tahoma"/>
            <family val="2"/>
          </rPr>
          <t xml:space="preserve">
0900-1000 møde amk</t>
        </r>
      </text>
    </comment>
    <comment ref="O200" authorId="0" shapeId="0" xr:uid="{00000000-0006-0000-0800-00005D000000}">
      <text>
        <r>
          <rPr>
            <b/>
            <sz val="10"/>
            <color indexed="81"/>
            <rFont val="Tahoma"/>
            <family val="2"/>
          </rPr>
          <t>08.30 - 12.30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jilars</author>
    <author>sthert</author>
    <author>peolse</author>
    <author>erskyg</author>
  </authors>
  <commentList>
    <comment ref="I14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J1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M17" authorId="0" shapeId="0" xr:uid="{00000000-0006-0000-0900-000003000000}">
      <text>
        <r>
          <rPr>
            <b/>
            <sz val="10"/>
            <color indexed="81"/>
            <rFont val="Tahoma"/>
            <family val="2"/>
          </rPr>
          <t>Bryllupsvagt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0" authorId="0" shapeId="0" xr:uid="{00000000-0006-0000-0900-000004000000}">
      <text>
        <r>
          <rPr>
            <b/>
            <sz val="10"/>
            <color indexed="81"/>
            <rFont val="Tahoma"/>
            <family val="2"/>
          </rPr>
          <t>Betjentvagt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0" authorId="0" shapeId="0" xr:uid="{00000000-0006-0000-0900-000005000000}">
      <text>
        <r>
          <rPr>
            <b/>
            <sz val="8"/>
            <color indexed="81"/>
            <rFont val="Tahoma"/>
            <family val="2"/>
          </rPr>
          <t>Oplysningen
 08.00 - 15.45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0" authorId="0" shapeId="0" xr:uid="{00000000-0006-0000-0900-000006000000}">
      <text>
        <r>
          <rPr>
            <b/>
            <sz val="8"/>
            <color indexed="81"/>
            <rFont val="Tahoma"/>
            <family val="2"/>
          </rPr>
          <t>Oplysningen
 08.00 - 14.45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20" authorId="1" shapeId="0" xr:uid="{00000000-0006-0000-0900-000007000000}">
      <text>
        <r>
          <rPr>
            <b/>
            <sz val="10"/>
            <color indexed="81"/>
            <rFont val="Tahoma"/>
            <family val="2"/>
          </rPr>
          <t>Betjentvagt</t>
        </r>
      </text>
    </comment>
    <comment ref="C21" authorId="0" shapeId="0" xr:uid="{00000000-0006-0000-0900-000008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00000000-0006-0000-0900-000009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1" authorId="0" shapeId="0" xr:uid="{00000000-0006-0000-0900-00000A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1" authorId="0" shapeId="0" xr:uid="{00000000-0006-0000-0900-00000B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1" authorId="0" shapeId="0" xr:uid="{00000000-0006-0000-0900-00000C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1" authorId="0" shapeId="0" xr:uid="{00000000-0006-0000-0900-00000D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1" authorId="0" shapeId="0" xr:uid="{00000000-0006-0000-0900-00000E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1" authorId="0" shapeId="0" xr:uid="{00000000-0006-0000-0900-00000F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1" authorId="0" shapeId="0" xr:uid="{00000000-0006-0000-0900-000010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1" authorId="0" shapeId="0" xr:uid="{00000000-0006-0000-0900-000011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21" authorId="0" shapeId="0" xr:uid="{00000000-0006-0000-0900-000012000000}">
      <text>
        <r>
          <rPr>
            <sz val="10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7" authorId="0" shapeId="0" xr:uid="{00000000-0006-0000-0900-000013000000}">
      <text>
        <r>
          <rPr>
            <b/>
            <sz val="10"/>
            <color indexed="81"/>
            <rFont val="Tahoma"/>
            <family val="2"/>
          </rPr>
          <t>Svendborggade 5
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0" authorId="2" shapeId="0" xr:uid="{00000000-0006-0000-09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D40" authorId="2" shapeId="0" xr:uid="{00000000-0006-0000-09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E40" authorId="2" shapeId="0" xr:uid="{00000000-0006-0000-09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F40" authorId="2" shapeId="0" xr:uid="{00000000-0006-0000-0900-00001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L40" authorId="0" shapeId="0" xr:uid="{00000000-0006-0000-09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40" authorId="1" shapeId="0" xr:uid="{00000000-0006-0000-0900-000019000000}">
      <text>
        <r>
          <rPr>
            <b/>
            <sz val="10"/>
            <color indexed="81"/>
            <rFont val="Tahoma"/>
            <family val="2"/>
          </rPr>
          <t>Svendborggade 5 kl. 09:00 - 15:00</t>
        </r>
      </text>
    </comment>
    <comment ref="AA40" authorId="1" shapeId="0" xr:uid="{00000000-0006-0000-0900-00001A000000}">
      <text>
        <r>
          <rPr>
            <b/>
            <sz val="10"/>
            <color indexed="81"/>
            <rFont val="Tahoma"/>
            <family val="2"/>
          </rPr>
          <t>Svendborggade 5 kl. 09:00 - 13:00</t>
        </r>
      </text>
    </comment>
    <comment ref="M41" authorId="0" shapeId="0" xr:uid="{00000000-0006-0000-0900-00001B000000}">
      <text>
        <r>
          <rPr>
            <b/>
            <sz val="10"/>
            <color indexed="81"/>
            <rFont val="Tahoma"/>
            <family val="2"/>
          </rPr>
          <t>Vielser hvis Jesper har brug for hjælp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E44" authorId="0" shapeId="0" xr:uid="{00000000-0006-0000-0900-00001C000000}">
      <text>
        <r>
          <rPr>
            <b/>
            <sz val="8"/>
            <color indexed="81"/>
            <rFont val="Tahoma"/>
            <family val="2"/>
          </rPr>
          <t>Til lægen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45" authorId="1" shapeId="0" xr:uid="{00000000-0006-0000-0900-00001D000000}">
      <text>
        <r>
          <rPr>
            <b/>
            <sz val="10"/>
            <color indexed="81"/>
            <rFont val="Tahoma"/>
            <family val="2"/>
          </rPr>
          <t>Svendborggade 5 kl. 13:00 - 18:00</t>
        </r>
      </text>
    </comment>
    <comment ref="J46" authorId="0" shapeId="0" xr:uid="{00000000-0006-0000-0900-00001E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P46" authorId="1" shapeId="0" xr:uid="{00000000-0006-0000-0900-00001F000000}">
      <text>
        <r>
          <rPr>
            <b/>
            <sz val="10"/>
            <color indexed="81"/>
            <rFont val="Tahoma"/>
            <family val="2"/>
          </rPr>
          <t xml:space="preserve">Toftegårds Plads </t>
        </r>
      </text>
    </comment>
    <comment ref="S46" authorId="0" shapeId="0" xr:uid="{00000000-0006-0000-0900-000020000000}">
      <text>
        <r>
          <rPr>
            <b/>
            <sz val="8"/>
            <color indexed="81"/>
            <rFont val="Tahoma"/>
            <family val="2"/>
          </rPr>
          <t>Svaenevej
13.30 18,00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7" authorId="0" shapeId="0" xr:uid="{00000000-0006-0000-0900-000021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J48" authorId="0" shapeId="0" xr:uid="{00000000-0006-0000-0900-000022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I49" authorId="0" shapeId="0" xr:uid="{00000000-0006-0000-0900-000023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J50" authorId="0" shapeId="0" xr:uid="{00000000-0006-0000-0900-000024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X50" authorId="0" shapeId="0" xr:uid="{00000000-0006-0000-0900-000025000000}">
      <text>
        <r>
          <rPr>
            <b/>
            <sz val="10"/>
            <color indexed="81"/>
            <rFont val="Tahoma"/>
            <family val="2"/>
          </rPr>
          <t>Kun dagvagt
grundet generalforsamling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51" authorId="0" shapeId="0" xr:uid="{00000000-0006-0000-0900-000026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J71" authorId="0" shapeId="0" xr:uid="{00000000-0006-0000-0900-000027000000}">
      <text>
        <r>
          <rPr>
            <b/>
            <sz val="10"/>
            <color indexed="81"/>
            <rFont val="Tahoma"/>
            <family val="2"/>
          </rPr>
          <t>Anders går kl. 12
FF TIMER</t>
        </r>
      </text>
    </comment>
    <comment ref="C72" authorId="0" shapeId="0" xr:uid="{00000000-0006-0000-0900-000028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D72" authorId="0" shapeId="0" xr:uid="{00000000-0006-0000-0900-000029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E72" authorId="0" shapeId="0" xr:uid="{00000000-0006-0000-0900-00002A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72" authorId="0" shapeId="0" xr:uid="{00000000-0006-0000-0900-00002B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I72" authorId="0" shapeId="0" xr:uid="{00000000-0006-0000-0900-00002C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J72" authorId="0" shapeId="0" xr:uid="{00000000-0006-0000-0900-00002D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72" authorId="0" shapeId="0" xr:uid="{00000000-0006-0000-0900-00002E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72" authorId="0" shapeId="0" xr:uid="{00000000-0006-0000-0900-00002F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M72" authorId="0" shapeId="0" xr:uid="{00000000-0006-0000-0900-000030000000}">
      <text>
        <r>
          <rPr>
            <b/>
            <sz val="10"/>
            <color indexed="81"/>
            <rFont val="Tahoma"/>
            <family val="2"/>
          </rPr>
          <t>Arbejde sammen med Per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R72" authorId="0" shapeId="0" xr:uid="{00000000-0006-0000-0900-000031000000}">
      <text>
        <r>
          <rPr>
            <b/>
            <sz val="10"/>
            <color indexed="81"/>
            <rFont val="Tahoma"/>
            <family val="2"/>
          </rPr>
          <t>Rådhusmuseum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72" authorId="0" shapeId="0" xr:uid="{00000000-0006-0000-0900-000032000000}">
      <text>
        <r>
          <rPr>
            <b/>
            <sz val="10"/>
            <color indexed="81"/>
            <rFont val="Tahoma"/>
            <family val="2"/>
          </rPr>
          <t>Rådhusmuseum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72" authorId="3" shapeId="0" xr:uid="{00000000-0006-0000-0900-000033000000}">
      <text>
        <r>
          <rPr>
            <b/>
            <sz val="8"/>
            <color indexed="81"/>
            <rFont val="Tahoma"/>
            <family val="2"/>
          </rPr>
          <t>peolse:</t>
        </r>
        <r>
          <rPr>
            <sz val="8"/>
            <color indexed="81"/>
            <rFont val="Tahoma"/>
            <family val="2"/>
          </rPr>
          <t xml:space="preserve">
6 vagt</t>
        </r>
      </text>
    </comment>
    <comment ref="C84" authorId="2" shapeId="0" xr:uid="{00000000-0006-0000-09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D84" authorId="2" shapeId="0" xr:uid="{00000000-0006-0000-09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E84" authorId="2" shapeId="0" xr:uid="{00000000-0006-0000-09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F84" authorId="2" shapeId="0" xr:uid="{00000000-0006-0000-09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
Svanevej</t>
        </r>
      </text>
    </comment>
    <comment ref="K84" authorId="0" shapeId="0" xr:uid="{00000000-0006-0000-0900-000038000000}">
      <text>
        <r>
          <rPr>
            <b/>
            <sz val="8"/>
            <color indexed="81"/>
            <rFont val="Tahoma"/>
            <family val="2"/>
          </rPr>
          <t>Mtthæusgade 1
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84" authorId="0" shapeId="0" xr:uid="{00000000-0006-0000-0900-000039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84" authorId="0" shapeId="0" xr:uid="{00000000-0006-0000-0900-00003A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84" authorId="0" shapeId="0" xr:uid="{00000000-0006-0000-0900-00003B000000}">
      <text>
        <r>
          <rPr>
            <b/>
            <sz val="11"/>
            <color indexed="81"/>
            <rFont val="Tahoma"/>
            <family val="2"/>
          </rPr>
          <t>Ørnevej 55
 Modtagelsen
 9 - 14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84" authorId="0" shapeId="0" xr:uid="{00000000-0006-0000-0900-00003C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84" authorId="2" shapeId="0" xr:uid="{00000000-0006-0000-0900-00003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0930-1530</t>
        </r>
      </text>
    </comment>
    <comment ref="I86" authorId="2" shapeId="0" xr:uid="{00000000-0006-0000-0900-00003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
9-15</t>
        </r>
      </text>
    </comment>
    <comment ref="L86" authorId="0" shapeId="0" xr:uid="{00000000-0006-0000-0900-00003F000000}">
      <text>
        <r>
          <rPr>
            <b/>
            <sz val="8"/>
            <color indexed="81"/>
            <rFont val="Tahoma"/>
            <family val="2"/>
          </rPr>
          <t>Remisevej 
13 - 18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86" authorId="0" shapeId="0" xr:uid="{00000000-0006-0000-0900-000040000000}">
      <text>
        <r>
          <rPr>
            <b/>
            <sz val="8"/>
            <color indexed="81"/>
            <rFont val="Tahoma"/>
            <family val="2"/>
          </rPr>
          <t>Matthæusgade 1</t>
        </r>
      </text>
    </comment>
    <comment ref="X86" authorId="0" shapeId="0" xr:uid="{00000000-0006-0000-0900-000041000000}">
      <text>
        <r>
          <rPr>
            <b/>
            <sz val="8"/>
            <color indexed="81"/>
            <rFont val="Tahoma"/>
            <family val="2"/>
          </rPr>
          <t>Matthæusgade 1</t>
        </r>
      </text>
    </comment>
    <comment ref="Y86" authorId="0" shapeId="0" xr:uid="{00000000-0006-0000-0900-000042000000}">
      <text>
        <r>
          <rPr>
            <b/>
            <sz val="8"/>
            <color indexed="81"/>
            <rFont val="Tahoma"/>
            <family val="2"/>
          </rPr>
          <t>Matthæusgade 1</t>
        </r>
      </text>
    </comment>
    <comment ref="Z86" authorId="1" shapeId="0" xr:uid="{00000000-0006-0000-0900-000043000000}">
      <text>
        <r>
          <rPr>
            <b/>
            <sz val="10"/>
            <color indexed="81"/>
            <rFont val="Tahoma"/>
            <family val="2"/>
          </rPr>
          <t>Matthæusgade 1 kl. 13:00-18:00</t>
        </r>
      </text>
    </comment>
    <comment ref="AA86" authorId="1" shapeId="0" xr:uid="{00000000-0006-0000-0900-000044000000}">
      <text>
        <r>
          <rPr>
            <b/>
            <sz val="10"/>
            <color indexed="81"/>
            <rFont val="Tahoma"/>
            <family val="2"/>
          </rPr>
          <t>Matthæusgade 1 kl. 09:00-13:00</t>
        </r>
      </text>
    </comment>
    <comment ref="AD86" authorId="1" shapeId="0" xr:uid="{00000000-0006-0000-0900-000045000000}">
      <text>
        <r>
          <rPr>
            <b/>
            <sz val="10"/>
            <color indexed="81"/>
            <rFont val="Tahoma"/>
            <family val="2"/>
          </rPr>
          <t xml:space="preserve">P2 </t>
        </r>
      </text>
    </comment>
    <comment ref="W97" authorId="0" shapeId="0" xr:uid="{00000000-0006-0000-0900-000046000000}">
      <text>
        <r>
          <rPr>
            <b/>
            <sz val="10"/>
            <color indexed="81"/>
            <rFont val="Tahoma"/>
            <family val="2"/>
          </rPr>
          <t>Møder i posten
kl. 07.00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97" authorId="0" shapeId="0" xr:uid="{00000000-0006-0000-0900-000047000000}">
      <text>
        <r>
          <rPr>
            <b/>
            <sz val="10"/>
            <color indexed="81"/>
            <rFont val="Tahoma"/>
            <family val="2"/>
          </rPr>
          <t>Møder i posten
kl. 07.00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97" authorId="0" shapeId="0" xr:uid="{00000000-0006-0000-0900-000048000000}">
      <text>
        <r>
          <rPr>
            <b/>
            <sz val="10"/>
            <color indexed="81"/>
            <rFont val="Tahoma"/>
            <family val="2"/>
          </rPr>
          <t>Møder i posten
kl. 07.00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97" authorId="0" shapeId="0" xr:uid="{00000000-0006-0000-0900-000049000000}">
      <text>
        <r>
          <rPr>
            <b/>
            <sz val="10"/>
            <color indexed="81"/>
            <rFont val="Tahoma"/>
            <family val="2"/>
          </rPr>
          <t>Møder i posten
kl. 07.00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99" authorId="0" shapeId="0" xr:uid="{00000000-0006-0000-0900-00004A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AE110" authorId="3" shapeId="0" xr:uid="{00000000-0006-0000-0900-00004B000000}">
      <text>
        <r>
          <rPr>
            <b/>
            <sz val="8"/>
            <color indexed="81"/>
            <rFont val="Tahoma"/>
            <family val="2"/>
          </rPr>
          <t>peolse:</t>
        </r>
        <r>
          <rPr>
            <sz val="8"/>
            <color indexed="81"/>
            <rFont val="Tahoma"/>
            <family val="2"/>
          </rPr>
          <t xml:space="preserve">
fri</t>
        </r>
      </text>
    </comment>
    <comment ref="R123" authorId="0" shapeId="0" xr:uid="{00000000-0006-0000-0900-00004C000000}">
      <text>
        <r>
          <rPr>
            <b/>
            <sz val="8"/>
            <color indexed="81"/>
            <rFont val="Tahoma"/>
            <family val="2"/>
          </rPr>
          <t>Oplysningen
 9 - 16.30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123" authorId="0" shapeId="0" xr:uid="{00000000-0006-0000-0900-00004D000000}">
      <text>
        <r>
          <rPr>
            <b/>
            <sz val="8"/>
            <color indexed="81"/>
            <rFont val="Tahoma"/>
            <family val="2"/>
          </rPr>
          <t>Oplysningen
 9 - 16.30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23" authorId="0" shapeId="0" xr:uid="{00000000-0006-0000-0900-00004E000000}">
      <text>
        <r>
          <rPr>
            <sz val="10"/>
            <color indexed="81"/>
            <rFont val="Tahoma"/>
            <family val="2"/>
          </rPr>
          <t xml:space="preserve">Oplysningen
09.00 - 15.00
</t>
        </r>
      </text>
    </comment>
    <comment ref="U123" authorId="0" shapeId="0" xr:uid="{00000000-0006-0000-0900-00004F000000}">
      <text>
        <r>
          <rPr>
            <sz val="10"/>
            <color indexed="81"/>
            <rFont val="Tahoma"/>
            <family val="2"/>
          </rPr>
          <t xml:space="preserve">Oplysningen
09.00 - 14.00
</t>
        </r>
      </text>
    </comment>
    <comment ref="P125" authorId="2" shapeId="0" xr:uid="{00000000-0006-0000-09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0900-1500</t>
        </r>
      </text>
    </comment>
    <comment ref="Q125" authorId="2" shapeId="0" xr:uid="{00000000-0006-0000-09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0900-1500</t>
        </r>
      </text>
    </comment>
    <comment ref="R125" authorId="2" shapeId="0" xr:uid="{00000000-0006-0000-09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0900-1500</t>
        </r>
      </text>
    </comment>
    <comment ref="S125" authorId="2" shapeId="0" xr:uid="{00000000-0006-0000-0900-00005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1100-1800</t>
        </r>
      </text>
    </comment>
    <comment ref="T125" authorId="2" shapeId="0" xr:uid="{00000000-0006-0000-09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0900-1300</t>
        </r>
      </text>
    </comment>
    <comment ref="X125" authorId="1" shapeId="0" xr:uid="{00000000-0006-0000-0900-000055000000}">
      <text>
        <r>
          <rPr>
            <b/>
            <sz val="10"/>
            <color indexed="81"/>
            <rFont val="Tahoma"/>
            <family val="2"/>
          </rPr>
          <t>Matthæusgade fra kl. 14:00-16:00</t>
        </r>
      </text>
    </comment>
    <comment ref="J127" authorId="0" shapeId="0" xr:uid="{00000000-0006-0000-0900-000056000000}">
      <text>
        <r>
          <rPr>
            <b/>
            <sz val="8"/>
            <color indexed="81"/>
            <rFont val="Tahoma"/>
            <family val="2"/>
          </rPr>
          <t>Kursus
 12 - ca. 15.00</t>
        </r>
      </text>
    </comment>
    <comment ref="AD127" authorId="0" shapeId="0" xr:uid="{00000000-0006-0000-0900-000057000000}">
      <text>
        <r>
          <rPr>
            <b/>
            <sz val="10"/>
            <color indexed="81"/>
            <rFont val="Tahoma"/>
            <family val="2"/>
          </rPr>
          <t>Oplysningen
 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7" authorId="3" shapeId="0" xr:uid="{00000000-0006-0000-0900-000058000000}">
      <text>
        <r>
          <rPr>
            <b/>
            <sz val="8"/>
            <color indexed="81"/>
            <rFont val="Tahoma"/>
            <family val="2"/>
          </rPr>
          <t>peolse:</t>
        </r>
        <r>
          <rPr>
            <sz val="8"/>
            <color indexed="81"/>
            <rFont val="Tahoma"/>
            <family val="2"/>
          </rPr>
          <t xml:space="preserve">
P2</t>
        </r>
      </text>
    </comment>
    <comment ref="R128" authorId="0" shapeId="0" xr:uid="{00000000-0006-0000-0900-000059000000}">
      <text>
        <r>
          <rPr>
            <b/>
            <sz val="10"/>
            <color indexed="81"/>
            <rFont val="Tahoma"/>
            <family val="2"/>
          </rPr>
          <t>Jakob møder senere
køreprøve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28" authorId="0" shapeId="0" xr:uid="{00000000-0006-0000-0900-00005A000000}">
      <text>
        <r>
          <rPr>
            <b/>
            <sz val="8"/>
            <color indexed="81"/>
            <rFont val="Tahoma"/>
            <family val="2"/>
          </rPr>
          <t>Oplysningen
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8" authorId="4" shapeId="0" xr:uid="{00000000-0006-0000-0900-00005B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Jacob møder senere, køretime</t>
        </r>
      </text>
    </comment>
    <comment ref="T129" authorId="1" shapeId="0" xr:uid="{00000000-0006-0000-0900-00005C000000}">
      <text>
        <r>
          <rPr>
            <b/>
            <sz val="10"/>
            <color indexed="81"/>
            <rFont val="Tahoma"/>
            <family val="2"/>
          </rPr>
          <t>Møder kl. 17:00</t>
        </r>
      </text>
    </comment>
    <comment ref="W129" authorId="0" shapeId="0" xr:uid="{00000000-0006-0000-0900-00005D000000}">
      <text>
        <r>
          <rPr>
            <b/>
            <sz val="9"/>
            <color indexed="81"/>
            <rFont val="Tahoma"/>
            <family val="2"/>
          </rPr>
          <t>Patruljeleder
 16.30 - 23.45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29" authorId="0" shapeId="0" xr:uid="{00000000-0006-0000-0900-00005E000000}">
      <text>
        <r>
          <rPr>
            <b/>
            <sz val="9"/>
            <color indexed="81"/>
            <rFont val="Tahoma"/>
            <family val="2"/>
          </rPr>
          <t>Patruljeleder
 16.30 - 23.45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mipede</author>
    <author>bovolf</author>
    <author>sthert</author>
    <author>peolse</author>
  </authors>
  <commentList>
    <comment ref="I17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Kursus
 15 - 2000</t>
        </r>
      </text>
    </comment>
    <comment ref="O17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Kursus kl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8" authorId="0" shapeId="0" xr:uid="{00000000-0006-0000-0A00-000003000000}">
      <text>
        <r>
          <rPr>
            <b/>
            <sz val="8"/>
            <color indexed="81"/>
            <rFont val="Tahoma"/>
            <family val="2"/>
          </rPr>
          <t>Til møde hele dagen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16.30-23.45
PL vagt</t>
        </r>
      </text>
    </comment>
    <comment ref="G20" authorId="2" shapeId="0" xr:uid="{00000000-0006-0000-0A00-000005000000}">
      <text>
        <r>
          <rPr>
            <sz val="10"/>
            <color indexed="81"/>
            <rFont val="Tahoma"/>
            <family val="2"/>
          </rPr>
          <t>Brønshøjvej 17
08,30-16,00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0" authorId="2" shapeId="0" xr:uid="{00000000-0006-0000-0A00-000006000000}">
      <text>
        <r>
          <rPr>
            <sz val="10"/>
            <color indexed="81"/>
            <rFont val="Tahoma"/>
            <family val="2"/>
          </rPr>
          <t>Brønshøjvej 17
08,30-16,00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" authorId="0" shapeId="0" xr:uid="{00000000-0006-0000-0A00-000007000000}">
      <text>
        <r>
          <rPr>
            <b/>
            <sz val="8"/>
            <color indexed="81"/>
            <rFont val="Tahoma"/>
            <family val="2"/>
          </rPr>
          <t>Kursus kl. 1500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1" authorId="0" shapeId="0" xr:uid="{00000000-0006-0000-0A00-000008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1" authorId="0" shapeId="0" xr:uid="{00000000-0006-0000-0A00-000009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1" authorId="0" shapeId="0" xr:uid="{00000000-0006-0000-0A00-00000A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1" authorId="0" shapeId="0" xr:uid="{00000000-0006-0000-0A00-00000B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1" authorId="0" shapeId="0" xr:uid="{00000000-0006-0000-0A00-00000C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8" authorId="3" shapeId="0" xr:uid="{00000000-0006-0000-0A00-00000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1200-1800</t>
        </r>
      </text>
    </comment>
    <comment ref="D38" authorId="3" shapeId="0" xr:uid="{00000000-0006-0000-0A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
0900-1300</t>
        </r>
      </text>
    </comment>
    <comment ref="V38" authorId="0" shapeId="0" xr:uid="{00000000-0006-0000-0A00-00000F000000}">
      <text>
        <r>
          <rPr>
            <b/>
            <sz val="8"/>
            <color indexed="81"/>
            <rFont val="Tahoma"/>
            <family val="2"/>
          </rPr>
          <t>Kun dagvagt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38" authorId="3" shapeId="0" xr:uid="{00000000-0006-0000-0A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oprydning klubben
0930-1700</t>
        </r>
      </text>
    </comment>
    <comment ref="G40" authorId="4" shapeId="0" xr:uid="{00000000-0006-0000-0A00-000011000000}">
      <text>
        <r>
          <rPr>
            <b/>
            <sz val="8"/>
            <color indexed="81"/>
            <rFont val="Tahoma"/>
            <family val="2"/>
          </rPr>
          <t>peolse:</t>
        </r>
        <r>
          <rPr>
            <sz val="8"/>
            <color indexed="81"/>
            <rFont val="Tahoma"/>
            <family val="2"/>
          </rPr>
          <t xml:space="preserve">
valdemarsgade</t>
        </r>
      </text>
    </comment>
    <comment ref="H40" authorId="4" shapeId="0" xr:uid="{00000000-0006-0000-0A00-000012000000}">
      <text>
        <r>
          <rPr>
            <b/>
            <sz val="8"/>
            <color indexed="81"/>
            <rFont val="Tahoma"/>
            <family val="2"/>
          </rPr>
          <t>peolse:</t>
        </r>
        <r>
          <rPr>
            <sz val="8"/>
            <color indexed="81"/>
            <rFont val="Tahoma"/>
            <family val="2"/>
          </rPr>
          <t xml:space="preserve">
valdemarsgade</t>
        </r>
      </text>
    </comment>
    <comment ref="I40" authorId="3" shapeId="0" xr:uid="{00000000-0006-0000-0A00-00001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0900-1500 SVANEVEJ</t>
        </r>
      </text>
    </comment>
    <comment ref="O40" authorId="3" shapeId="0" xr:uid="{00000000-0006-0000-0A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Valdemarsgade
0830-1030</t>
        </r>
      </text>
    </comment>
    <comment ref="Q40" authorId="3" shapeId="0" xr:uid="{00000000-0006-0000-0A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Svanevej
13-16</t>
        </r>
      </text>
    </comment>
    <comment ref="R41" authorId="0" shapeId="0" xr:uid="{00000000-0006-0000-0A00-000016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46" authorId="0" shapeId="0" xr:uid="{00000000-0006-0000-0A00-000017000000}">
      <text>
        <r>
          <rPr>
            <b/>
            <sz val="8"/>
            <color indexed="81"/>
            <rFont val="Tahoma"/>
            <family val="2"/>
          </rPr>
          <t>Matthæusgade 1
for Allan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46" authorId="0" shapeId="0" xr:uid="{00000000-0006-0000-0A00-000018000000}">
      <text>
        <r>
          <rPr>
            <b/>
            <sz val="8"/>
            <color indexed="81"/>
            <rFont val="Tahoma"/>
            <family val="2"/>
          </rPr>
          <t>Matthæusgade 1
for Allan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50" authorId="3" shapeId="0" xr:uid="{00000000-0006-0000-0A00-00001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oprydning klubben
0930-1700</t>
        </r>
      </text>
    </comment>
    <comment ref="AE50" authorId="3" shapeId="0" xr:uid="{00000000-0006-0000-0A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DEN SOCIALE DØGNVAGT
0800-1540</t>
        </r>
      </text>
    </comment>
    <comment ref="H71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Anders møder 06.30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4" authorId="0" shapeId="0" xr:uid="{00000000-0006-0000-0A00-00001C000000}">
      <text>
        <r>
          <rPr>
            <sz val="8"/>
            <color indexed="81"/>
            <rFont val="Tahoma"/>
            <family val="2"/>
          </rPr>
          <t>Svanevej</t>
        </r>
      </text>
    </comment>
    <comment ref="H84" authorId="0" shapeId="0" xr:uid="{00000000-0006-0000-0A00-00001D000000}">
      <text>
        <r>
          <rPr>
            <sz val="8"/>
            <color indexed="81"/>
            <rFont val="Tahoma"/>
            <family val="2"/>
          </rPr>
          <t xml:space="preserve">
opgaver i byen</t>
        </r>
      </text>
    </comment>
    <comment ref="I84" authorId="3" shapeId="0" xr:uid="{00000000-0006-0000-0A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3-vaft + 7-vagt</t>
        </r>
      </text>
    </comment>
    <comment ref="J84" authorId="3" shapeId="0" xr:uid="{00000000-0006-0000-0A00-00001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ER først på huset kl.1130</t>
        </r>
      </text>
    </comment>
    <comment ref="N84" authorId="3" shapeId="0" xr:uid="{00000000-0006-0000-0A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 kl.11.30</t>
        </r>
      </text>
    </comment>
    <comment ref="O84" authorId="3" shapeId="0" xr:uid="{00000000-0006-0000-0A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Ali møder som K2</t>
        </r>
      </text>
    </comment>
    <comment ref="Q84" authorId="3" shapeId="0" xr:uid="{00000000-0006-0000-0A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Brønshøhj 14.30-1530
svanevej 1600-1800</t>
        </r>
      </text>
    </comment>
    <comment ref="W84" authorId="3" shapeId="0" xr:uid="{00000000-0006-0000-0A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 Køge
0900-1500</t>
        </r>
      </text>
    </comment>
    <comment ref="AC84" authorId="3" shapeId="0" xr:uid="{00000000-0006-0000-0A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Døgnvagten</t>
        </r>
      </text>
    </comment>
    <comment ref="AD84" authorId="3" shapeId="0" xr:uid="{00000000-0006-0000-0A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Døgnvagten</t>
        </r>
      </text>
    </comment>
    <comment ref="AF84" authorId="3" shapeId="0" xr:uid="{00000000-0006-0000-0A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Døgnvagten</t>
        </r>
      </text>
    </comment>
    <comment ref="O85" authorId="3" shapeId="0" xr:uid="{00000000-0006-0000-0A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Ali K2</t>
        </r>
      </text>
    </comment>
    <comment ref="P86" authorId="3" shapeId="0" xr:uid="{00000000-0006-0000-0A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
0900-1500</t>
        </r>
      </text>
    </comment>
    <comment ref="Q86" authorId="0" shapeId="0" xr:uid="{00000000-0006-0000-0A00-000029000000}">
      <text>
        <r>
          <rPr>
            <b/>
            <sz val="9"/>
            <color indexed="81"/>
            <rFont val="Tahoma"/>
            <family val="2"/>
          </rPr>
          <t>Matthæusgade 1
13 - 18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97" authorId="0" shapeId="0" xr:uid="{00000000-0006-0000-0A00-00002A000000}">
      <text>
        <r>
          <rPr>
            <b/>
            <sz val="8"/>
            <color indexed="81"/>
            <rFont val="Tahoma"/>
            <family val="2"/>
          </rPr>
          <t>Møde i Kødbyen
 kl. 06.00 - 12.00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99" authorId="0" shapeId="0" xr:uid="{00000000-0006-0000-0A00-00002B000000}">
      <text>
        <r>
          <rPr>
            <b/>
            <sz val="8"/>
            <color indexed="81"/>
            <rFont val="Tahoma"/>
            <family val="2"/>
          </rPr>
          <t>Møde i Kødbyen
 06.00 - 18.00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2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Oplysningen
 09.30 - 16.15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2" authorId="0" shapeId="0" xr:uid="{00000000-0006-0000-0A00-00002D000000}">
      <text>
        <r>
          <rPr>
            <b/>
            <sz val="8"/>
            <color indexed="81"/>
            <rFont val="Tahoma"/>
            <family val="2"/>
          </rPr>
          <t>Kursus
kl. 15.00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3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Møder kl. 08.30
 i Oplysningen</t>
        </r>
        <r>
          <rPr>
            <sz val="8"/>
            <color indexed="81"/>
            <rFont val="Tahoma"/>
            <family val="2"/>
          </rPr>
          <t xml:space="preserve">
Kursus kl. 15.00</t>
        </r>
      </text>
    </comment>
    <comment ref="U126" authorId="0" shapeId="0" xr:uid="{00000000-0006-0000-0A00-00002F000000}">
      <text>
        <r>
          <rPr>
            <b/>
            <sz val="8"/>
            <color indexed="81"/>
            <rFont val="Tahoma"/>
            <family val="2"/>
          </rPr>
          <t>Oplysningen
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6" authorId="0" shapeId="0" xr:uid="{00000000-0006-0000-0A00-000030000000}">
      <text>
        <r>
          <rPr>
            <b/>
            <sz val="8"/>
            <color indexed="81"/>
            <rFont val="Tahoma"/>
            <family val="2"/>
          </rPr>
          <t>Oplysningen
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26" authorId="0" shapeId="0" xr:uid="{00000000-0006-0000-0A00-000031000000}">
      <text>
        <r>
          <rPr>
            <b/>
            <sz val="8"/>
            <color indexed="81"/>
            <rFont val="Tahoma"/>
            <family val="2"/>
          </rPr>
          <t>Oplysningen
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6" authorId="0" shapeId="0" xr:uid="{00000000-0006-0000-0A00-000032000000}">
      <text>
        <r>
          <rPr>
            <b/>
            <sz val="8"/>
            <color indexed="81"/>
            <rFont val="Tahoma"/>
            <family val="2"/>
          </rPr>
          <t>Oplysningen
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8" authorId="0" shapeId="0" xr:uid="{00000000-0006-0000-0A00-000033000000}">
      <text>
        <r>
          <rPr>
            <b/>
            <sz val="8"/>
            <color indexed="81"/>
            <rFont val="Tahoma"/>
            <family val="2"/>
          </rPr>
          <t>Jakob møder senere skal til køreprøve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6" authorId="0" shapeId="0" xr:uid="{00000000-0006-0000-0A00-000034000000}">
      <text>
        <r>
          <rPr>
            <b/>
            <sz val="8"/>
            <color indexed="81"/>
            <rFont val="Tahoma"/>
            <family val="2"/>
          </rPr>
          <t>Barsel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56" authorId="0" shapeId="0" xr:uid="{00000000-0006-0000-0A00-000035000000}">
      <text>
        <r>
          <rPr>
            <b/>
            <sz val="8"/>
            <color indexed="81"/>
            <rFont val="Tahoma"/>
            <family val="2"/>
          </rPr>
          <t>Afspadsering
 14.30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jilars</author>
    <author>mipede</author>
    <author>erskyg</author>
  </authors>
  <commentList>
    <comment ref="AA15" authorId="0" shapeId="0" xr:uid="{00000000-0006-0000-0B00-000001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0" authorId="0" shapeId="0" xr:uid="{00000000-0006-0000-0B00-000002000000}">
      <text>
        <r>
          <rPr>
            <b/>
            <sz val="8"/>
            <color indexed="81"/>
            <rFont val="Tahoma"/>
            <family val="2"/>
          </rPr>
          <t>Politiets Nytårsparade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0" authorId="0" shapeId="0" xr:uid="{00000000-0006-0000-0B00-000003000000}">
      <text>
        <r>
          <rPr>
            <b/>
            <sz val="10"/>
            <color indexed="81"/>
            <rFont val="Tahoma"/>
            <family val="2"/>
          </rPr>
          <t>Kun dagvagt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20" authorId="0" shapeId="0" xr:uid="{00000000-0006-0000-0B00-000004000000}">
      <text>
        <r>
          <rPr>
            <b/>
            <sz val="10"/>
            <color indexed="81"/>
            <rFont val="Tahoma"/>
            <family val="2"/>
          </rPr>
          <t>Oplæring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00000000-0006-0000-0B00-000005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1" authorId="0" shapeId="0" xr:uid="{00000000-0006-0000-0B00-000006000000}">
      <text>
        <r>
          <rPr>
            <b/>
            <sz val="8"/>
            <color indexed="81"/>
            <rFont val="Tahoma"/>
            <family val="2"/>
          </rPr>
          <t>Regninger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21" authorId="0" shapeId="0" xr:uid="{00000000-0006-0000-0B00-000007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21" authorId="0" shapeId="0" xr:uid="{00000000-0006-0000-0B00-000008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AG21" authorId="0" shapeId="0" xr:uid="{00000000-0006-0000-0B00-000009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Y37" authorId="1" shapeId="0" xr:uid="{00000000-0006-0000-0B00-00000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0900-1500</t>
        </r>
      </text>
    </comment>
    <comment ref="Z37" authorId="1" shapeId="0" xr:uid="{00000000-0006-0000-0B00-00000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0900-1500</t>
        </r>
      </text>
    </comment>
    <comment ref="AA37" authorId="1" shapeId="0" xr:uid="{00000000-0006-0000-0B00-00000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0900-1500</t>
        </r>
      </text>
    </comment>
    <comment ref="AB37" authorId="1" shapeId="0" xr:uid="{00000000-0006-0000-0B00-00000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0900-1500</t>
        </r>
      </text>
    </comment>
    <comment ref="AC37" authorId="1" shapeId="0" xr:uid="{00000000-0006-0000-0B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
0900-1500</t>
        </r>
      </text>
    </comment>
    <comment ref="AF37" authorId="1" shapeId="0" xr:uid="{00000000-0006-0000-0B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0815-1540</t>
        </r>
      </text>
    </comment>
    <comment ref="AA38" authorId="0" shapeId="0" xr:uid="{00000000-0006-0000-0B00-000010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0" authorId="0" shapeId="0" xr:uid="{00000000-0006-0000-0B00-000011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10 - 15</t>
        </r>
      </text>
    </comment>
    <comment ref="L40" authorId="0" shapeId="0" xr:uid="{00000000-0006-0000-0B00-000012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9 - 15</t>
        </r>
      </text>
    </comment>
    <comment ref="M40" authorId="0" shapeId="0" xr:uid="{00000000-0006-0000-0B00-000013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9 - 15</t>
        </r>
      </text>
    </comment>
    <comment ref="S40" authorId="1" shapeId="0" xr:uid="{00000000-0006-0000-0B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Praktik
Borgerservice</t>
        </r>
      </text>
    </comment>
    <comment ref="T40" authorId="1" shapeId="0" xr:uid="{00000000-0006-0000-0B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Praktik
Borgerservice</t>
        </r>
      </text>
    </comment>
    <comment ref="U40" authorId="1" shapeId="0" xr:uid="{00000000-0006-0000-0B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Praktik
Borgerservice</t>
        </r>
      </text>
    </comment>
    <comment ref="V40" authorId="1" shapeId="0" xr:uid="{00000000-0006-0000-0B00-00001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Praktik
Borgerservice</t>
        </r>
      </text>
    </comment>
    <comment ref="AA40" authorId="0" shapeId="0" xr:uid="{00000000-0006-0000-0B00-000018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40" authorId="1" shapeId="0" xr:uid="{00000000-0006-0000-0B00-00001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 efter kursus</t>
        </r>
      </text>
    </comment>
    <comment ref="AG40" authorId="1" shapeId="0" xr:uid="{00000000-0006-0000-0B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</t>
        </r>
      </text>
    </comment>
    <comment ref="R41" authorId="0" shapeId="0" xr:uid="{00000000-0006-0000-0B00-00001B000000}">
      <text>
        <r>
          <rPr>
            <b/>
            <sz val="8"/>
            <color indexed="81"/>
            <rFont val="Tahoma"/>
            <family val="2"/>
          </rPr>
          <t>Projekt Skolesuprt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6" authorId="1" shapeId="0" xr:uid="{00000000-0006-0000-0B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
0900-1500</t>
        </r>
      </text>
    </comment>
    <comment ref="E46" authorId="0" shapeId="0" xr:uid="{00000000-0006-0000-0B00-00001D000000}">
      <text>
        <r>
          <rPr>
            <b/>
            <sz val="8"/>
            <color indexed="81"/>
            <rFont val="Tahoma"/>
            <family val="2"/>
          </rPr>
          <t>Gl.Køgelandevej 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46" authorId="1" shapeId="0" xr:uid="{00000000-0006-0000-0B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Gl.Køgelandevej
0900-1500</t>
        </r>
      </text>
    </comment>
    <comment ref="Y46" authorId="0" shapeId="0" xr:uid="{00000000-0006-0000-0B00-00001F000000}">
      <text>
        <r>
          <rPr>
            <b/>
            <sz val="8"/>
            <color indexed="81"/>
            <rFont val="Tahoma"/>
            <family val="2"/>
          </rPr>
          <t>Matthæusgade 1
kl. 14..00 for Allan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46" authorId="0" shapeId="0" xr:uid="{00000000-0006-0000-0B00-000020000000}">
      <text>
        <r>
          <rPr>
            <b/>
            <sz val="8"/>
            <color indexed="81"/>
            <rFont val="Tahoma"/>
            <family val="2"/>
          </rPr>
          <t xml:space="preserve">Ørnevej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49" authorId="0" shapeId="0" xr:uid="{00000000-0006-0000-0B00-000021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51" authorId="0" shapeId="0" xr:uid="{00000000-0006-0000-0B00-000022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71" authorId="0" shapeId="0" xr:uid="{00000000-0006-0000-0B00-000023000000}">
      <text>
        <r>
          <rPr>
            <b/>
            <sz val="8"/>
            <color indexed="81"/>
            <rFont val="Tahoma"/>
            <family val="2"/>
          </rPr>
          <t>Parkeringsbasen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71" authorId="0" shapeId="0" xr:uid="{00000000-0006-0000-0B00-000024000000}">
      <text>
        <r>
          <rPr>
            <b/>
            <sz val="8"/>
            <color indexed="81"/>
            <rFont val="Tahoma"/>
            <family val="2"/>
          </rPr>
          <t>Parkeringsbasen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71" authorId="0" shapeId="0" xr:uid="{00000000-0006-0000-0B00-000025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72" authorId="0" shapeId="0" xr:uid="{00000000-0006-0000-0B00-000026000000}">
      <text>
        <r>
          <rPr>
            <b/>
            <sz val="10"/>
            <color indexed="81"/>
            <rFont val="Tahoma"/>
            <family val="2"/>
          </rPr>
          <t>Møder ca. 8.30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72" authorId="0" shapeId="0" xr:uid="{00000000-0006-0000-0B00-000027000000}">
      <text>
        <r>
          <rPr>
            <b/>
            <sz val="8"/>
            <color indexed="81"/>
            <rFont val="Tahoma"/>
            <family val="2"/>
          </rPr>
          <t>Parkeringsbasen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72" authorId="0" shapeId="0" xr:uid="{00000000-0006-0000-0B00-000028000000}">
      <text>
        <r>
          <rPr>
            <b/>
            <sz val="8"/>
            <color indexed="81"/>
            <rFont val="Tahoma"/>
            <family val="2"/>
          </rPr>
          <t>Parkeringsbasen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72" authorId="0" shapeId="0" xr:uid="{00000000-0006-0000-0B00-000029000000}">
      <text>
        <r>
          <rPr>
            <b/>
            <sz val="8"/>
            <color indexed="81"/>
            <rFont val="Tahoma"/>
            <family val="2"/>
          </rPr>
          <t>Møder kl. 10.00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4" authorId="1" shapeId="0" xr:uid="{00000000-0006-0000-0B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0900-1300</t>
        </r>
      </text>
    </comment>
    <comment ref="S84" authorId="1" shapeId="0" xr:uid="{00000000-0006-0000-0B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Praktik borgerservice</t>
        </r>
      </text>
    </comment>
    <comment ref="T84" authorId="1" shapeId="0" xr:uid="{00000000-0006-0000-0B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Praktik borgerservice</t>
        </r>
      </text>
    </comment>
    <comment ref="U84" authorId="1" shapeId="0" xr:uid="{00000000-0006-0000-0B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Praktik borgerservice</t>
        </r>
      </text>
    </comment>
    <comment ref="V84" authorId="1" shapeId="0" xr:uid="{00000000-0006-0000-0B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Praktik borgerservice</t>
        </r>
      </text>
    </comment>
    <comment ref="AA84" authorId="0" shapeId="0" xr:uid="{00000000-0006-0000-0B00-00002F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84" authorId="1" shapeId="0" xr:uid="{00000000-0006-0000-0B00-00003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</t>
        </r>
      </text>
    </comment>
    <comment ref="C85" authorId="1" shapeId="0" xr:uid="{00000000-0006-0000-0B00-00003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</t>
        </r>
      </text>
    </comment>
    <comment ref="D86" authorId="1" shapeId="0" xr:uid="{00000000-0006-0000-0B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0900-1500</t>
        </r>
      </text>
    </comment>
    <comment ref="E86" authorId="1" shapeId="0" xr:uid="{00000000-0006-0000-0B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0900-1500</t>
        </r>
      </text>
    </comment>
    <comment ref="F86" authorId="1" shapeId="0" xr:uid="{00000000-0006-0000-0B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0900-1500</t>
        </r>
      </text>
    </comment>
    <comment ref="G86" authorId="1" shapeId="0" xr:uid="{00000000-0006-0000-0B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1300-1800
13.30 - 14.30 Kjeld</t>
        </r>
      </text>
    </comment>
    <comment ref="H86" authorId="1" shapeId="0" xr:uid="{00000000-0006-0000-0B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
0900-1300</t>
        </r>
      </text>
    </comment>
    <comment ref="AA86" authorId="0" shapeId="0" xr:uid="{00000000-0006-0000-0B00-000037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86" authorId="2" shapeId="0" xr:uid="{00000000-0006-0000-0B00-000038000000}">
      <text>
        <r>
          <rPr>
            <b/>
            <sz val="10"/>
            <color indexed="81"/>
            <rFont val="Tahoma"/>
            <family val="2"/>
          </rPr>
          <t>Ottiliavej 1 kl. 09:30 - 11:30</t>
        </r>
      </text>
    </comment>
    <comment ref="K98" authorId="3" shapeId="0" xr:uid="{00000000-0006-0000-0B00-000039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Møde i Kødbyen
</t>
        </r>
      </text>
    </comment>
    <comment ref="AA98" authorId="0" shapeId="0" xr:uid="{00000000-0006-0000-0B00-00003A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99" authorId="0" shapeId="0" xr:uid="{00000000-0006-0000-0B00-00003B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00" authorId="0" shapeId="0" xr:uid="{00000000-0006-0000-0B00-00003C000000}">
      <text>
        <r>
          <rPr>
            <b/>
            <sz val="8"/>
            <color indexed="81"/>
            <rFont val="Tahoma"/>
            <family val="2"/>
          </rPr>
          <t>Møde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100" authorId="0" shapeId="0" xr:uid="{00000000-0006-0000-0B00-00003D000000}">
      <text>
        <r>
          <rPr>
            <b/>
            <sz val="8"/>
            <color indexed="81"/>
            <rFont val="Tahoma"/>
            <family val="2"/>
          </rPr>
          <t>Møde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10" authorId="0" shapeId="0" xr:uid="{00000000-0006-0000-0B00-00003E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11" authorId="0" shapeId="0" xr:uid="{00000000-0006-0000-0B00-00003F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22" authorId="0" shapeId="0" xr:uid="{00000000-0006-0000-0B00-000040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4" authorId="0" shapeId="0" xr:uid="{00000000-0006-0000-0B00-000041000000}">
      <text>
        <r>
          <rPr>
            <b/>
            <sz val="8"/>
            <color indexed="81"/>
            <rFont val="Tahoma"/>
            <family val="2"/>
          </rPr>
          <t>Til Generalforsamling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25" authorId="1" shapeId="0" xr:uid="{00000000-0006-0000-0B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Gl.Køgelandevej
0900-1500</t>
        </r>
      </text>
    </comment>
    <comment ref="AA126" authorId="0" shapeId="0" xr:uid="{00000000-0006-0000-0B00-000043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27" authorId="1" shapeId="0" xr:uid="{00000000-0006-0000-0B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1400-1530</t>
        </r>
      </text>
    </comment>
    <comment ref="E128" authorId="1" shapeId="0" xr:uid="{00000000-0006-0000-0B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</t>
        </r>
      </text>
    </comment>
    <comment ref="F128" authorId="1" shapeId="0" xr:uid="{00000000-0006-0000-0B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</t>
        </r>
      </text>
    </comment>
    <comment ref="G128" authorId="1" shapeId="0" xr:uid="{00000000-0006-0000-0B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</t>
        </r>
      </text>
    </comment>
    <comment ref="H128" authorId="1" shapeId="0" xr:uid="{00000000-0006-0000-0B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</t>
        </r>
      </text>
    </comment>
    <comment ref="I128" authorId="1" shapeId="0" xr:uid="{00000000-0006-0000-0B00-00004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oplysningen</t>
        </r>
      </text>
    </comment>
    <comment ref="K128" authorId="0" shapeId="0" xr:uid="{00000000-0006-0000-0B00-00004A000000}">
      <text>
        <r>
          <rPr>
            <b/>
            <sz val="10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28" authorId="0" shapeId="0" xr:uid="{00000000-0006-0000-0B00-00004B000000}">
      <text>
        <r>
          <rPr>
            <b/>
            <sz val="10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28" authorId="0" shapeId="0" xr:uid="{00000000-0006-0000-0B00-00004C000000}">
      <text>
        <r>
          <rPr>
            <b/>
            <sz val="10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28" authorId="0" shapeId="0" xr:uid="{00000000-0006-0000-0B00-00004D000000}">
      <text>
        <r>
          <rPr>
            <b/>
            <sz val="10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28" authorId="4" shapeId="0" xr:uid="{00000000-0006-0000-0B00-00004E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Kun dagvagt
</t>
        </r>
      </text>
    </comment>
    <comment ref="AA128" authorId="0" shapeId="0" xr:uid="{00000000-0006-0000-0B00-00004F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8" authorId="0" shapeId="0" xr:uid="{00000000-0006-0000-0B00-000050000000}">
      <text>
        <r>
          <rPr>
            <b/>
            <sz val="8"/>
            <color indexed="81"/>
            <rFont val="Tahoma"/>
            <family val="2"/>
          </rPr>
          <t>Møder kl. 23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129" authorId="0" shapeId="0" xr:uid="{00000000-0006-0000-0B00-000051000000}">
      <text>
        <r>
          <rPr>
            <b/>
            <sz val="8"/>
            <color indexed="81"/>
            <rFont val="Tahoma"/>
            <family val="2"/>
          </rPr>
          <t>Oplysningen
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29" authorId="0" shapeId="0" xr:uid="{00000000-0006-0000-0B00-000052000000}">
      <text>
        <r>
          <rPr>
            <b/>
            <sz val="8"/>
            <color indexed="81"/>
            <rFont val="Tahoma"/>
            <family val="2"/>
          </rPr>
          <t>Oplysningen
08.30 - 16.15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9" authorId="0" shapeId="0" xr:uid="{00000000-0006-0000-0B00-000053000000}">
      <text>
        <r>
          <rPr>
            <b/>
            <sz val="8"/>
            <color indexed="81"/>
            <rFont val="Tahoma"/>
            <family val="2"/>
          </rPr>
          <t>Oplysningen
09.30 - 17.30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129" authorId="0" shapeId="0" xr:uid="{00000000-0006-0000-0B00-000054000000}">
      <text>
        <r>
          <rPr>
            <b/>
            <sz val="8"/>
            <color indexed="81"/>
            <rFont val="Tahoma"/>
            <family val="2"/>
          </rPr>
          <t>Oplysningen
09.00 - 16.00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53" authorId="0" shapeId="0" xr:uid="{00000000-0006-0000-0B00-000055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54" authorId="0" shapeId="0" xr:uid="{00000000-0006-0000-0B00-000056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158" authorId="0" shapeId="0" xr:uid="{00000000-0006-0000-0B00-000057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214" authorId="0" shapeId="0" xr:uid="{00000000-0006-0000-0B00-000058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mipede</author>
  </authors>
  <commentList>
    <comment ref="C13" authorId="0" shapeId="0" xr:uid="{00000000-0006-0000-0C00-000001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6" authorId="0" shapeId="0" xr:uid="{00000000-0006-0000-0C00-000002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00000000-0006-0000-0C00-000003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7" authorId="0" shapeId="0" xr:uid="{00000000-0006-0000-0C00-000004000000}">
      <text>
        <r>
          <rPr>
            <b/>
            <sz val="8"/>
            <color indexed="81"/>
            <rFont val="Tahoma"/>
            <family val="2"/>
          </rPr>
          <t>Møder kl. 18.00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7" authorId="0" shapeId="0" xr:uid="{00000000-0006-0000-0C00-000005000000}">
      <text>
        <r>
          <rPr>
            <b/>
            <sz val="8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7" authorId="0" shapeId="0" xr:uid="{00000000-0006-0000-0C00-000006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8" authorId="0" shapeId="0" xr:uid="{00000000-0006-0000-0C00-000007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0" authorId="0" shapeId="0" xr:uid="{00000000-0006-0000-0C00-000008000000}">
      <text>
        <r>
          <rPr>
            <b/>
            <sz val="9"/>
            <color indexed="81"/>
            <rFont val="Tahoma"/>
            <family val="2"/>
          </rPr>
          <t>Svendborggade 
9.30 . 18.00</t>
        </r>
      </text>
    </comment>
    <comment ref="J20" authorId="0" shapeId="0" xr:uid="{00000000-0006-0000-0C00-000009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0" authorId="0" shapeId="0" xr:uid="{00000000-0006-0000-0C00-00000A000000}">
      <text>
        <r>
          <rPr>
            <b/>
            <sz val="8"/>
            <color indexed="81"/>
            <rFont val="Tahoma"/>
            <family val="2"/>
          </rPr>
          <t>Ingen aften 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0" authorId="0" shapeId="0" xr:uid="{00000000-0006-0000-0C00-00000B000000}">
      <text>
        <r>
          <rPr>
            <b/>
            <sz val="10"/>
            <color indexed="81"/>
            <rFont val="Tahoma"/>
            <family val="2"/>
          </rPr>
          <t>8 -15</t>
        </r>
      </text>
    </comment>
    <comment ref="Y20" authorId="0" shapeId="0" xr:uid="{00000000-0006-0000-0C00-00000C000000}">
      <text>
        <r>
          <rPr>
            <b/>
            <sz val="9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0" authorId="0" shapeId="0" xr:uid="{00000000-0006-0000-0C00-00000D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1" authorId="0" shapeId="0" xr:uid="{00000000-0006-0000-0C00-00000E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D21" authorId="0" shapeId="0" xr:uid="{00000000-0006-0000-0C00-00000F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E21" authorId="0" shapeId="0" xr:uid="{00000000-0006-0000-0C00-000010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I21" authorId="0" shapeId="0" xr:uid="{00000000-0006-0000-0C00-000011000000}">
      <text>
        <r>
          <rPr>
            <b/>
            <sz val="8"/>
            <color indexed="81"/>
            <rFont val="Tahoma"/>
            <family val="2"/>
          </rPr>
          <t>DUS MED DYTTEN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37" authorId="0" shapeId="0" xr:uid="{00000000-0006-0000-0C00-000012000000}">
      <text>
        <r>
          <rPr>
            <b/>
            <sz val="8"/>
            <color indexed="81"/>
            <rFont val="Tahoma"/>
            <family val="2"/>
          </rPr>
          <t>DUS MED DYTTEN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37" authorId="0" shapeId="0" xr:uid="{00000000-0006-0000-0C00-000013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8" authorId="1" shapeId="0" xr:uid="{00000000-0006-0000-0C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oplæring
Ørnevej sikringgruppen</t>
        </r>
      </text>
    </comment>
    <comment ref="S38" authorId="1" shapeId="0" xr:uid="{00000000-0006-0000-0C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oplæring
Ørnevej sikringgruppen</t>
        </r>
      </text>
    </comment>
    <comment ref="Y38" authorId="0" shapeId="0" xr:uid="{00000000-0006-0000-0C00-000016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38" authorId="0" shapeId="0" xr:uid="{00000000-0006-0000-0C00-000017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39" authorId="0" shapeId="0" xr:uid="{00000000-0006-0000-0C00-000018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39" authorId="0" shapeId="0" xr:uid="{00000000-0006-0000-0C00-000019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0" authorId="1" shapeId="0" xr:uid="{00000000-0006-0000-0C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</t>
        </r>
      </text>
    </comment>
    <comment ref="D40" authorId="1" shapeId="0" xr:uid="{00000000-0006-0000-0C00-00001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</t>
        </r>
      </text>
    </comment>
    <comment ref="E40" authorId="1" shapeId="0" xr:uid="{00000000-0006-0000-0C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MODEUGE</t>
        </r>
      </text>
    </comment>
    <comment ref="I40" authorId="1" shapeId="0" xr:uid="{00000000-0006-0000-0C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0830-1530</t>
        </r>
      </text>
    </comment>
    <comment ref="J40" authorId="1" shapeId="0" xr:uid="{00000000-0006-0000-0C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0830-1530</t>
        </r>
      </text>
    </comment>
    <comment ref="W40" authorId="2" shapeId="0" xr:uid="{00000000-0006-0000-0C00-00001F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praktik
BFCK-Brønshøjvej</t>
        </r>
      </text>
    </comment>
    <comment ref="X40" authorId="2" shapeId="0" xr:uid="{00000000-0006-0000-0C00-000020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praktik
BFCK-Brønshøjvej</t>
        </r>
      </text>
    </comment>
    <comment ref="Y40" authorId="2" shapeId="0" xr:uid="{00000000-0006-0000-0C00-000021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praktik
BFCK-Brønshøjvej</t>
        </r>
      </text>
    </comment>
    <comment ref="Z40" authorId="2" shapeId="0" xr:uid="{00000000-0006-0000-0C00-000022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praktik
BFCK-Brønshøjvej</t>
        </r>
      </text>
    </comment>
    <comment ref="C41" authorId="0" shapeId="0" xr:uid="{00000000-0006-0000-0C00-000023000000}">
      <text>
        <r>
          <rPr>
            <b/>
            <sz val="8"/>
            <color indexed="81"/>
            <rFont val="Tahoma"/>
            <family val="2"/>
          </rPr>
          <t>Møder kl. 14.30 - 22.30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1" authorId="0" shapeId="0" xr:uid="{00000000-0006-0000-0C00-000024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2" authorId="0" shapeId="0" xr:uid="{00000000-0006-0000-0C00-000025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2" authorId="1" shapeId="0" xr:uid="{00000000-0006-0000-0C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13-18</t>
        </r>
      </text>
    </comment>
    <comment ref="H42" authorId="1" shapeId="0" xr:uid="{00000000-0006-0000-0C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9-15</t>
        </r>
      </text>
    </comment>
    <comment ref="I42" authorId="0" shapeId="0" xr:uid="{00000000-0006-0000-0C00-000028000000}">
      <text>
        <r>
          <rPr>
            <b/>
            <sz val="8"/>
            <color indexed="81"/>
            <rFont val="Tahoma"/>
            <family val="2"/>
          </rPr>
          <t>DUS MED DYTTEN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2" authorId="1" shapeId="0" xr:uid="{00000000-0006-0000-0C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9-15</t>
        </r>
      </text>
    </comment>
    <comment ref="K42" authorId="1" shapeId="0" xr:uid="{00000000-0006-0000-0C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13-18</t>
        </r>
      </text>
    </comment>
    <comment ref="L42" authorId="1" shapeId="0" xr:uid="{00000000-0006-0000-0C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9-13</t>
        </r>
      </text>
    </comment>
    <comment ref="X42" authorId="0" shapeId="0" xr:uid="{00000000-0006-0000-0C00-00002C000000}">
      <text>
        <r>
          <rPr>
            <b/>
            <sz val="8"/>
            <color indexed="81"/>
            <rFont val="Tahoma"/>
            <family val="2"/>
          </rPr>
          <t>Matthæusgade 1
 14.30 - 16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C00-00002D000000}">
      <text>
        <r>
          <rPr>
            <b/>
            <sz val="9"/>
            <color indexed="81"/>
            <rFont val="Tahoma"/>
            <family val="2"/>
          </rPr>
          <t>Ørnevej 55
08.15 - 14.15</t>
        </r>
      </text>
    </comment>
    <comment ref="D43" authorId="0" shapeId="0" xr:uid="{00000000-0006-0000-0C00-00002E000000}">
      <text>
        <r>
          <rPr>
            <b/>
            <sz val="9"/>
            <color indexed="81"/>
            <rFont val="Tahoma"/>
            <family val="2"/>
          </rPr>
          <t>Ørnevej 55
08.15 - 14.15</t>
        </r>
      </text>
    </comment>
    <comment ref="J43" authorId="0" shapeId="0" xr:uid="{00000000-0006-0000-0C00-00002F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4" authorId="0" shapeId="0" xr:uid="{00000000-0006-0000-0C00-000030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5" authorId="0" shapeId="0" xr:uid="{00000000-0006-0000-0C00-000031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6" authorId="0" shapeId="0" xr:uid="{00000000-0006-0000-0C00-000032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6" authorId="0" shapeId="0" xr:uid="{00000000-0006-0000-0C00-000033000000}">
      <text>
        <r>
          <rPr>
            <b/>
            <sz val="8"/>
            <color indexed="81"/>
            <rFont val="Tahoma"/>
            <family val="2"/>
          </rPr>
          <t>K2 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6" authorId="1" shapeId="0" xr:uid="{00000000-0006-0000-0C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
sikrings enheden</t>
        </r>
      </text>
    </comment>
    <comment ref="I46" authorId="1" shapeId="0" xr:uid="{00000000-0006-0000-0C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
sikrings enheden</t>
        </r>
      </text>
    </comment>
    <comment ref="J46" authorId="1" shapeId="0" xr:uid="{00000000-0006-0000-0C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
sikrings enheden</t>
        </r>
      </text>
    </comment>
    <comment ref="K46" authorId="1" shapeId="0" xr:uid="{00000000-0006-0000-0C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
sikrings enheden</t>
        </r>
      </text>
    </comment>
    <comment ref="L46" authorId="1" shapeId="0" xr:uid="{00000000-0006-0000-0C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
sikrings enheden</t>
        </r>
      </text>
    </comment>
    <comment ref="Y46" authorId="0" shapeId="0" xr:uid="{00000000-0006-0000-0C00-000039000000}">
      <text>
        <r>
          <rPr>
            <b/>
            <sz val="8"/>
            <color indexed="81"/>
            <rFont val="Tahoma"/>
            <family val="2"/>
          </rPr>
          <t>Svanevej 12
08.30- ?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46" authorId="0" shapeId="0" xr:uid="{00000000-0006-0000-0C00-00003A000000}">
      <text>
        <r>
          <rPr>
            <b/>
            <sz val="10"/>
            <color indexed="81"/>
            <rFont val="Tahoma"/>
            <family val="2"/>
          </rPr>
          <t>Svendborggade 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46" authorId="0" shapeId="0" xr:uid="{00000000-0006-0000-0C00-00003B000000}">
      <text>
        <r>
          <rPr>
            <b/>
            <sz val="10"/>
            <color indexed="81"/>
            <rFont val="Tahoma"/>
            <family val="2"/>
          </rPr>
          <t>Svendborggade 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46" authorId="0" shapeId="0" xr:uid="{00000000-0006-0000-0C00-00003C000000}">
      <text>
        <r>
          <rPr>
            <b/>
            <sz val="10"/>
            <color indexed="81"/>
            <rFont val="Tahoma"/>
            <family val="2"/>
          </rPr>
          <t>Svendborggade 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7" authorId="0" shapeId="0" xr:uid="{00000000-0006-0000-0C00-00003D000000}">
      <text>
        <r>
          <rPr>
            <b/>
            <sz val="10"/>
            <color indexed="81"/>
            <rFont val="Tahoma"/>
            <family val="2"/>
          </rPr>
          <t>Griffenfeldtsgade 44</t>
        </r>
        <r>
          <rPr>
            <b/>
            <sz val="8"/>
            <color indexed="81"/>
            <rFont val="Tahoma"/>
            <family val="2"/>
          </rPr>
          <t xml:space="preserve">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7" authorId="0" shapeId="0" xr:uid="{00000000-0006-0000-0C00-00003E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47" authorId="0" shapeId="0" xr:uid="{00000000-0006-0000-0C00-00003F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47" authorId="0" shapeId="0" xr:uid="{00000000-0006-0000-0C00-000040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8" authorId="0" shapeId="0" xr:uid="{00000000-0006-0000-0C00-000041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9" authorId="0" shapeId="0" xr:uid="{00000000-0006-0000-0C00-000042000000}">
      <text>
        <r>
          <rPr>
            <b/>
            <sz val="9"/>
            <color indexed="81"/>
            <rFont val="Tahoma"/>
            <family val="2"/>
          </rPr>
          <t>Ørnevej 55
08.15 - 14.15</t>
        </r>
      </text>
    </comment>
    <comment ref="X49" authorId="0" shapeId="0" xr:uid="{00000000-0006-0000-0C00-000043000000}">
      <text>
        <r>
          <rPr>
            <b/>
            <sz val="8"/>
            <color indexed="81"/>
            <rFont val="Tahoma"/>
            <family val="2"/>
          </rPr>
          <t>2300 - 0715 for WOJ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0" authorId="0" shapeId="0" xr:uid="{00000000-0006-0000-0C00-000044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50" authorId="0" shapeId="0" xr:uid="{00000000-0006-0000-0C00-000045000000}">
      <text>
        <r>
          <rPr>
            <sz val="10"/>
            <color indexed="81"/>
            <rFont val="Tahoma"/>
            <family val="2"/>
          </rPr>
          <t>Remisevej
13 - 16</t>
        </r>
      </text>
    </comment>
    <comment ref="I51" authorId="0" shapeId="0" xr:uid="{00000000-0006-0000-0C00-000046000000}">
      <text>
        <r>
          <rPr>
            <b/>
            <sz val="8"/>
            <color indexed="81"/>
            <rFont val="Tahoma"/>
            <family val="2"/>
          </rPr>
          <t>DUS MED DYTTEN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71" authorId="0" shapeId="0" xr:uid="{00000000-0006-0000-0C00-000047000000}">
      <text>
        <r>
          <rPr>
            <b/>
            <sz val="10"/>
            <color indexed="81"/>
            <rFont val="Tahoma"/>
            <family val="2"/>
          </rPr>
          <t>Anders møder
 06.30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72" authorId="0" shapeId="0" xr:uid="{00000000-0006-0000-0C00-000048000000}">
      <text>
        <r>
          <rPr>
            <b/>
            <sz val="10"/>
            <color indexed="81"/>
            <rFont val="Tahoma"/>
            <family val="2"/>
          </rPr>
          <t>Rådhusmuseum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72" authorId="0" shapeId="0" xr:uid="{00000000-0006-0000-0C00-000049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72" authorId="0" shapeId="0" xr:uid="{00000000-0006-0000-0C00-00004A000000}">
      <text>
        <r>
          <rPr>
            <b/>
            <sz val="10"/>
            <color indexed="81"/>
            <rFont val="Tahoma"/>
            <family val="2"/>
          </rPr>
          <t>Projekt rundvisning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72" authorId="0" shapeId="0" xr:uid="{00000000-0006-0000-0C00-00004B000000}">
      <text>
        <r>
          <rPr>
            <b/>
            <sz val="10"/>
            <color indexed="81"/>
            <rFont val="Tahoma"/>
            <family val="2"/>
          </rPr>
          <t>Projekt rundvisning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72" authorId="0" shapeId="0" xr:uid="{00000000-0006-0000-0C00-00004C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72" authorId="0" shapeId="0" xr:uid="{00000000-0006-0000-0C00-00004D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4" authorId="1" shapeId="0" xr:uid="{00000000-0006-0000-0C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</t>
        </r>
      </text>
    </comment>
    <comment ref="D84" authorId="1" shapeId="0" xr:uid="{00000000-0006-0000-0C00-00004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recp.</t>
        </r>
      </text>
    </comment>
    <comment ref="E84" authorId="1" shapeId="0" xr:uid="{00000000-0006-0000-0C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</t>
        </r>
      </text>
    </comment>
    <comment ref="I84" authorId="1" shapeId="0" xr:uid="{00000000-0006-0000-0C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Brønshøjvej
9-15</t>
        </r>
      </text>
    </comment>
    <comment ref="J84" authorId="0" shapeId="0" xr:uid="{00000000-0006-0000-0C00-000052000000}">
      <text>
        <r>
          <rPr>
            <sz val="8"/>
            <color indexed="81"/>
            <rFont val="Tahoma"/>
            <family val="2"/>
          </rPr>
          <t xml:space="preserve">Gl.Køgevej 4
</t>
        </r>
      </text>
    </comment>
    <comment ref="L84" authorId="0" shapeId="0" xr:uid="{00000000-0006-0000-0C00-000053000000}">
      <text>
        <r>
          <rPr>
            <b/>
            <sz val="10"/>
            <color indexed="81"/>
            <rFont val="Tahoma"/>
            <family val="2"/>
          </rPr>
          <t>Matthæusgade 1
 9 - 13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W84" authorId="1" shapeId="0" xr:uid="{00000000-0006-0000-0C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 
Brønshøjvej</t>
        </r>
      </text>
    </comment>
    <comment ref="X84" authorId="1" shapeId="0" xr:uid="{00000000-0006-0000-0C00-00005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 
Brønshøjvej</t>
        </r>
      </text>
    </comment>
    <comment ref="Y84" authorId="1" shapeId="0" xr:uid="{00000000-0006-0000-0C00-00005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 
Brønshøjvej</t>
        </r>
      </text>
    </comment>
    <comment ref="Z84" authorId="1" shapeId="0" xr:uid="{00000000-0006-0000-0C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praktik 
Brønshøjvej</t>
        </r>
      </text>
    </comment>
    <comment ref="H86" authorId="0" shapeId="0" xr:uid="{00000000-0006-0000-0C00-000058000000}">
      <text>
        <r>
          <rPr>
            <b/>
            <sz val="8"/>
            <color indexed="81"/>
            <rFont val="Tahoma"/>
            <family val="2"/>
          </rPr>
          <t>Matthæusgade 1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6" authorId="0" shapeId="0" xr:uid="{00000000-0006-0000-0C00-000059000000}">
      <text>
        <r>
          <rPr>
            <b/>
            <sz val="8"/>
            <color indexed="81"/>
            <rFont val="Tahoma"/>
            <family val="2"/>
          </rPr>
          <t>DUS MED DYTTEN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7" authorId="0" shapeId="0" xr:uid="{00000000-0006-0000-0C00-00005A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0" authorId="0" shapeId="0" xr:uid="{00000000-0006-0000-0C00-00005B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00" authorId="0" shapeId="0" xr:uid="{00000000-0006-0000-0C00-00005C000000}">
      <text>
        <r>
          <rPr>
            <b/>
            <sz val="8"/>
            <color indexed="81"/>
            <rFont val="Tahoma"/>
            <family val="2"/>
          </rPr>
          <t>Møde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00" authorId="0" shapeId="0" xr:uid="{00000000-0006-0000-0C00-00005D000000}">
      <text>
        <r>
          <rPr>
            <b/>
            <sz val="8"/>
            <color indexed="81"/>
            <rFont val="Tahoma"/>
            <family val="2"/>
          </rPr>
          <t>Møde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10" authorId="0" shapeId="0" xr:uid="{00000000-0006-0000-0C00-00005E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10" authorId="0" shapeId="0" xr:uid="{00000000-0006-0000-0C00-00005F000000}">
      <text>
        <r>
          <rPr>
            <b/>
            <sz val="8"/>
            <color indexed="81"/>
            <rFont val="Tahoma"/>
            <family val="2"/>
          </rPr>
          <t xml:space="preserve">Kursus 14 - 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11" authorId="0" shapeId="0" xr:uid="{00000000-0006-0000-0C00-000060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11" authorId="0" shapeId="0" xr:uid="{00000000-0006-0000-0C00-000061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12" authorId="0" shapeId="0" xr:uid="{00000000-0006-0000-0C00-000062000000}">
      <text>
        <r>
          <rPr>
            <b/>
            <sz val="8"/>
            <color indexed="81"/>
            <rFont val="Tahoma"/>
            <family val="2"/>
          </rPr>
          <t>DUS MED DYTTEN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12" authorId="0" shapeId="0" xr:uid="{00000000-0006-0000-0C00-000063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12" authorId="0" shapeId="0" xr:uid="{00000000-0006-0000-0C00-000064000000}">
      <text>
        <r>
          <rPr>
            <b/>
            <sz val="10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12" authorId="0" shapeId="0" xr:uid="{00000000-0006-0000-0C00-000065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3" authorId="0" shapeId="0" xr:uid="{00000000-0006-0000-0C00-000066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13" authorId="0" shapeId="0" xr:uid="{00000000-0006-0000-0C00-000067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13" authorId="0" shapeId="0" xr:uid="{00000000-0006-0000-0C00-000068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2" authorId="0" shapeId="0" xr:uid="{00000000-0006-0000-0C00-000069000000}">
      <text>
        <r>
          <rPr>
            <b/>
            <sz val="8"/>
            <color indexed="81"/>
            <rFont val="Tahoma"/>
            <family val="2"/>
          </rPr>
          <t>Møde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22" authorId="0" shapeId="0" xr:uid="{00000000-0006-0000-0C00-00006A000000}">
      <text>
        <r>
          <rPr>
            <b/>
            <sz val="8"/>
            <color indexed="81"/>
            <rFont val="Tahoma"/>
            <family val="2"/>
          </rPr>
          <t>DUS MED DYTTEN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22" authorId="0" shapeId="0" xr:uid="{00000000-0006-0000-0C00-00006B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22" authorId="0" shapeId="0" xr:uid="{00000000-0006-0000-0C00-00006C000000}">
      <text>
        <r>
          <rPr>
            <b/>
            <sz val="8"/>
            <color indexed="81"/>
            <rFont val="Tahoma"/>
            <family val="2"/>
          </rPr>
          <t>Rundvisning
Christiansborg
Mødes 14.30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2" authorId="0" shapeId="0" xr:uid="{00000000-0006-0000-0C00-00006D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22" authorId="0" shapeId="0" xr:uid="{00000000-0006-0000-0C00-00006E000000}">
      <text>
        <r>
          <rPr>
            <b/>
            <sz val="8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23" authorId="0" shapeId="0" xr:uid="{00000000-0006-0000-0C00-00006F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24" authorId="0" shapeId="0" xr:uid="{00000000-0006-0000-0C00-000070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24" authorId="0" shapeId="0" xr:uid="{00000000-0006-0000-0C00-000071000000}">
      <text>
        <r>
          <rPr>
            <b/>
            <sz val="10"/>
            <color indexed="81"/>
            <rFont val="Tahoma"/>
            <family val="2"/>
          </rPr>
          <t>D</t>
        </r>
        <r>
          <rPr>
            <b/>
            <sz val="9"/>
            <color indexed="81"/>
            <rFont val="Tahoma"/>
            <family val="2"/>
          </rPr>
          <t>US MED DYTTEN</t>
        </r>
        <r>
          <rPr>
            <b/>
            <sz val="10"/>
            <color indexed="81"/>
            <rFont val="Tahoma"/>
            <family val="2"/>
          </rPr>
          <t xml:space="preserve">
07.45 . 12.00
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24" authorId="0" shapeId="0" xr:uid="{00000000-0006-0000-0C00-000072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24" authorId="0" shapeId="0" xr:uid="{00000000-0006-0000-0C00-000073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24" authorId="0" shapeId="0" xr:uid="{00000000-0006-0000-0C00-000074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4" authorId="0" shapeId="0" xr:uid="{00000000-0006-0000-0C00-000075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24" authorId="0" shapeId="0" xr:uid="{00000000-0006-0000-0C00-000076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4" authorId="0" shapeId="0" xr:uid="{00000000-0006-0000-0C00-000077000000}">
      <text>
        <r>
          <rPr>
            <b/>
            <sz val="10"/>
            <color indexed="81"/>
            <rFont val="Tahoma"/>
            <family val="2"/>
          </rPr>
          <t>Matthæusgade 1</t>
        </r>
        <r>
          <rPr>
            <sz val="10"/>
            <color indexed="81"/>
            <rFont val="Tahoma"/>
            <family val="2"/>
          </rPr>
          <t xml:space="preserve">
 9 - 15</t>
        </r>
      </text>
    </comment>
    <comment ref="Y124" authorId="0" shapeId="0" xr:uid="{00000000-0006-0000-0C00-000078000000}">
      <text>
        <r>
          <rPr>
            <b/>
            <sz val="8"/>
            <color indexed="81"/>
            <rFont val="Tahoma"/>
            <family val="2"/>
          </rPr>
          <t>Jimmy skal køre Martins tur kl. 14.15
Vi sørger for en afløser til hovedporten</t>
        </r>
      </text>
    </comment>
    <comment ref="AC124" authorId="0" shapeId="0" xr:uid="{00000000-0006-0000-0C00-000079000000}">
      <text>
        <r>
          <rPr>
            <b/>
            <sz val="10"/>
            <color indexed="81"/>
            <rFont val="Tahoma"/>
            <family val="2"/>
          </rPr>
          <t>Matthæusgade</t>
        </r>
        <r>
          <rPr>
            <sz val="10"/>
            <color indexed="81"/>
            <rFont val="Tahoma"/>
            <family val="2"/>
          </rPr>
          <t xml:space="preserve">
9 - 15</t>
        </r>
      </text>
    </comment>
    <comment ref="AD124" authorId="0" shapeId="0" xr:uid="{00000000-0006-0000-0C00-00007A000000}">
      <text>
        <r>
          <rPr>
            <b/>
            <sz val="10"/>
            <color indexed="81"/>
            <rFont val="Tahoma"/>
            <family val="2"/>
          </rPr>
          <t>Matthæusgade</t>
        </r>
        <r>
          <rPr>
            <sz val="10"/>
            <color indexed="81"/>
            <rFont val="Tahoma"/>
            <family val="2"/>
          </rPr>
          <t xml:space="preserve">
9 - 15</t>
        </r>
      </text>
    </comment>
    <comment ref="AE124" authorId="0" shapeId="0" xr:uid="{00000000-0006-0000-0C00-00007B000000}">
      <text>
        <r>
          <rPr>
            <b/>
            <sz val="10"/>
            <color indexed="81"/>
            <rFont val="Tahoma"/>
            <family val="2"/>
          </rPr>
          <t>Matthæusgade</t>
        </r>
        <r>
          <rPr>
            <sz val="10"/>
            <color indexed="81"/>
            <rFont val="Tahoma"/>
            <family val="2"/>
          </rPr>
          <t xml:space="preserve">
9 - 15</t>
        </r>
      </text>
    </comment>
    <comment ref="I125" authorId="0" shapeId="0" xr:uid="{00000000-0006-0000-0C00-00007C000000}">
      <text>
        <r>
          <rPr>
            <b/>
            <sz val="8"/>
            <color indexed="81"/>
            <rFont val="Tahoma"/>
            <family val="2"/>
          </rPr>
          <t>Gl. Køgelandevej 3
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5" authorId="0" shapeId="0" xr:uid="{00000000-0006-0000-0C00-00007D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25" authorId="0" shapeId="0" xr:uid="{00000000-0006-0000-0C00-00007E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25" authorId="0" shapeId="0" xr:uid="{00000000-0006-0000-0C00-00007F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5" authorId="0" shapeId="0" xr:uid="{00000000-0006-0000-0C00-000080000000}">
      <text>
        <r>
          <rPr>
            <b/>
            <sz val="10"/>
            <color indexed="81"/>
            <rFont val="Tahoma"/>
            <family val="2"/>
          </rPr>
          <t>08.30 - 16.00</t>
        </r>
        <r>
          <rPr>
            <sz val="8"/>
            <color indexed="81"/>
            <rFont val="Tahoma"/>
            <family val="2"/>
          </rPr>
          <t xml:space="preserve">
Ottiliavej</t>
        </r>
      </text>
    </comment>
    <comment ref="W125" authorId="0" shapeId="0" xr:uid="{00000000-0006-0000-0C00-000081000000}">
      <text>
        <r>
          <rPr>
            <b/>
            <sz val="10"/>
            <color indexed="81"/>
            <rFont val="Tahoma"/>
            <family val="2"/>
          </rPr>
          <t>08.30 - 16.00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25" authorId="0" shapeId="0" xr:uid="{00000000-0006-0000-0C00-000082000000}">
      <text>
        <r>
          <rPr>
            <b/>
            <sz val="10"/>
            <color indexed="81"/>
            <rFont val="Tahoma"/>
            <family val="2"/>
          </rPr>
          <t>08.30 - 16.00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5" authorId="0" shapeId="0" xr:uid="{00000000-0006-0000-0C00-000083000000}">
      <text>
        <r>
          <rPr>
            <b/>
            <sz val="10"/>
            <color indexed="81"/>
            <rFont val="Tahoma"/>
            <family val="2"/>
          </rPr>
          <t>08.30 - 16.00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5" authorId="0" shapeId="0" xr:uid="{00000000-0006-0000-0C00-000084000000}">
      <text>
        <r>
          <rPr>
            <b/>
            <sz val="10"/>
            <color indexed="81"/>
            <rFont val="Tahoma"/>
            <family val="2"/>
          </rPr>
          <t>08.30 - 16.00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26" authorId="0" shapeId="0" xr:uid="{00000000-0006-0000-0C00-000085000000}">
      <text>
        <r>
          <rPr>
            <b/>
            <sz val="10"/>
            <color indexed="81"/>
            <rFont val="Tahoma"/>
            <family val="2"/>
          </rPr>
          <t>Svanevej 
13 - 18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26" authorId="0" shapeId="0" xr:uid="{00000000-0006-0000-0C00-000086000000}">
      <text>
        <r>
          <rPr>
            <b/>
            <sz val="10"/>
            <color indexed="81"/>
            <rFont val="Tahoma"/>
            <family val="2"/>
          </rPr>
          <t>Svanevej 
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26" authorId="0" shapeId="0" xr:uid="{00000000-0006-0000-0C00-000087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26" authorId="0" shapeId="0" xr:uid="{00000000-0006-0000-0C00-000088000000}">
      <text>
        <r>
          <rPr>
            <b/>
            <sz val="8"/>
            <color indexed="81"/>
            <rFont val="Tahoma"/>
            <family val="2"/>
          </rPr>
          <t>KURSUS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8.00 15.00</t>
        </r>
      </text>
    </comment>
    <comment ref="X126" authorId="0" shapeId="0" xr:uid="{00000000-0006-0000-0C00-000089000000}">
      <text>
        <r>
          <rPr>
            <b/>
            <sz val="9"/>
            <color indexed="81"/>
            <rFont val="Tahoma"/>
            <family val="2"/>
          </rPr>
          <t>Møde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6" authorId="0" shapeId="0" xr:uid="{00000000-0006-0000-0C00-00008A000000}">
      <text>
        <r>
          <rPr>
            <b/>
            <sz val="9"/>
            <color indexed="81"/>
            <rFont val="Tahoma"/>
            <family val="2"/>
          </rPr>
          <t>Møde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27" authorId="0" shapeId="0" xr:uid="{00000000-0006-0000-0C00-00008B000000}">
      <text>
        <r>
          <rPr>
            <b/>
            <sz val="9"/>
            <color indexed="81"/>
            <rFont val="Tahoma"/>
            <family val="2"/>
          </rPr>
          <t>08.45 - 16.30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27" authorId="0" shapeId="0" xr:uid="{00000000-0006-0000-0C00-00008C000000}">
      <text>
        <r>
          <rPr>
            <b/>
            <sz val="9"/>
            <color indexed="81"/>
            <rFont val="Tahoma"/>
            <family val="2"/>
          </rPr>
          <t>08.45 - 16.30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27" authorId="0" shapeId="0" xr:uid="{00000000-0006-0000-0C00-00008D000000}">
      <text>
        <r>
          <rPr>
            <b/>
            <sz val="8"/>
            <color indexed="81"/>
            <rFont val="Tahoma"/>
            <family val="2"/>
          </rPr>
          <t>Møder i posten som 
P1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27" authorId="0" shapeId="0" xr:uid="{00000000-0006-0000-0C00-00008E000000}">
      <text>
        <r>
          <rPr>
            <b/>
            <sz val="8"/>
            <color indexed="81"/>
            <rFont val="Tahoma"/>
            <family val="2"/>
          </rPr>
          <t>Post og Scanning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7" authorId="0" shapeId="0" xr:uid="{00000000-0006-0000-0C00-00008F000000}">
      <text>
        <r>
          <rPr>
            <b/>
            <sz val="8"/>
            <color indexed="81"/>
            <rFont val="Tahoma"/>
            <family val="2"/>
          </rPr>
          <t>Post og Scanning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8" authorId="0" shapeId="0" xr:uid="{00000000-0006-0000-0C00-000090000000}">
      <text>
        <r>
          <rPr>
            <b/>
            <sz val="10"/>
            <color indexed="81"/>
            <rFont val="Tahoma"/>
            <family val="2"/>
          </rPr>
          <t>Kursus 9 - 15
Snapstinget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28" authorId="0" shapeId="0" xr:uid="{00000000-0006-0000-0C00-000091000000}">
      <text>
        <r>
          <rPr>
            <b/>
            <sz val="9"/>
            <color indexed="81"/>
            <rFont val="Tahoma"/>
            <family val="2"/>
          </rPr>
          <t>Ørnevej 55
08.15 - 14.15</t>
        </r>
      </text>
    </comment>
    <comment ref="E128" authorId="0" shapeId="0" xr:uid="{00000000-0006-0000-0C00-000092000000}">
      <text>
        <r>
          <rPr>
            <b/>
            <sz val="9"/>
            <color indexed="81"/>
            <rFont val="Tahoma"/>
            <family val="2"/>
          </rPr>
          <t>Ørnevej 55
08.15 - 13.15</t>
        </r>
      </text>
    </comment>
    <comment ref="C129" authorId="0" shapeId="0" xr:uid="{00000000-0006-0000-0C00-000093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29" authorId="0" shapeId="0" xr:uid="{00000000-0006-0000-0C00-000094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29" authorId="0" shapeId="0" xr:uid="{00000000-0006-0000-0C00-000095000000}">
      <text>
        <r>
          <rPr>
            <b/>
            <sz val="10"/>
            <color indexed="81"/>
            <rFont val="Tahoma"/>
            <family val="2"/>
          </rPr>
          <t>14.30 - 22.00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29" authorId="0" shapeId="0" xr:uid="{00000000-0006-0000-0C00-000096000000}">
      <text>
        <r>
          <rPr>
            <b/>
            <sz val="10"/>
            <color indexed="81"/>
            <rFont val="Tahoma"/>
            <family val="2"/>
          </rPr>
          <t>Kursus 9 - 15
st. 93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9" authorId="0" shapeId="0" xr:uid="{00000000-0006-0000-0C00-000097000000}">
      <text>
        <r>
          <rPr>
            <b/>
            <sz val="8"/>
            <color indexed="81"/>
            <rFont val="Tahoma"/>
            <family val="2"/>
          </rPr>
          <t>Oplysningen
08.00 - 15.300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53" authorId="0" shapeId="0" xr:uid="{00000000-0006-0000-0C00-000098000000}">
      <text>
        <r>
          <rPr>
            <b/>
            <sz val="10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53" authorId="0" shapeId="0" xr:uid="{00000000-0006-0000-0C00-000099000000}">
      <text>
        <r>
          <rPr>
            <b/>
            <sz val="10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7" authorId="0" shapeId="0" xr:uid="{00000000-0006-0000-0C00-00009A000000}">
      <text>
        <r>
          <rPr>
            <b/>
            <sz val="10"/>
            <color indexed="81"/>
            <rFont val="Tahoma"/>
            <family val="2"/>
          </rPr>
          <t>Per møder senere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66" authorId="0" shapeId="0" xr:uid="{00000000-0006-0000-0C00-00009B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66" authorId="0" shapeId="0" xr:uid="{00000000-0006-0000-0C00-00009C000000}">
      <text>
        <r>
          <rPr>
            <b/>
            <sz val="10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84" authorId="0" shapeId="0" xr:uid="{00000000-0006-0000-0C00-00009D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84" authorId="0" shapeId="0" xr:uid="{00000000-0006-0000-0C00-00009E000000}">
      <text>
        <r>
          <rPr>
            <b/>
            <sz val="10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85" authorId="0" shapeId="0" xr:uid="{00000000-0006-0000-0C00-00009F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85" authorId="0" shapeId="0" xr:uid="{00000000-0006-0000-0C00-0000A0000000}">
      <text>
        <r>
          <rPr>
            <b/>
            <sz val="10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86" authorId="0" shapeId="0" xr:uid="{00000000-0006-0000-0C00-0000A1000000}">
      <text>
        <r>
          <rPr>
            <b/>
            <sz val="8"/>
            <color indexed="81"/>
            <rFont val="Tahoma"/>
            <family val="2"/>
          </rPr>
          <t>DUS MED DYTTEN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89" authorId="0" shapeId="0" xr:uid="{00000000-0006-0000-0C00-0000A2000000}">
      <text>
        <r>
          <rPr>
            <b/>
            <sz val="10"/>
            <color indexed="81"/>
            <rFont val="Tahoma"/>
            <family val="2"/>
          </rPr>
          <t>Kursus kl. 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89" authorId="0" shapeId="0" xr:uid="{00000000-0006-0000-0C00-0000A3000000}">
      <text>
        <r>
          <rPr>
            <b/>
            <sz val="10"/>
            <color indexed="81"/>
            <rFont val="Tahoma"/>
            <family val="2"/>
          </rPr>
          <t>Kursus kl. 14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bovolf</author>
  </authors>
  <commentList>
    <comment ref="G20" authorId="0" shapeId="0" xr:uid="{00000000-0006-0000-0D00-000001000000}">
      <text>
        <r>
          <rPr>
            <b/>
            <sz val="8"/>
            <color indexed="81"/>
            <rFont val="Tahoma"/>
            <family val="2"/>
          </rPr>
          <t>Betjentvagt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20" authorId="0" shapeId="0" xr:uid="{00000000-0006-0000-0D00-000002000000}">
      <text>
        <r>
          <rPr>
            <b/>
            <sz val="8"/>
            <color indexed="81"/>
            <rFont val="Tahoma"/>
            <family val="2"/>
          </rPr>
          <t>Ingen vagter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" authorId="0" shapeId="0" xr:uid="{00000000-0006-0000-0D00-000003000000}">
      <text>
        <r>
          <rPr>
            <b/>
            <sz val="8"/>
            <color indexed="81"/>
            <rFont val="Tahoma"/>
            <family val="2"/>
          </rPr>
          <t>Betjentvagt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37" authorId="0" shapeId="0" xr:uid="{00000000-0006-0000-0D00-000004000000}">
      <text>
        <r>
          <rPr>
            <b/>
            <sz val="8"/>
            <color indexed="81"/>
            <rFont val="Tahoma"/>
            <family val="2"/>
          </rPr>
          <t>Ørnrvej 55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8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Møder kl. 08.00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38" authorId="0" shapeId="0" xr:uid="{00000000-0006-0000-0D00-000006000000}">
      <text>
        <r>
          <rPr>
            <b/>
            <sz val="8"/>
            <color indexed="81"/>
            <rFont val="Tahoma"/>
            <family val="2"/>
          </rPr>
          <t>Haydee har en rundvisning kl. 17.30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38" authorId="0" shapeId="0" xr:uid="{00000000-0006-0000-0D00-000007000000}">
      <text>
        <r>
          <rPr>
            <b/>
            <sz val="8"/>
            <color indexed="81"/>
            <rFont val="Tahoma"/>
            <family val="2"/>
          </rPr>
          <t>Ørnrvej 55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38" authorId="0" shapeId="0" xr:uid="{00000000-0006-0000-0D00-000008000000}">
      <text>
        <r>
          <rPr>
            <b/>
            <sz val="8"/>
            <color indexed="81"/>
            <rFont val="Tahoma"/>
            <family val="2"/>
          </rPr>
          <t>Ørnrvej 55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38" authorId="0" shapeId="0" xr:uid="{00000000-0006-0000-0D00-000009000000}">
      <text>
        <r>
          <rPr>
            <b/>
            <sz val="8"/>
            <color indexed="81"/>
            <rFont val="Tahoma"/>
            <family val="2"/>
          </rPr>
          <t>Ørnrvej 55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8" authorId="0" shapeId="0" xr:uid="{00000000-0006-0000-0D00-00000A000000}">
      <text>
        <r>
          <rPr>
            <b/>
            <sz val="8"/>
            <color indexed="81"/>
            <rFont val="Tahoma"/>
            <family val="2"/>
          </rPr>
          <t>Ørnrvej 55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9" authorId="0" shapeId="0" xr:uid="{00000000-0006-0000-0D00-00000B000000}">
      <text>
        <r>
          <rPr>
            <b/>
            <sz val="9"/>
            <color indexed="81"/>
            <rFont val="Tahoma"/>
            <family val="2"/>
          </rPr>
          <t>Møder kl. 08.00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0" authorId="0" shapeId="0" xr:uid="{00000000-0006-0000-0D00-00000C000000}">
      <text>
        <r>
          <rPr>
            <b/>
            <sz val="8"/>
            <color indexed="81"/>
            <rFont val="Tahoma"/>
            <family val="2"/>
          </rPr>
          <t>Griffeldtsgade 44
 11.00 - 15.00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0" authorId="0" shapeId="0" xr:uid="{00000000-0006-0000-0D00-00000D000000}">
      <text>
        <r>
          <rPr>
            <b/>
            <sz val="8"/>
            <color indexed="81"/>
            <rFont val="Tahoma"/>
            <family val="2"/>
          </rPr>
          <t>Svendborggade 5
 9 -15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0" authorId="0" shapeId="0" xr:uid="{00000000-0006-0000-0D00-00000E000000}">
      <text>
        <r>
          <rPr>
            <b/>
            <sz val="8"/>
            <color indexed="81"/>
            <rFont val="Tahoma"/>
            <family val="2"/>
          </rPr>
          <t>Gl. Køgelandevej 4
 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40" authorId="1" shapeId="0" xr:uid="{00000000-0006-0000-0D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
13-18</t>
        </r>
      </text>
    </comment>
    <comment ref="R42" authorId="0" shapeId="0" xr:uid="{00000000-0006-0000-0D00-000010000000}">
      <text>
        <r>
          <rPr>
            <b/>
            <sz val="10"/>
            <color indexed="81"/>
            <rFont val="Tahoma"/>
            <family val="2"/>
          </rPr>
          <t>Remisevej
 9 - 13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E42" authorId="2" shapeId="0" xr:uid="{00000000-0006-0000-0D00-000011000000}">
      <text>
        <r>
          <rPr>
            <sz val="10"/>
            <color indexed="81"/>
            <rFont val="Tahoma"/>
            <family val="2"/>
          </rPr>
          <t>Remisevej fra 
kl.14,00-16,00.
BV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45" authorId="0" shapeId="0" xr:uid="{00000000-0006-0000-0D00-000012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6" authorId="0" shapeId="0" xr:uid="{00000000-0006-0000-0D00-000013000000}">
      <text>
        <r>
          <rPr>
            <b/>
            <sz val="9"/>
            <color indexed="81"/>
            <rFont val="Tahoma"/>
            <family val="2"/>
          </rPr>
          <t>Svendborggade 5
13 - 18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6" authorId="0" shapeId="0" xr:uid="{00000000-0006-0000-0D00-000014000000}">
      <text>
        <r>
          <rPr>
            <b/>
            <sz val="9"/>
            <color indexed="81"/>
            <rFont val="Tahoma"/>
            <family val="2"/>
          </rPr>
          <t>Svendborggade 5
 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46" authorId="1" shapeId="0" xr:uid="{00000000-0006-0000-0D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AC46" authorId="1" shapeId="0" xr:uid="{00000000-0006-0000-0D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9-15</t>
        </r>
      </text>
    </comment>
    <comment ref="G49" authorId="0" shapeId="0" xr:uid="{00000000-0006-0000-0D00-000017000000}">
      <text>
        <r>
          <rPr>
            <b/>
            <sz val="8"/>
            <color indexed="81"/>
            <rFont val="Tahoma"/>
            <family val="2"/>
          </rPr>
          <t>Valdemarsgade</t>
        </r>
        <r>
          <rPr>
            <sz val="8"/>
            <color indexed="81"/>
            <rFont val="Tahoma"/>
            <family val="2"/>
          </rPr>
          <t xml:space="preserve">
9 15</t>
        </r>
      </text>
    </comment>
    <comment ref="H49" authorId="0" shapeId="0" xr:uid="{00000000-0006-0000-0D00-000018000000}">
      <text>
        <r>
          <rPr>
            <b/>
            <sz val="8"/>
            <color indexed="81"/>
            <rFont val="Tahoma"/>
            <family val="2"/>
          </rPr>
          <t>Valdemarsgade</t>
        </r>
        <r>
          <rPr>
            <sz val="8"/>
            <color indexed="81"/>
            <rFont val="Tahoma"/>
            <family val="2"/>
          </rPr>
          <t xml:space="preserve">
9 15</t>
        </r>
      </text>
    </comment>
    <comment ref="I49" authorId="0" shapeId="0" xr:uid="{00000000-0006-0000-0D00-000019000000}">
      <text>
        <r>
          <rPr>
            <b/>
            <sz val="8"/>
            <color indexed="81"/>
            <rFont val="Tahoma"/>
            <family val="2"/>
          </rPr>
          <t>Valdemarsgade</t>
        </r>
        <r>
          <rPr>
            <sz val="8"/>
            <color indexed="81"/>
            <rFont val="Tahoma"/>
            <family val="2"/>
          </rPr>
          <t xml:space="preserve">
9 15</t>
        </r>
      </text>
    </comment>
    <comment ref="J49" authorId="0" shapeId="0" xr:uid="{00000000-0006-0000-0D00-00001A000000}">
      <text>
        <r>
          <rPr>
            <b/>
            <sz val="8"/>
            <color indexed="81"/>
            <rFont val="Tahoma"/>
            <family val="2"/>
          </rPr>
          <t>Valdemarsgade</t>
        </r>
        <r>
          <rPr>
            <sz val="8"/>
            <color indexed="81"/>
            <rFont val="Tahoma"/>
            <family val="2"/>
          </rPr>
          <t xml:space="preserve">
13 - 18</t>
        </r>
      </text>
    </comment>
    <comment ref="K49" authorId="0" shapeId="0" xr:uid="{00000000-0006-0000-0D00-00001B000000}">
      <text>
        <r>
          <rPr>
            <b/>
            <sz val="8"/>
            <color indexed="81"/>
            <rFont val="Tahoma"/>
            <family val="2"/>
          </rPr>
          <t>Valdemarsgade</t>
        </r>
        <r>
          <rPr>
            <sz val="8"/>
            <color indexed="81"/>
            <rFont val="Tahoma"/>
            <family val="2"/>
          </rPr>
          <t xml:space="preserve">
9 13</t>
        </r>
      </text>
    </comment>
    <comment ref="O72" authorId="0" shapeId="0" xr:uid="{00000000-0006-0000-0D00-00001C000000}">
      <text>
        <r>
          <rPr>
            <sz val="8"/>
            <color indexed="81"/>
            <rFont val="Tahoma"/>
            <family val="2"/>
          </rPr>
          <t xml:space="preserve">Projekr rundvisning
</t>
        </r>
      </text>
    </comment>
    <comment ref="P72" authorId="0" shapeId="0" xr:uid="{00000000-0006-0000-0D00-00001D000000}">
      <text>
        <r>
          <rPr>
            <sz val="8"/>
            <color indexed="81"/>
            <rFont val="Tahoma"/>
            <family val="2"/>
          </rPr>
          <t xml:space="preserve">Projekr rundvisning
</t>
        </r>
      </text>
    </comment>
    <comment ref="Q72" authorId="0" shapeId="0" xr:uid="{00000000-0006-0000-0D00-00001E000000}">
      <text>
        <r>
          <rPr>
            <sz val="8"/>
            <color indexed="81"/>
            <rFont val="Tahoma"/>
            <family val="2"/>
          </rPr>
          <t xml:space="preserve">Projekr rundvisning
</t>
        </r>
      </text>
    </comment>
    <comment ref="R72" authorId="0" shapeId="0" xr:uid="{00000000-0006-0000-0D00-00001F000000}">
      <text>
        <r>
          <rPr>
            <sz val="8"/>
            <color indexed="81"/>
            <rFont val="Tahoma"/>
            <family val="2"/>
          </rPr>
          <t xml:space="preserve">Projekr rundvisning
</t>
        </r>
      </text>
    </comment>
    <comment ref="V72" authorId="0" shapeId="0" xr:uid="{00000000-0006-0000-0D00-000020000000}">
      <text>
        <r>
          <rPr>
            <sz val="8"/>
            <color indexed="81"/>
            <rFont val="Tahoma"/>
            <family val="2"/>
          </rPr>
          <t xml:space="preserve">Projekr rundvisning
</t>
        </r>
      </text>
    </comment>
    <comment ref="W72" authorId="0" shapeId="0" xr:uid="{00000000-0006-0000-0D00-000021000000}">
      <text>
        <r>
          <rPr>
            <sz val="8"/>
            <color indexed="81"/>
            <rFont val="Tahoma"/>
            <family val="2"/>
          </rPr>
          <t xml:space="preserve">Projekr rundvisning
</t>
        </r>
      </text>
    </comment>
    <comment ref="X72" authorId="0" shapeId="0" xr:uid="{00000000-0006-0000-0D00-000022000000}">
      <text>
        <r>
          <rPr>
            <sz val="8"/>
            <color indexed="81"/>
            <rFont val="Tahoma"/>
            <family val="2"/>
          </rPr>
          <t xml:space="preserve">Projekr rundvisning
</t>
        </r>
      </text>
    </comment>
    <comment ref="Y72" authorId="0" shapeId="0" xr:uid="{00000000-0006-0000-0D00-000023000000}">
      <text>
        <r>
          <rPr>
            <b/>
            <sz val="8"/>
            <color indexed="81"/>
            <rFont val="Tahoma"/>
            <family val="2"/>
          </rPr>
          <t>Møder kl. ca.9.15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4" authorId="1" shapeId="0" xr:uid="{00000000-0006-0000-0D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 13-18</t>
        </r>
      </text>
    </comment>
    <comment ref="D84" authorId="1" shapeId="0" xr:uid="{00000000-0006-0000-0D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Gl.Køge 11-13</t>
        </r>
      </text>
    </comment>
    <comment ref="H84" authorId="0" shapeId="0" xr:uid="{00000000-0006-0000-0D00-000026000000}">
      <text>
        <r>
          <rPr>
            <b/>
            <sz val="8"/>
            <color indexed="81"/>
            <rFont val="Tahoma"/>
            <family val="2"/>
          </rPr>
          <t>Matthæusgade</t>
        </r>
      </text>
    </comment>
    <comment ref="I84" authorId="0" shapeId="0" xr:uid="{00000000-0006-0000-0D00-000027000000}">
      <text>
        <r>
          <rPr>
            <b/>
            <sz val="8"/>
            <color indexed="81"/>
            <rFont val="Tahoma"/>
            <family val="2"/>
          </rPr>
          <t>Matthæusgade</t>
        </r>
      </text>
    </comment>
    <comment ref="J84" authorId="0" shapeId="0" xr:uid="{00000000-0006-0000-0D00-000028000000}">
      <text>
        <r>
          <rPr>
            <b/>
            <sz val="8"/>
            <color indexed="81"/>
            <rFont val="Tahoma"/>
            <family val="2"/>
          </rPr>
          <t>Matthæusgade</t>
        </r>
      </text>
    </comment>
    <comment ref="K84" authorId="0" shapeId="0" xr:uid="{00000000-0006-0000-0D00-000029000000}">
      <text>
        <r>
          <rPr>
            <b/>
            <sz val="8"/>
            <color indexed="81"/>
            <rFont val="Tahoma"/>
            <family val="2"/>
          </rPr>
          <t>Matthæusgade</t>
        </r>
      </text>
    </comment>
    <comment ref="Q84" authorId="1" shapeId="0" xr:uid="{00000000-0006-0000-0D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
13-18</t>
        </r>
      </text>
    </comment>
    <comment ref="V84" authorId="0" shapeId="0" xr:uid="{00000000-0006-0000-0D00-00002B000000}">
      <text>
        <r>
          <rPr>
            <b/>
            <sz val="8"/>
            <color indexed="81"/>
            <rFont val="Tahoma"/>
            <family val="2"/>
          </rPr>
          <t>Matthæusgade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84" authorId="0" shapeId="0" xr:uid="{00000000-0006-0000-0D00-00002C000000}">
      <text>
        <r>
          <rPr>
            <b/>
            <sz val="8"/>
            <color indexed="81"/>
            <rFont val="Tahoma"/>
            <family val="2"/>
          </rPr>
          <t>Kristoffer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84" authorId="0" shapeId="0" xr:uid="{00000000-0006-0000-0D00-00002D000000}">
      <text>
        <r>
          <rPr>
            <b/>
            <sz val="8"/>
            <color indexed="81"/>
            <rFont val="Tahoma"/>
            <family val="2"/>
          </rPr>
          <t>Gl.Køgelandevej 4
 13 - 18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84" authorId="0" shapeId="0" xr:uid="{00000000-0006-0000-0D00-00002E000000}">
      <text>
        <r>
          <rPr>
            <b/>
            <sz val="8"/>
            <color indexed="81"/>
            <rFont val="Tahoma"/>
            <family val="2"/>
          </rPr>
          <t>GL. Køgevej 4
 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85" authorId="0" shapeId="0" xr:uid="{00000000-0006-0000-0D00-00002F000000}">
      <text>
        <r>
          <rPr>
            <b/>
            <sz val="10"/>
            <color indexed="81"/>
            <rFont val="Tahoma"/>
            <family val="2"/>
          </rPr>
          <t>16 - 23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2" authorId="0" shapeId="0" xr:uid="{00000000-0006-0000-0D00-000030000000}">
      <text>
        <r>
          <rPr>
            <b/>
            <sz val="8"/>
            <color indexed="81"/>
            <rFont val="Tahoma"/>
            <family val="2"/>
          </rPr>
          <t>Oplysningen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22" authorId="0" shapeId="0" xr:uid="{00000000-0006-0000-0D00-000031000000}">
      <text>
        <r>
          <rPr>
            <b/>
            <sz val="9"/>
            <color indexed="81"/>
            <rFont val="Tahoma"/>
            <family val="2"/>
          </rPr>
          <t>OPLYSNINGEN
09.30 - 17.30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22" authorId="0" shapeId="0" xr:uid="{00000000-0006-0000-0D00-000032000000}">
      <text>
        <r>
          <rPr>
            <b/>
            <sz val="9"/>
            <color indexed="81"/>
            <rFont val="Tahoma"/>
            <family val="2"/>
          </rPr>
          <t>OPLYSNINGEN
09.30 - 17.30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22" authorId="0" shapeId="0" xr:uid="{00000000-0006-0000-0D00-000033000000}">
      <text>
        <r>
          <rPr>
            <b/>
            <sz val="9"/>
            <color indexed="81"/>
            <rFont val="Tahoma"/>
            <family val="2"/>
          </rPr>
          <t>OPLYSNINGEN
09.30 - 17.30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122" authorId="0" shapeId="0" xr:uid="{00000000-0006-0000-0D00-000034000000}">
      <text>
        <r>
          <rPr>
            <b/>
            <sz val="9"/>
            <color indexed="81"/>
            <rFont val="Tahoma"/>
            <family val="2"/>
          </rPr>
          <t>OPLYSNINGEN
09.30 - 17.30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4" authorId="0" shapeId="0" xr:uid="{00000000-0006-0000-0D00-000035000000}">
      <text>
        <r>
          <rPr>
            <b/>
            <sz val="9"/>
            <color indexed="81"/>
            <rFont val="Tahoma"/>
            <family val="2"/>
          </rPr>
          <t>Gl. Køgevej 
16 - 18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24" authorId="1" shapeId="0" xr:uid="{00000000-0006-0000-0D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
9-13</t>
        </r>
      </text>
    </comment>
    <comment ref="AE124" authorId="0" shapeId="0" xr:uid="{00000000-0006-0000-0D00-000037000000}">
      <text>
        <r>
          <rPr>
            <b/>
            <sz val="9"/>
            <color indexed="81"/>
            <rFont val="Tahoma"/>
            <family val="2"/>
          </rPr>
          <t>Matthæusgade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4" authorId="0" shapeId="0" xr:uid="{00000000-0006-0000-0D00-000038000000}">
      <text>
        <r>
          <rPr>
            <b/>
            <sz val="9"/>
            <color indexed="81"/>
            <rFont val="Tahoma"/>
            <family val="2"/>
          </rPr>
          <t>Matthæusgade</t>
        </r>
        <r>
          <rPr>
            <sz val="8"/>
            <color indexed="81"/>
            <rFont val="Tahoma"/>
            <family val="2"/>
          </rPr>
          <t xml:space="preserve">
9-13</t>
        </r>
      </text>
    </comment>
    <comment ref="G126" authorId="0" shapeId="0" xr:uid="{00000000-0006-0000-0D00-000039000000}">
      <text>
        <r>
          <rPr>
            <b/>
            <sz val="9"/>
            <color indexed="81"/>
            <rFont val="Tahoma"/>
            <family val="2"/>
          </rPr>
          <t>Matthæusgade 1
 9 - 15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6" authorId="0" shapeId="0" xr:uid="{00000000-0006-0000-0D00-00003A000000}">
      <text>
        <r>
          <rPr>
            <b/>
            <sz val="8"/>
            <color indexed="81"/>
            <rFont val="Tahoma"/>
            <family val="2"/>
          </rPr>
          <t>Matthæusgade 1
 09 - 15.30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6" authorId="0" shapeId="0" xr:uid="{00000000-0006-0000-0D00-00003B000000}">
      <text>
        <r>
          <rPr>
            <b/>
            <sz val="8"/>
            <color indexed="81"/>
            <rFont val="Tahoma"/>
            <family val="2"/>
          </rPr>
          <t>Svanevej</t>
        </r>
        <r>
          <rPr>
            <sz val="8"/>
            <color indexed="81"/>
            <rFont val="Tahoma"/>
            <family val="2"/>
          </rPr>
          <t xml:space="preserve">
9 - 15</t>
        </r>
      </text>
    </comment>
    <comment ref="Q126" authorId="0" shapeId="0" xr:uid="{00000000-0006-0000-0D00-00003C000000}">
      <text>
        <r>
          <rPr>
            <b/>
            <sz val="8"/>
            <color indexed="81"/>
            <rFont val="Tahoma"/>
            <family val="2"/>
          </rPr>
          <t>Brønshøjvej 17
13 - 18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26" authorId="0" shapeId="0" xr:uid="{00000000-0006-0000-0D00-00003D000000}">
      <text>
        <r>
          <rPr>
            <b/>
            <sz val="8"/>
            <color indexed="81"/>
            <rFont val="Tahoma"/>
            <family val="2"/>
          </rPr>
          <t>Brønshøjvej 17
9 - 13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6" authorId="2" shapeId="0" xr:uid="{00000000-0006-0000-0D00-00003E000000}">
      <text>
        <r>
          <rPr>
            <sz val="10"/>
            <color indexed="81"/>
            <rFont val="Tahoma"/>
            <family val="2"/>
          </rPr>
          <t>Matthæusgade
Kl.11,00-18,00.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6" authorId="0" shapeId="0" xr:uid="{00000000-0006-0000-0D00-00003F000000}">
      <text>
        <r>
          <rPr>
            <b/>
            <sz val="8"/>
            <color indexed="81"/>
            <rFont val="Tahoma"/>
            <family val="2"/>
          </rPr>
          <t>Matthæusgade 1
 9 - 13</t>
        </r>
      </text>
    </comment>
    <comment ref="G127" authorId="0" shapeId="0" xr:uid="{00000000-0006-0000-0D00-000040000000}">
      <text>
        <r>
          <rPr>
            <b/>
            <sz val="8"/>
            <color indexed="81"/>
            <rFont val="Tahoma"/>
            <family val="2"/>
          </rPr>
          <t>Oplysningen
08.00 - 15.30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<sst xmlns="http://schemas.openxmlformats.org/spreadsheetml/2006/main" count="29337" uniqueCount="1196">
  <si>
    <t>Vagterleder</t>
  </si>
  <si>
    <t>Plankode 8502</t>
  </si>
  <si>
    <t>Mandag</t>
  </si>
  <si>
    <t>Tirsdag</t>
  </si>
  <si>
    <t>Onsdag</t>
  </si>
  <si>
    <t>Torsdag</t>
  </si>
  <si>
    <t>Fredag</t>
  </si>
  <si>
    <t>Lørdag</t>
  </si>
  <si>
    <t>Søndag</t>
  </si>
  <si>
    <t>Timer ugentligt</t>
  </si>
  <si>
    <t>Bemærkninger</t>
  </si>
  <si>
    <t>0800 - 1545</t>
  </si>
  <si>
    <t>0800 - 1400</t>
  </si>
  <si>
    <t>Jørgen Pyrmer</t>
  </si>
  <si>
    <t>Vagter for turnusformænd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</si>
  <si>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</si>
  <si>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</si>
  <si>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</si>
  <si>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</si>
  <si>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</si>
  <si>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</si>
  <si>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</si>
  <si>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</si>
  <si>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</si>
  <si>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</si>
  <si>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</si>
  <si>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Flemming Nielsen</t>
  </si>
  <si>
    <t>Bjarne Wagner-Larsen</t>
  </si>
  <si>
    <t xml:space="preserve"> 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</si>
  <si>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</si>
  <si>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</si>
  <si>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</si>
  <si>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</si>
  <si>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</si>
  <si>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</si>
  <si>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</si>
  <si>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</si>
  <si>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>Per Larsen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</si>
  <si>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</si>
  <si>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</si>
  <si>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</si>
  <si>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</si>
  <si>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</si>
  <si>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10"/>
        <rFont val="Arial"/>
        <family val="2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</si>
  <si>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</si>
  <si>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</si>
  <si>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</si>
  <si>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</si>
  <si>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10"/>
        <rFont val="Arial"/>
        <family val="2"/>
      </rPr>
      <t xml:space="preserve">                 Betina Knøsgaard</t>
    </r>
  </si>
  <si>
    <t>Dagvagt</t>
  </si>
  <si>
    <t>(Disp)</t>
  </si>
  <si>
    <r>
      <t>11</t>
    </r>
    <r>
      <rPr>
        <sz val="10"/>
        <rFont val="Arial"/>
        <family val="2"/>
      </rPr>
      <t xml:space="preserve">        Mariane E. Mortensen</t>
    </r>
  </si>
  <si>
    <t>Hold 2</t>
  </si>
  <si>
    <r>
      <t xml:space="preserve">2  </t>
    </r>
    <r>
      <rPr>
        <sz val="10"/>
        <rFont val="Arial"/>
        <family val="2"/>
      </rPr>
      <t xml:space="preserve">                      Henrik Dencker</t>
    </r>
  </si>
  <si>
    <r>
      <t>7</t>
    </r>
    <r>
      <rPr>
        <sz val="10"/>
        <rFont val="Arial"/>
        <family val="2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</si>
  <si>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</si>
  <si>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</si>
  <si>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10"/>
        <rFont val="Arial"/>
        <family val="2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</si>
  <si>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</si>
  <si>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</si>
  <si>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</si>
  <si>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10"/>
        <rFont val="Arial"/>
        <family val="2"/>
      </rPr>
      <t xml:space="preserve">          Mikael M. Martensen</t>
    </r>
  </si>
  <si>
    <r>
      <t xml:space="preserve">8                    </t>
    </r>
    <r>
      <rPr>
        <sz val="10"/>
        <rFont val="Arial"/>
        <family val="2"/>
      </rPr>
      <t>Steen Hertin</t>
    </r>
  </si>
  <si>
    <r>
      <t xml:space="preserve">13       </t>
    </r>
    <r>
      <rPr>
        <sz val="10"/>
        <rFont val="Arial"/>
        <family val="2"/>
      </rPr>
      <t>Anders C. Henriksen</t>
    </r>
  </si>
  <si>
    <t>Hold 4</t>
  </si>
  <si>
    <t>1600 - 2300</t>
  </si>
  <si>
    <r>
      <t xml:space="preserve">4                  </t>
    </r>
    <r>
      <rPr>
        <sz val="10"/>
        <rFont val="Arial"/>
        <family val="2"/>
      </rPr>
      <t>Kurt Foldberg</t>
    </r>
  </si>
  <si>
    <t>0830 - 1530</t>
  </si>
  <si>
    <r>
      <t>9</t>
    </r>
    <r>
      <rPr>
        <sz val="10"/>
        <rFont val="Arial"/>
        <family val="2"/>
      </rPr>
      <t xml:space="preserve">                            Per A. Olsen</t>
    </r>
  </si>
  <si>
    <r>
      <t xml:space="preserve">14 </t>
    </r>
    <r>
      <rPr>
        <sz val="10"/>
        <rFont val="Arial"/>
        <family val="2"/>
      </rPr>
      <t xml:space="preserve">               Henning Haaning</t>
    </r>
  </si>
  <si>
    <t>Hold 5</t>
  </si>
  <si>
    <r>
      <t>5</t>
    </r>
    <r>
      <rPr>
        <sz val="10"/>
        <rFont val="Arial"/>
        <family val="2"/>
      </rPr>
      <t xml:space="preserve">               Jannie M-Andersen</t>
    </r>
  </si>
  <si>
    <r>
      <t>10</t>
    </r>
    <r>
      <rPr>
        <sz val="10"/>
        <rFont val="Arial"/>
        <family val="2"/>
      </rPr>
      <t xml:space="preserve">                       Jim H. Larsen</t>
    </r>
  </si>
  <si>
    <r>
      <t xml:space="preserve">15              </t>
    </r>
    <r>
      <rPr>
        <sz val="10"/>
        <rFont val="Arial"/>
        <family val="2"/>
      </rPr>
      <t>Erik M. Nielsen</t>
    </r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</si>
  <si>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</si>
  <si>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</si>
  <si>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</si>
  <si>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</si>
  <si>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</si>
  <si>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</si>
  <si>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</si>
  <si>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</si>
  <si>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</si>
  <si>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</si>
  <si>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</si>
  <si>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</si>
  <si>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</si>
  <si>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</si>
  <si>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</si>
  <si>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</si>
  <si>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</si>
  <si>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</si>
  <si>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</si>
  <si>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</si>
  <si>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</si>
  <si>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</si>
  <si>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</si>
  <si>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</si>
  <si>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</si>
  <si>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</si>
  <si>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</si>
  <si>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</si>
  <si>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</si>
  <si>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</si>
  <si>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</si>
  <si>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</si>
  <si>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</si>
  <si>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</si>
  <si>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</si>
  <si>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</si>
  <si>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</si>
  <si>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</si>
  <si>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</si>
  <si>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</si>
  <si>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</si>
  <si>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</si>
  <si>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0700 - 1300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</si>
  <si>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</si>
  <si>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</si>
  <si>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</si>
  <si>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</si>
  <si>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</si>
  <si>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</si>
  <si>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</si>
  <si>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0600 - 1345</t>
  </si>
  <si>
    <t>0600 - 1200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</si>
  <si>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</si>
  <si>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</si>
  <si>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</si>
  <si>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</si>
  <si>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</si>
  <si>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</si>
  <si>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</si>
  <si>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</si>
  <si>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</si>
  <si>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</si>
  <si>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</si>
  <si>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</si>
  <si>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</si>
  <si>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</si>
  <si>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</si>
  <si>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</si>
  <si>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</si>
  <si>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</si>
  <si>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</si>
  <si>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</si>
  <si>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</si>
  <si>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0745 - 1530</t>
  </si>
  <si>
    <t>0745- 1345</t>
  </si>
  <si>
    <t>Vagtkode i lønsystem</t>
  </si>
  <si>
    <t>I27</t>
  </si>
  <si>
    <t>I26</t>
  </si>
  <si>
    <t>Ugentligt</t>
  </si>
  <si>
    <t>Månedligt</t>
  </si>
  <si>
    <t>Årligt</t>
  </si>
  <si>
    <t>Stedfortræder</t>
  </si>
  <si>
    <t>807 Flemming Nielsen</t>
  </si>
  <si>
    <t>A77</t>
  </si>
  <si>
    <t>A60</t>
  </si>
  <si>
    <r>
      <t>4:</t>
    </r>
    <r>
      <rPr>
        <sz val="9"/>
        <rFont val="Arial"/>
        <family val="2"/>
      </rPr>
      <t xml:space="preserve"> 2230- 0645</t>
    </r>
  </si>
  <si>
    <r>
      <t>B:</t>
    </r>
    <r>
      <rPr>
        <sz val="9"/>
        <rFont val="Arial"/>
        <family val="2"/>
      </rPr>
      <t xml:space="preserve"> 1830 - 0645</t>
    </r>
  </si>
  <si>
    <r>
      <t>1:</t>
    </r>
    <r>
      <rPr>
        <sz val="9"/>
        <rFont val="Arial"/>
        <family val="2"/>
      </rPr>
      <t xml:space="preserve"> Vagthavende kl. 0630 - 1445</t>
    </r>
  </si>
  <si>
    <r>
      <t xml:space="preserve">I  </t>
    </r>
    <r>
      <rPr>
        <sz val="10"/>
        <rFont val="Arial"/>
        <family val="2"/>
      </rPr>
      <t>902 Erik Andersen</t>
    </r>
  </si>
  <si>
    <r>
      <t>2:</t>
    </r>
    <r>
      <rPr>
        <sz val="9"/>
        <rFont val="Arial"/>
        <family val="2"/>
      </rPr>
      <t xml:space="preserve"> Vagthavende kl. 1430 - 2230</t>
    </r>
  </si>
  <si>
    <t>F04</t>
  </si>
  <si>
    <t>BW 1</t>
  </si>
  <si>
    <t>BW1</t>
  </si>
  <si>
    <t>FRI</t>
  </si>
  <si>
    <r>
      <t>3:</t>
    </r>
    <r>
      <rPr>
        <sz val="9"/>
        <rFont val="Arial"/>
        <family val="2"/>
      </rPr>
      <t xml:space="preserve"> Patruljeleder kl. 1630 - 2345</t>
    </r>
  </si>
  <si>
    <r>
      <t xml:space="preserve">II </t>
    </r>
    <r>
      <rPr>
        <sz val="10"/>
        <rFont val="Arial"/>
        <family val="2"/>
      </rPr>
      <t>886 Per Larsen</t>
    </r>
  </si>
  <si>
    <r>
      <t>4</t>
    </r>
    <r>
      <rPr>
        <sz val="9"/>
        <rFont val="Arial"/>
        <family val="2"/>
      </rPr>
      <t>: Vagthavende kl. 2230 - 0645</t>
    </r>
  </si>
  <si>
    <t>Tur</t>
  </si>
  <si>
    <r>
      <t>1:</t>
    </r>
    <r>
      <rPr>
        <sz val="9"/>
        <rFont val="Arial"/>
        <family val="2"/>
      </rPr>
      <t xml:space="preserve"> 0630 - 1445</t>
    </r>
  </si>
  <si>
    <r>
      <t>A</t>
    </r>
    <r>
      <rPr>
        <sz val="9"/>
        <rFont val="Arial"/>
        <family val="2"/>
      </rPr>
      <t xml:space="preserve">: Vagthavende kl. 0630 - 1845  </t>
    </r>
  </si>
  <si>
    <r>
      <t>III</t>
    </r>
    <r>
      <rPr>
        <sz val="9"/>
        <rFont val="Arial"/>
        <family val="2"/>
      </rPr>
      <t xml:space="preserve"> 654 Bo Volfing Jacobsen</t>
    </r>
  </si>
  <si>
    <t>F01</t>
  </si>
  <si>
    <r>
      <t>B:</t>
    </r>
    <r>
      <rPr>
        <sz val="9"/>
        <rFont val="Arial"/>
        <family val="2"/>
      </rPr>
      <t xml:space="preserve"> Vagthavende kl. 1830 - 0645 </t>
    </r>
  </si>
  <si>
    <r>
      <t>2:</t>
    </r>
    <r>
      <rPr>
        <sz val="9"/>
        <rFont val="Arial"/>
        <family val="2"/>
      </rPr>
      <t xml:space="preserve"> 1430 - 2230</t>
    </r>
  </si>
  <si>
    <r>
      <t>A:</t>
    </r>
    <r>
      <rPr>
        <sz val="9"/>
        <rFont val="Arial"/>
        <family val="2"/>
      </rPr>
      <t xml:space="preserve"> 0630 - 1845</t>
    </r>
  </si>
  <si>
    <r>
      <t xml:space="preserve">IV  </t>
    </r>
    <r>
      <rPr>
        <sz val="10"/>
        <rFont val="Arial"/>
        <family val="2"/>
      </rPr>
      <t>664 Dennis Rise</t>
    </r>
  </si>
  <si>
    <t>F02</t>
  </si>
  <si>
    <t>AW 1</t>
  </si>
  <si>
    <r>
      <t>V</t>
    </r>
    <r>
      <rPr>
        <sz val="10"/>
        <rFont val="Arial"/>
        <family val="2"/>
      </rPr>
      <t xml:space="preserve">  669 Jørgen Rasmussen.</t>
    </r>
  </si>
  <si>
    <r>
      <t>3:</t>
    </r>
    <r>
      <rPr>
        <sz val="9"/>
        <rFont val="Arial"/>
        <family val="2"/>
      </rPr>
      <t xml:space="preserve"> 1630-2345</t>
    </r>
  </si>
  <si>
    <r>
      <t>VI</t>
    </r>
    <r>
      <rPr>
        <sz val="10"/>
        <rFont val="Arial"/>
        <family val="2"/>
      </rPr>
      <t xml:space="preserve">  890 Michael Bo Pedersen</t>
    </r>
  </si>
  <si>
    <t>F03</t>
  </si>
  <si>
    <t>357 Jesper Simonsen</t>
  </si>
  <si>
    <t>358 Per Olsen</t>
  </si>
  <si>
    <t>383 Kjeld Julius Jespersen</t>
  </si>
  <si>
    <t xml:space="preserve">Turnusvagter Rådhuset  </t>
  </si>
  <si>
    <t>Uge      Plankode 8516</t>
  </si>
  <si>
    <r>
      <t>11</t>
    </r>
    <r>
      <rPr>
        <sz val="10"/>
        <rFont val="Arial"/>
        <family val="2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</si>
  <si>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</si>
  <si>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Type i vagtplanssystem</t>
  </si>
  <si>
    <t>011</t>
  </si>
  <si>
    <t>B3W</t>
  </si>
  <si>
    <r>
      <t>Uge 1</t>
    </r>
    <r>
      <rPr>
        <sz val="10"/>
        <rFont val="Arial"/>
        <family val="2"/>
      </rPr>
      <t xml:space="preserve"> </t>
    </r>
  </si>
  <si>
    <r>
      <t>9</t>
    </r>
    <r>
      <rPr>
        <sz val="9"/>
        <rFont val="Arial"/>
        <family val="2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</si>
  <si>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</si>
  <si>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t>009</t>
  </si>
  <si>
    <t>B1W</t>
  </si>
  <si>
    <r>
      <t xml:space="preserve">6 </t>
    </r>
    <r>
      <rPr>
        <sz val="10"/>
        <rFont val="Arial"/>
        <family val="2"/>
      </rPr>
      <t xml:space="preserve">                Betina Knøsgaard</t>
    </r>
  </si>
  <si>
    <t xml:space="preserve">Uge 6 </t>
  </si>
  <si>
    <r>
      <t>10</t>
    </r>
    <r>
      <rPr>
        <sz val="9"/>
        <rFont val="Arial"/>
        <family val="2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</si>
  <si>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</si>
  <si>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t>010</t>
  </si>
  <si>
    <t>B2W</t>
  </si>
  <si>
    <r>
      <t>11</t>
    </r>
    <r>
      <rPr>
        <sz val="10"/>
        <rFont val="Arial"/>
        <family val="2"/>
      </rPr>
      <t xml:space="preserve">            Mariane Hillebrand</t>
    </r>
  </si>
  <si>
    <r>
      <t>Uge 11</t>
    </r>
    <r>
      <rPr>
        <sz val="10"/>
        <rFont val="Arial"/>
        <family val="2"/>
      </rPr>
      <t xml:space="preserve">            </t>
    </r>
  </si>
  <si>
    <r>
      <t>2</t>
    </r>
    <r>
      <rPr>
        <sz val="10"/>
        <rFont val="Arial"/>
        <family val="2"/>
      </rPr>
      <t xml:space="preserve">                             Tina Hansen</t>
    </r>
  </si>
  <si>
    <r>
      <t>Uge 2</t>
    </r>
    <r>
      <rPr>
        <sz val="10"/>
        <rFont val="Arial"/>
        <family val="2"/>
      </rPr>
      <t xml:space="preserve">                             </t>
    </r>
  </si>
  <si>
    <r>
      <t xml:space="preserve">7 </t>
    </r>
    <r>
      <rPr>
        <sz val="10"/>
        <rFont val="Arial"/>
        <family val="2"/>
      </rPr>
      <t xml:space="preserve">             Kim B.T. Pedersen</t>
    </r>
  </si>
  <si>
    <t>Uge 7</t>
  </si>
  <si>
    <r>
      <t>A3</t>
    </r>
    <r>
      <rPr>
        <sz val="10"/>
        <rFont val="Arial"/>
        <family val="2"/>
      </rPr>
      <t xml:space="preserve"> 0700 - 1915</t>
    </r>
  </si>
  <si>
    <r>
      <t xml:space="preserve">A3 </t>
    </r>
    <r>
      <rPr>
        <sz val="10"/>
        <rFont val="Arial"/>
        <family val="2"/>
      </rPr>
      <t>0700 - 1915</t>
    </r>
  </si>
  <si>
    <t>A3W</t>
  </si>
  <si>
    <r>
      <t>12</t>
    </r>
    <r>
      <rPr>
        <sz val="10"/>
        <rFont val="Arial"/>
        <family val="2"/>
      </rPr>
      <t xml:space="preserve">                  Kristoffer Ruth</t>
    </r>
  </si>
  <si>
    <r>
      <t>Uge 12</t>
    </r>
    <r>
      <rPr>
        <sz val="10"/>
        <rFont val="Arial"/>
        <family val="2"/>
      </rPr>
      <t xml:space="preserve">                  </t>
    </r>
  </si>
  <si>
    <r>
      <t>8</t>
    </r>
    <r>
      <rPr>
        <sz val="10"/>
        <rFont val="Arial"/>
        <family val="2"/>
      </rPr>
      <t xml:space="preserve"> 1600 - 2300</t>
    </r>
  </si>
  <si>
    <r>
      <t>8</t>
    </r>
    <r>
      <rPr>
        <sz val="10"/>
        <rFont val="Arial"/>
        <family val="2"/>
      </rPr>
      <t xml:space="preserve"> 1600 - 2230</t>
    </r>
  </si>
  <si>
    <r>
      <t xml:space="preserve">A2 </t>
    </r>
    <r>
      <rPr>
        <sz val="10"/>
        <rFont val="Arial"/>
        <family val="2"/>
      </rPr>
      <t>0700 - 1900</t>
    </r>
  </si>
  <si>
    <t>008</t>
  </si>
  <si>
    <t>X08</t>
  </si>
  <si>
    <t>A2W</t>
  </si>
  <si>
    <r>
      <t>Uge 3</t>
    </r>
    <r>
      <rPr>
        <sz val="10"/>
        <rFont val="Arial"/>
        <family val="2"/>
      </rPr>
      <t xml:space="preserve"> </t>
    </r>
  </si>
  <si>
    <r>
      <t>6</t>
    </r>
    <r>
      <rPr>
        <sz val="10"/>
        <rFont val="Arial"/>
        <family val="2"/>
      </rPr>
      <t xml:space="preserve"> 1600 - 2300</t>
    </r>
  </si>
  <si>
    <r>
      <t>A1</t>
    </r>
    <r>
      <rPr>
        <sz val="10"/>
        <rFont val="Arial"/>
        <family val="2"/>
      </rPr>
      <t xml:space="preserve"> 0845 - 1745</t>
    </r>
  </si>
  <si>
    <t>006</t>
  </si>
  <si>
    <t>A1W</t>
  </si>
  <si>
    <r>
      <t xml:space="preserve">8                   </t>
    </r>
    <r>
      <rPr>
        <sz val="10"/>
        <rFont val="Arial"/>
        <family val="2"/>
      </rPr>
      <t>Steen Hertin</t>
    </r>
  </si>
  <si>
    <t>Uge 8</t>
  </si>
  <si>
    <r>
      <t>7</t>
    </r>
    <r>
      <rPr>
        <sz val="10"/>
        <color indexed="9"/>
        <rFont val="Arial"/>
        <family val="2"/>
      </rPr>
      <t xml:space="preserve"> 1515 - 2315</t>
    </r>
  </si>
  <si>
    <t>007</t>
  </si>
  <si>
    <r>
      <t xml:space="preserve">13 </t>
    </r>
    <r>
      <rPr>
        <sz val="10"/>
        <rFont val="Arial"/>
        <family val="2"/>
      </rPr>
      <t xml:space="preserve">      Maria Christensen</t>
    </r>
  </si>
  <si>
    <t>Uge 13</t>
  </si>
  <si>
    <r>
      <t xml:space="preserve">4                  </t>
    </r>
    <r>
      <rPr>
        <sz val="10"/>
        <rFont val="Arial"/>
        <family val="2"/>
      </rPr>
      <t>Bo Lundvall</t>
    </r>
  </si>
  <si>
    <t>Uge 4</t>
  </si>
  <si>
    <r>
      <t xml:space="preserve">9  </t>
    </r>
    <r>
      <rPr>
        <sz val="10"/>
        <rFont val="Arial"/>
        <family val="2"/>
      </rPr>
      <t xml:space="preserve">                Daniel Ben Jakler</t>
    </r>
  </si>
  <si>
    <t>Uge 9</t>
  </si>
  <si>
    <r>
      <t>4</t>
    </r>
    <r>
      <rPr>
        <sz val="9"/>
        <rFont val="Arial"/>
        <family val="2"/>
      </rPr>
      <t xml:space="preserve"> 0930 - 1730</t>
    </r>
  </si>
  <si>
    <t>004</t>
  </si>
  <si>
    <r>
      <t>14</t>
    </r>
    <r>
      <rPr>
        <sz val="10"/>
        <rFont val="Arial"/>
        <family val="2"/>
      </rPr>
      <t xml:space="preserve">               Sonny Thomsen</t>
    </r>
  </si>
  <si>
    <r>
      <t>Uge 14</t>
    </r>
    <r>
      <rPr>
        <sz val="10"/>
        <rFont val="Arial"/>
        <family val="2"/>
      </rPr>
      <t xml:space="preserve"> </t>
    </r>
  </si>
  <si>
    <r>
      <t>1</t>
    </r>
    <r>
      <rPr>
        <sz val="10"/>
        <rFont val="Arial"/>
        <family val="2"/>
      </rPr>
      <t xml:space="preserve"> 0700 - 1400</t>
    </r>
  </si>
  <si>
    <t>001</t>
  </si>
  <si>
    <r>
      <t>Uge 5</t>
    </r>
    <r>
      <rPr>
        <sz val="10"/>
        <rFont val="Arial"/>
        <family val="2"/>
      </rPr>
      <t xml:space="preserve">               </t>
    </r>
  </si>
  <si>
    <r>
      <t>5</t>
    </r>
    <r>
      <rPr>
        <sz val="10"/>
        <rFont val="Arial"/>
        <family val="2"/>
      </rPr>
      <t xml:space="preserve"> 1600 - 2330</t>
    </r>
  </si>
  <si>
    <t>005</t>
  </si>
  <si>
    <r>
      <t>Uge 10</t>
    </r>
    <r>
      <rPr>
        <sz val="10"/>
        <rFont val="Arial"/>
        <family val="2"/>
      </rPr>
      <t xml:space="preserve"> </t>
    </r>
  </si>
  <si>
    <r>
      <t>3</t>
    </r>
    <r>
      <rPr>
        <sz val="10"/>
        <rFont val="Arial"/>
        <family val="2"/>
      </rPr>
      <t xml:space="preserve"> 0730 - 1530</t>
    </r>
  </si>
  <si>
    <t>003</t>
  </si>
  <si>
    <t xml:space="preserve">Uge 15 </t>
  </si>
  <si>
    <t>Sekvens rækkefølge</t>
  </si>
  <si>
    <t>Fast I-vagt (Informationen)</t>
  </si>
  <si>
    <t>Plankode 8520</t>
  </si>
  <si>
    <r>
      <t>I1</t>
    </r>
    <r>
      <rPr>
        <sz val="10"/>
        <rFont val="Arial"/>
        <family val="2"/>
      </rPr>
      <t xml:space="preserve"> 0700-1445</t>
    </r>
  </si>
  <si>
    <r>
      <t>I1</t>
    </r>
    <r>
      <rPr>
        <sz val="10"/>
        <rFont val="Arial"/>
        <family val="2"/>
      </rPr>
      <t xml:space="preserve"> 0700-1300</t>
    </r>
  </si>
  <si>
    <t>I17</t>
  </si>
  <si>
    <t>I16</t>
  </si>
  <si>
    <r>
      <t>I2</t>
    </r>
    <r>
      <rPr>
        <sz val="10"/>
        <rFont val="Arial"/>
        <family val="2"/>
      </rPr>
      <t xml:space="preserve"> 0745-1530</t>
    </r>
  </si>
  <si>
    <r>
      <t>I2</t>
    </r>
    <r>
      <rPr>
        <sz val="10"/>
        <rFont val="Arial"/>
        <family val="2"/>
      </rPr>
      <t xml:space="preserve"> 0745-1345</t>
    </r>
  </si>
  <si>
    <t>Ulla Belsager Olsen</t>
  </si>
  <si>
    <t>Fast Buffer</t>
  </si>
  <si>
    <t>Plankode 8514</t>
  </si>
  <si>
    <t>0800 - 1600</t>
  </si>
  <si>
    <t>0800 - 1300</t>
  </si>
  <si>
    <t>TR8</t>
  </si>
  <si>
    <t>TR5</t>
  </si>
  <si>
    <t xml:space="preserve">Vagter for Bryggens Gård  </t>
  </si>
  <si>
    <t xml:space="preserve"> 0600 - 1400</t>
  </si>
  <si>
    <r>
      <t xml:space="preserve"> </t>
    </r>
    <r>
      <rPr>
        <sz val="10"/>
        <rFont val="Arial"/>
        <family val="2"/>
      </rPr>
      <t>0600 - 1300</t>
    </r>
  </si>
  <si>
    <t>L80</t>
  </si>
  <si>
    <t>L70</t>
  </si>
  <si>
    <t xml:space="preserve"> 1400 - 2030</t>
  </si>
  <si>
    <t xml:space="preserve"> 1300 - 1915</t>
  </si>
  <si>
    <t>M65</t>
  </si>
  <si>
    <t>M62</t>
  </si>
  <si>
    <t>S75</t>
  </si>
  <si>
    <t>S70</t>
  </si>
  <si>
    <t>1200 - 1900</t>
  </si>
  <si>
    <t>1200 - 1800</t>
  </si>
  <si>
    <t>T70</t>
  </si>
  <si>
    <t>T60</t>
  </si>
  <si>
    <t>Udgået</t>
  </si>
  <si>
    <t>U75</t>
  </si>
  <si>
    <t>U70</t>
  </si>
  <si>
    <t>Buffergruppen</t>
  </si>
  <si>
    <t>B77</t>
  </si>
  <si>
    <t>B60</t>
  </si>
  <si>
    <t>910 John Rasmussen</t>
  </si>
  <si>
    <t>Plankode 8505</t>
  </si>
  <si>
    <t xml:space="preserve">  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</si>
  <si>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</si>
  <si>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</si>
  <si>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</si>
  <si>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</si>
  <si>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</si>
  <si>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</si>
  <si>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</si>
  <si>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9"/>
        <rFont val="Arial"/>
        <family val="2"/>
      </rPr>
      <t xml:space="preserve"> 0730 - 1600 </t>
    </r>
  </si>
  <si>
    <t>1    K1 vagt</t>
  </si>
  <si>
    <t>K10</t>
  </si>
  <si>
    <r>
      <t>K2</t>
    </r>
    <r>
      <rPr>
        <sz val="9"/>
        <rFont val="Arial"/>
        <family val="2"/>
      </rPr>
      <t xml:space="preserve"> 1700 - 2359</t>
    </r>
  </si>
  <si>
    <r>
      <t>KA</t>
    </r>
    <r>
      <rPr>
        <sz val="9"/>
        <rFont val="Arial"/>
        <family val="2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</si>
  <si>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</si>
  <si>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</si>
  <si>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</si>
  <si>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</si>
  <si>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</si>
  <si>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</si>
  <si>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</si>
  <si>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9"/>
        <rFont val="Arial"/>
        <family val="2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</si>
  <si>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</si>
  <si>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</si>
  <si>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</si>
  <si>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</si>
  <si>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</si>
  <si>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</si>
  <si>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BR møder på år</t>
  </si>
  <si>
    <t>AR på år</t>
  </si>
  <si>
    <t>svarer til ca. 49 medarbejdere</t>
  </si>
  <si>
    <t>372 Jørgen Pyrmer</t>
  </si>
  <si>
    <t>Timeopgørelse</t>
  </si>
  <si>
    <t>Timer i 2./3. skift</t>
  </si>
  <si>
    <t>Uge 1</t>
  </si>
  <si>
    <t>Uge 2</t>
  </si>
  <si>
    <t>Uge 3</t>
  </si>
  <si>
    <t>Uge 5</t>
  </si>
  <si>
    <t>Uge 6</t>
  </si>
  <si>
    <t>Total</t>
  </si>
  <si>
    <r>
      <t>3:</t>
    </r>
    <r>
      <rPr>
        <sz val="9"/>
        <rFont val="Arial"/>
        <family val="2"/>
      </rPr>
      <t xml:space="preserve"> 1630 - 2345</t>
    </r>
  </si>
  <si>
    <t>Rondering / alarmudrykning</t>
  </si>
  <si>
    <t>Normtid</t>
  </si>
  <si>
    <t>37 timer x 6 uger =</t>
  </si>
  <si>
    <t>timer</t>
  </si>
  <si>
    <r>
      <t xml:space="preserve">VI </t>
    </r>
    <r>
      <rPr>
        <sz val="10"/>
        <rFont val="Arial"/>
        <family val="2"/>
      </rPr>
      <t>890 Michael Bo Pedersen</t>
    </r>
  </si>
  <si>
    <t xml:space="preserve">2. / 3. Skifts timer =  </t>
  </si>
  <si>
    <t>:37 timer</t>
  </si>
  <si>
    <t xml:space="preserve">timer x 3 (grundet 37/3 reglen) = </t>
  </si>
  <si>
    <t>timer - godtskrivelse på</t>
  </si>
  <si>
    <t>timer =</t>
  </si>
  <si>
    <t>(Skal arbejde)</t>
  </si>
  <si>
    <t>reel tid - normtid</t>
  </si>
  <si>
    <t>Dag tjeneste</t>
  </si>
  <si>
    <t>Timer i 2./3. Skift</t>
  </si>
  <si>
    <r>
      <t xml:space="preserve">1 </t>
    </r>
    <r>
      <rPr>
        <sz val="10"/>
        <rFont val="Arial"/>
        <family val="2"/>
      </rPr>
      <t>0700 - 1400 + helligdage kl. 0700-1400</t>
    </r>
  </si>
  <si>
    <r>
      <t>2</t>
    </r>
    <r>
      <rPr>
        <sz val="10"/>
        <rFont val="Arial"/>
        <family val="2"/>
      </rPr>
      <t>udgået</t>
    </r>
  </si>
  <si>
    <r>
      <t>3</t>
    </r>
    <r>
      <rPr>
        <sz val="10"/>
        <rFont val="Arial"/>
        <family val="2"/>
      </rPr>
      <t xml:space="preserve"> 0730 - 1530 + helligdage kl. 0730-1530</t>
    </r>
  </si>
  <si>
    <r>
      <t>4</t>
    </r>
    <r>
      <rPr>
        <sz val="10"/>
        <rFont val="Arial"/>
        <family val="2"/>
      </rPr>
      <t xml:space="preserve"> 0930 - 1730</t>
    </r>
  </si>
  <si>
    <r>
      <t>A1</t>
    </r>
    <r>
      <rPr>
        <sz val="10"/>
        <rFont val="Arial"/>
        <family val="2"/>
      </rPr>
      <t xml:space="preserve"> 0845 - 1745 Lørdag (Hovedporten), Niels Hemmingsens Gade</t>
    </r>
  </si>
  <si>
    <r>
      <t>2</t>
    </r>
    <r>
      <rPr>
        <sz val="10"/>
        <rFont val="Arial"/>
        <family val="2"/>
      </rPr>
      <t xml:space="preserve">                     Jørn Rasmussen</t>
    </r>
  </si>
  <si>
    <r>
      <t>A2</t>
    </r>
    <r>
      <rPr>
        <sz val="10"/>
        <rFont val="Arial"/>
        <family val="2"/>
      </rPr>
      <t xml:space="preserve"> 0700 - 1900 Lør-, søndage</t>
    </r>
  </si>
  <si>
    <t>Uge 10</t>
  </si>
  <si>
    <r>
      <t>A3</t>
    </r>
    <r>
      <rPr>
        <sz val="10"/>
        <rFont val="Arial"/>
        <family val="2"/>
      </rPr>
      <t xml:space="preserve"> 0700 - 1915 Lør-, søndage</t>
    </r>
  </si>
  <si>
    <t>Uge 11</t>
  </si>
  <si>
    <t>Uge 12</t>
  </si>
  <si>
    <t>Aften tjeneste</t>
  </si>
  <si>
    <r>
      <t xml:space="preserve">5 </t>
    </r>
    <r>
      <rPr>
        <sz val="10"/>
        <rFont val="Arial"/>
        <family val="2"/>
      </rPr>
      <t>1600 - 2330</t>
    </r>
  </si>
  <si>
    <t>Uge 14</t>
  </si>
  <si>
    <r>
      <t>6</t>
    </r>
    <r>
      <rPr>
        <sz val="10"/>
        <rFont val="Arial"/>
        <family val="2"/>
      </rPr>
      <t xml:space="preserve"> Aften 1600-2300 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</si>
  <si>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</si>
  <si>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</si>
  <si>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8</t>
    </r>
    <r>
      <rPr>
        <sz val="10"/>
        <rFont val="Arial"/>
        <family val="2"/>
      </rPr>
      <t xml:space="preserve"> Aften 1600-2300 / fre. 1600 - 2230</t>
    </r>
  </si>
  <si>
    <t>37 timer x 15 uger =</t>
  </si>
  <si>
    <t>Nat tjeneste</t>
  </si>
  <si>
    <r>
      <t>9</t>
    </r>
    <r>
      <rPr>
        <sz val="10"/>
        <rFont val="Arial"/>
        <family val="2"/>
      </rPr>
      <t xml:space="preserve"> Nat 2300 - 0600 </t>
    </r>
  </si>
  <si>
    <r>
      <t>10</t>
    </r>
    <r>
      <rPr>
        <sz val="10"/>
        <rFont val="Arial"/>
        <family val="2"/>
      </rPr>
      <t xml:space="preserve"> Nat 2300 - 0700 </t>
    </r>
  </si>
  <si>
    <r>
      <t>9</t>
    </r>
    <r>
      <rPr>
        <sz val="10"/>
        <rFont val="Arial"/>
        <family val="2"/>
      </rPr>
      <t xml:space="preserve">                   Daniel Ben jakler</t>
    </r>
  </si>
  <si>
    <r>
      <t>11</t>
    </r>
    <r>
      <rPr>
        <sz val="10"/>
        <rFont val="Arial"/>
        <family val="2"/>
      </rPr>
      <t xml:space="preserve"> Nat 2300 - 0715</t>
    </r>
  </si>
  <si>
    <r>
      <t>B1</t>
    </r>
    <r>
      <rPr>
        <sz val="10"/>
        <rFont val="Arial"/>
        <family val="2"/>
      </rPr>
      <t xml:space="preserve"> Nat 1900 - 0600  Lør-, søndage</t>
    </r>
  </si>
  <si>
    <r>
      <t>B2</t>
    </r>
    <r>
      <rPr>
        <sz val="10"/>
        <rFont val="Arial"/>
        <family val="2"/>
      </rPr>
      <t xml:space="preserve"> Nat 1900 - 0700  Lør-, søndage </t>
    </r>
  </si>
  <si>
    <r>
      <t>B3</t>
    </r>
    <r>
      <rPr>
        <sz val="10"/>
        <rFont val="Arial"/>
        <family val="2"/>
      </rPr>
      <t xml:space="preserve"> Nat 1900 - 0715  Lør-, søndage</t>
    </r>
  </si>
  <si>
    <t xml:space="preserve">Turnusvagter Rådhuset i ugerækkefølge </t>
  </si>
  <si>
    <r>
      <t>2</t>
    </r>
    <r>
      <rPr>
        <sz val="10"/>
        <rFont val="Arial"/>
        <family val="2"/>
      </rPr>
      <t xml:space="preserve">                    Jørn Rasmussen</t>
    </r>
  </si>
  <si>
    <t>0700-1445</t>
  </si>
  <si>
    <t>0700-1300</t>
  </si>
  <si>
    <t>Afl. Fast A-portner, P-plads</t>
  </si>
  <si>
    <t>B &amp; U.</t>
  </si>
  <si>
    <t>0745-1530</t>
  </si>
  <si>
    <t>0745-1345</t>
  </si>
  <si>
    <t>Vagter for Bryggens Gård  (Nedlagt 31/3 - 2005)</t>
  </si>
  <si>
    <t>timer *</t>
  </si>
  <si>
    <t>uger =</t>
  </si>
  <si>
    <t>Timer</t>
  </si>
  <si>
    <t>Åbne Njalsgade kl. 600 - 630</t>
  </si>
  <si>
    <t>2. / 3. Skifts timer: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</si>
  <si>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</si>
  <si>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</si>
  <si>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</si>
  <si>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</si>
  <si>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</si>
  <si>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</si>
  <si>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</si>
  <si>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34 : 37 timer = 0,92  timer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</si>
  <si>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</si>
  <si>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</si>
  <si>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</si>
  <si>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Vagter for Kredse</t>
  </si>
  <si>
    <t>Uge      Plankode 8513</t>
  </si>
  <si>
    <r>
      <t>K2 1600</t>
    </r>
    <r>
      <rPr>
        <sz val="9"/>
        <rFont val="Arial"/>
        <family val="2"/>
      </rPr>
      <t xml:space="preserve"> - 0030</t>
    </r>
  </si>
  <si>
    <r>
      <t>K1</t>
    </r>
    <r>
      <rPr>
        <sz val="9"/>
        <rFont val="Arial"/>
        <family val="2"/>
      </rPr>
      <t xml:space="preserve"> 0800 - 1615</t>
    </r>
  </si>
  <si>
    <r>
      <t>K2</t>
    </r>
    <r>
      <rPr>
        <sz val="9"/>
        <rFont val="Arial"/>
        <family val="2"/>
      </rPr>
      <t xml:space="preserve"> 1600 - 0030</t>
    </r>
  </si>
  <si>
    <r>
      <t>KA</t>
    </r>
    <r>
      <rPr>
        <sz val="9"/>
        <rFont val="Arial"/>
        <family val="2"/>
      </rPr>
      <t xml:space="preserve"> 1100 - 2200</t>
    </r>
  </si>
  <si>
    <t>x 3 (grundet 37/3 reglen) =</t>
  </si>
  <si>
    <t>time (godtskrivelse)</t>
  </si>
  <si>
    <r>
      <t>K4</t>
    </r>
    <r>
      <rPr>
        <sz val="9"/>
        <rFont val="Arial"/>
        <family val="2"/>
      </rPr>
      <t xml:space="preserve"> 1500 - 0030</t>
    </r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</si>
  <si>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</si>
  <si>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</si>
  <si>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</si>
  <si>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</si>
  <si>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</si>
  <si>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</si>
  <si>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9"/>
        <rFont val="Arial"/>
        <family val="2"/>
      </rPr>
      <t xml:space="preserve"> 1800 - 0600</t>
    </r>
  </si>
  <si>
    <r>
      <t>HB</t>
    </r>
    <r>
      <rPr>
        <sz val="9"/>
        <rFont val="Arial"/>
        <family val="2"/>
      </rPr>
      <t xml:space="preserve"> 2400 - 1200</t>
    </r>
  </si>
  <si>
    <r>
      <t>HD</t>
    </r>
    <r>
      <rPr>
        <sz val="9"/>
        <rFont val="Arial"/>
        <family val="2"/>
      </rPr>
      <t xml:space="preserve"> 2200 - 0600</t>
    </r>
  </si>
  <si>
    <t>1      Uge 1</t>
  </si>
  <si>
    <t>2      Uge 2</t>
  </si>
  <si>
    <r>
      <t>HA</t>
    </r>
    <r>
      <rPr>
        <sz val="9"/>
        <rFont val="Arial"/>
        <family val="2"/>
      </rPr>
      <t xml:space="preserve"> 1200 - 2400</t>
    </r>
  </si>
  <si>
    <r>
      <t>HC</t>
    </r>
    <r>
      <rPr>
        <sz val="9"/>
        <rFont val="Arial"/>
        <family val="2"/>
      </rPr>
      <t xml:space="preserve"> 1200 - 2200</t>
    </r>
  </si>
  <si>
    <t>3      Uge 3</t>
  </si>
  <si>
    <r>
      <t>H2</t>
    </r>
    <r>
      <rPr>
        <sz val="10"/>
        <rFont val="Arial"/>
        <family val="2"/>
      </rPr>
      <t xml:space="preserve"> 0900 - 1545</t>
    </r>
  </si>
  <si>
    <r>
      <t>H3</t>
    </r>
    <r>
      <rPr>
        <sz val="10"/>
        <rFont val="Arial"/>
        <family val="2"/>
      </rPr>
      <t xml:space="preserve"> 0800 - 1545</t>
    </r>
  </si>
  <si>
    <r>
      <t>H4</t>
    </r>
    <r>
      <rPr>
        <sz val="10"/>
        <rFont val="Arial"/>
        <family val="2"/>
      </rPr>
      <t xml:space="preserve"> 0800 - 1530</t>
    </r>
  </si>
  <si>
    <t>4      Uge 4</t>
  </si>
  <si>
    <t>Bollevagter til helligdage</t>
  </si>
  <si>
    <t>Snit pr. måned</t>
  </si>
  <si>
    <t>svarer til ca. 47 medarbejdere</t>
  </si>
  <si>
    <t>Rådhusservice</t>
  </si>
  <si>
    <t xml:space="preserve">Plankode  </t>
  </si>
  <si>
    <t>0730 - 1515</t>
  </si>
  <si>
    <t>0730 - 1330</t>
  </si>
  <si>
    <t>320 Mikael M. Andersen</t>
  </si>
  <si>
    <t>168 Kurt N. V. Hansen</t>
  </si>
  <si>
    <t>643 Bjarne Wagner-Larsen</t>
  </si>
  <si>
    <t>309 Birthe Pedersen</t>
  </si>
  <si>
    <t>360 Anders Henriksen</t>
  </si>
  <si>
    <t xml:space="preserve">323 Inge Hansen </t>
  </si>
  <si>
    <t>364 Henning Haaning</t>
  </si>
  <si>
    <t>614 Arne Berthold</t>
  </si>
  <si>
    <t>Birgith Melsted Jensen</t>
  </si>
  <si>
    <t>Majbritt Jensen</t>
  </si>
  <si>
    <t>Ruth Nissen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</si>
  <si>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</si>
  <si>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</si>
  <si>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</si>
  <si>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</si>
  <si>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</si>
  <si>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</si>
  <si>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</si>
  <si>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</si>
  <si>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</si>
  <si>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9"/>
        <rFont val="Arial"/>
        <family val="2"/>
      </rPr>
      <t>: Turnusfri</t>
    </r>
  </si>
  <si>
    <r>
      <t>Orlov</t>
    </r>
    <r>
      <rPr>
        <sz val="9"/>
        <rFont val="Arial"/>
        <family val="2"/>
      </rPr>
      <t>: Grøn m/streg</t>
    </r>
  </si>
  <si>
    <r>
      <t>Barsel</t>
    </r>
    <r>
      <rPr>
        <sz val="9"/>
        <rFont val="Arial"/>
        <family val="2"/>
      </rPr>
      <t xml:space="preserve">: Rød m/streg </t>
    </r>
  </si>
  <si>
    <r>
      <t>l</t>
    </r>
    <r>
      <rPr>
        <sz val="9"/>
        <rFont val="Arial"/>
        <family val="2"/>
      </rPr>
      <t>: Daglig tjeneste</t>
    </r>
  </si>
  <si>
    <t xml:space="preserve">      :Omlægning af vagt (Planafvigelse)</t>
  </si>
  <si>
    <t>Barns 1. Sygedag</t>
  </si>
  <si>
    <r>
      <t>TJ:</t>
    </r>
    <r>
      <rPr>
        <sz val="9"/>
        <rFont val="Arial"/>
        <family val="2"/>
      </rPr>
      <t xml:space="preserve"> Tjenestefri </t>
    </r>
  </si>
  <si>
    <t>Oplæring</t>
  </si>
  <si>
    <t>Afdeling 4200 Afsnit 4340</t>
  </si>
  <si>
    <r>
      <t>1</t>
    </r>
    <r>
      <rPr>
        <sz val="11"/>
        <rFont val="Arial"/>
        <family val="2"/>
      </rPr>
      <t>: Vagthavende kl. 0630 - 1445</t>
    </r>
  </si>
  <si>
    <r>
      <t>2</t>
    </r>
    <r>
      <rPr>
        <sz val="11"/>
        <rFont val="Arial"/>
        <family val="2"/>
      </rPr>
      <t>: Vagthavende kl. 1430 - 2230</t>
    </r>
  </si>
  <si>
    <r>
      <t>3</t>
    </r>
    <r>
      <rPr>
        <sz val="11"/>
        <rFont val="Arial"/>
        <family val="2"/>
      </rPr>
      <t>: Patruljeleder kl. 1630 - 2345</t>
    </r>
  </si>
  <si>
    <r>
      <t>4</t>
    </r>
    <r>
      <rPr>
        <sz val="11"/>
        <rFont val="Arial"/>
        <family val="2"/>
      </rPr>
      <t>: Vagthavende kl. 2230 - 0645</t>
    </r>
  </si>
  <si>
    <r>
      <t>A</t>
    </r>
    <r>
      <rPr>
        <sz val="11"/>
        <rFont val="Arial"/>
        <family val="2"/>
      </rPr>
      <t>: Vagthavende kl. 0630 - 1845 (lør-, søndage)</t>
    </r>
  </si>
  <si>
    <r>
      <t>B</t>
    </r>
    <r>
      <rPr>
        <sz val="11"/>
        <rFont val="Arial"/>
        <family val="2"/>
      </rPr>
      <t>: Vagthavende kl. 1830 - 0645 (lør-, søndage)</t>
    </r>
  </si>
  <si>
    <r>
      <t>l:</t>
    </r>
    <r>
      <rPr>
        <sz val="11"/>
        <rFont val="Arial"/>
        <family val="2"/>
      </rPr>
      <t xml:space="preserve"> Man. - tor. Kl. 0815 - 1600, fre.Kl 0815 - 1415 </t>
    </r>
  </si>
  <si>
    <t>Nøgle uge nr.:</t>
  </si>
  <si>
    <t>Plan</t>
  </si>
  <si>
    <t>Navn</t>
  </si>
  <si>
    <t>Rest      FE</t>
  </si>
  <si>
    <t>Rest    FF</t>
  </si>
  <si>
    <t>Turnusformænd</t>
  </si>
  <si>
    <r>
      <t xml:space="preserve">I  </t>
    </r>
    <r>
      <rPr>
        <sz val="9"/>
        <rFont val="Arial"/>
        <family val="2"/>
      </rPr>
      <t>902 Erik Andersen</t>
    </r>
  </si>
  <si>
    <t>A</t>
  </si>
  <si>
    <t>F</t>
  </si>
  <si>
    <t>B</t>
  </si>
  <si>
    <r>
      <t xml:space="preserve">II  </t>
    </r>
    <r>
      <rPr>
        <sz val="9"/>
        <rFont val="Arial"/>
        <family val="2"/>
      </rPr>
      <t>358 Per Olsen</t>
    </r>
  </si>
  <si>
    <r>
      <t xml:space="preserve">IV  </t>
    </r>
    <r>
      <rPr>
        <sz val="9"/>
        <rFont val="Arial"/>
        <family val="2"/>
      </rPr>
      <t>664 Dennis Rise</t>
    </r>
  </si>
  <si>
    <r>
      <t>V</t>
    </r>
    <r>
      <rPr>
        <sz val="9"/>
        <rFont val="Arial"/>
        <family val="2"/>
      </rPr>
      <t xml:space="preserve"> 357 Jesper Simonsen</t>
    </r>
  </si>
  <si>
    <r>
      <t xml:space="preserve">VI </t>
    </r>
    <r>
      <rPr>
        <sz val="9"/>
        <rFont val="Arial"/>
        <family val="2"/>
      </rPr>
      <t>890 Michael Bo Pedersen</t>
    </r>
  </si>
  <si>
    <t>Formændsafløsere</t>
  </si>
  <si>
    <t>I</t>
  </si>
  <si>
    <t>992 Jim H. Larsen</t>
  </si>
  <si>
    <t>%</t>
  </si>
  <si>
    <t>Vagter for turnus Rådhuset Plankode 8516</t>
  </si>
  <si>
    <r>
      <t xml:space="preserve">1  </t>
    </r>
    <r>
      <rPr>
        <sz val="10"/>
        <rFont val="Arial"/>
        <family val="2"/>
      </rPr>
      <t>0700 - 1400 Også på helligdage</t>
    </r>
  </si>
  <si>
    <r>
      <t xml:space="preserve">3 </t>
    </r>
    <r>
      <rPr>
        <sz val="10"/>
        <rFont val="Arial"/>
        <family val="2"/>
      </rPr>
      <t xml:space="preserve"> 0730 - 1530 Også på helligdage</t>
    </r>
  </si>
  <si>
    <r>
      <t xml:space="preserve">4 </t>
    </r>
    <r>
      <rPr>
        <sz val="10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</si>
  <si>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10"/>
        <rFont val="Arial"/>
        <family val="2"/>
      </rPr>
      <t xml:space="preserve"> 0800 - 1545 (-helligdage)</t>
    </r>
  </si>
  <si>
    <r>
      <t xml:space="preserve">6  </t>
    </r>
    <r>
      <rPr>
        <sz val="10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 xml:space="preserve">1600 - 2300 </t>
    </r>
  </si>
  <si>
    <r>
      <t xml:space="preserve">7 </t>
    </r>
    <r>
      <rPr>
        <sz val="10"/>
        <rFont val="Arial"/>
        <family val="2"/>
      </rPr>
      <t xml:space="preserve"> Aften 1515 - 2315</t>
    </r>
  </si>
  <si>
    <r>
      <t xml:space="preserve">8 </t>
    </r>
    <r>
      <rPr>
        <sz val="10"/>
        <rFont val="Arial"/>
        <family val="2"/>
      </rPr>
      <t xml:space="preserve"> Aften 1600-2300 /fredag 1600-2230</t>
    </r>
  </si>
  <si>
    <r>
      <t xml:space="preserve">9 </t>
    </r>
    <r>
      <rPr>
        <sz val="10"/>
        <rFont val="Arial"/>
        <family val="2"/>
      </rPr>
      <t xml:space="preserve"> Nat 2300 - 0600  </t>
    </r>
  </si>
  <si>
    <r>
      <t xml:space="preserve">10 </t>
    </r>
    <r>
      <rPr>
        <sz val="10"/>
        <rFont val="Arial"/>
        <family val="2"/>
      </rPr>
      <t xml:space="preserve"> Nat 2300 - 0700</t>
    </r>
  </si>
  <si>
    <r>
      <t xml:space="preserve">11 </t>
    </r>
    <r>
      <rPr>
        <sz val="10"/>
        <rFont val="Arial"/>
        <family val="2"/>
      </rPr>
      <t xml:space="preserve"> Nat 2300 - 0715</t>
    </r>
  </si>
  <si>
    <r>
      <t>A1</t>
    </r>
    <r>
      <rPr>
        <sz val="10"/>
        <rFont val="Arial"/>
        <family val="2"/>
      </rPr>
      <t xml:space="preserve"> Dag 0845 - 1745 Lørdag </t>
    </r>
  </si>
  <si>
    <r>
      <t>A2</t>
    </r>
    <r>
      <rPr>
        <sz val="10"/>
        <rFont val="Arial"/>
        <family val="2"/>
      </rPr>
      <t xml:space="preserve"> Dag 0700 - 1900 Lørdag &amp; søndag</t>
    </r>
  </si>
  <si>
    <r>
      <t>A3</t>
    </r>
    <r>
      <rPr>
        <sz val="10"/>
        <rFont val="Arial"/>
        <family val="2"/>
      </rPr>
      <t xml:space="preserve"> Dag 0700 - 1915 Lørdag &amp; søndag</t>
    </r>
  </si>
  <si>
    <r>
      <t>B1</t>
    </r>
    <r>
      <rPr>
        <sz val="10"/>
        <rFont val="Arial"/>
        <family val="2"/>
      </rPr>
      <t xml:space="preserve"> Nat 1900 - 0600  Lørdag &amp; søndag</t>
    </r>
  </si>
  <si>
    <r>
      <t>B2</t>
    </r>
    <r>
      <rPr>
        <sz val="10"/>
        <rFont val="Arial"/>
        <family val="2"/>
      </rPr>
      <t xml:space="preserve"> Nat 1900 - 0700  Lørdag &amp; søndag </t>
    </r>
  </si>
  <si>
    <r>
      <t>B3</t>
    </r>
    <r>
      <rPr>
        <sz val="10"/>
        <rFont val="Arial"/>
        <family val="2"/>
      </rPr>
      <t xml:space="preserve"> Nat 1900 - 0715  Lørdag &amp; søndag</t>
    </r>
  </si>
  <si>
    <t>969 Anders Hintze</t>
  </si>
  <si>
    <t>B3</t>
  </si>
  <si>
    <t>A2</t>
  </si>
  <si>
    <t>A3</t>
  </si>
  <si>
    <t>418 Haydee Larsen</t>
  </si>
  <si>
    <t>B2</t>
  </si>
  <si>
    <t>A1</t>
  </si>
  <si>
    <t>395 Lars Lionett</t>
  </si>
  <si>
    <t>405 Camilla Benvil</t>
  </si>
  <si>
    <t>B1</t>
  </si>
  <si>
    <t>308 Kim B. T. Pedersen</t>
  </si>
  <si>
    <t>K2</t>
  </si>
  <si>
    <t>408 Carsten Brynald</t>
  </si>
  <si>
    <t>396 Wojciech Jagielski</t>
  </si>
  <si>
    <t>386 Birthe Andersen Nexø</t>
  </si>
  <si>
    <t>961 Sonny Ingerslev</t>
  </si>
  <si>
    <t>393 Thomas Holm</t>
  </si>
  <si>
    <t>411  Niels C. Frederiksen</t>
  </si>
  <si>
    <t>387 Bo Iversen</t>
  </si>
  <si>
    <t>421 Niels Bo Jensen</t>
  </si>
  <si>
    <t>H1</t>
  </si>
  <si>
    <t xml:space="preserve"> 394 Gorm Wilhjelm</t>
  </si>
  <si>
    <t>313 Erik M. Nielsen</t>
  </si>
  <si>
    <t>A3)</t>
  </si>
  <si>
    <t xml:space="preserve">Vagter for Ottiliahus </t>
  </si>
  <si>
    <t>Plankode 8553</t>
  </si>
  <si>
    <t>844.Kim B. Almind.</t>
  </si>
  <si>
    <t>T</t>
  </si>
  <si>
    <t>316 Marianne Rasmussen</t>
  </si>
  <si>
    <t>FOA</t>
  </si>
  <si>
    <t>Informationen</t>
  </si>
  <si>
    <t>i1 Plankode 8520</t>
  </si>
  <si>
    <t>0700 - 1445</t>
  </si>
  <si>
    <t>i2 Plankode 8521</t>
  </si>
  <si>
    <t>0745 - 1345</t>
  </si>
  <si>
    <t>824 Anders Villadsen</t>
  </si>
  <si>
    <t>i1</t>
  </si>
  <si>
    <t>370 Kristoffer Sahlholdt</t>
  </si>
  <si>
    <t>i2</t>
  </si>
  <si>
    <t>Kredse</t>
  </si>
  <si>
    <t>Plankode 8513</t>
  </si>
  <si>
    <r>
      <t>K1</t>
    </r>
    <r>
      <rPr>
        <sz val="10"/>
        <rFont val="Arial"/>
        <family val="2"/>
      </rPr>
      <t xml:space="preserve"> 0800 – 1545</t>
    </r>
  </si>
  <si>
    <r>
      <t>K1</t>
    </r>
    <r>
      <rPr>
        <sz val="10"/>
        <rFont val="Arial"/>
        <family val="2"/>
      </rPr>
      <t xml:space="preserve"> 0800 – 1400</t>
    </r>
  </si>
  <si>
    <r>
      <t>K2</t>
    </r>
    <r>
      <rPr>
        <sz val="10"/>
        <rFont val="Arial"/>
        <family val="2"/>
      </rPr>
      <t xml:space="preserve"> 1500 – 0015</t>
    </r>
  </si>
  <si>
    <r>
      <t>K2</t>
    </r>
    <r>
      <rPr>
        <sz val="10"/>
        <rFont val="Arial"/>
        <family val="2"/>
      </rPr>
      <t xml:space="preserve"> 1400 – 0015</t>
    </r>
  </si>
  <si>
    <r>
      <t>KA</t>
    </r>
    <r>
      <rPr>
        <sz val="10"/>
        <rFont val="Arial"/>
        <family val="2"/>
      </rPr>
      <t xml:space="preserve"> 1000 – 2030</t>
    </r>
  </si>
  <si>
    <r>
      <t>KA</t>
    </r>
    <r>
      <rPr>
        <sz val="10"/>
        <rFont val="Arial"/>
        <family val="2"/>
      </rPr>
      <t xml:space="preserve"> 1100 – 2130</t>
    </r>
  </si>
  <si>
    <t>993 Steen Hertin</t>
  </si>
  <si>
    <t>KA</t>
  </si>
  <si>
    <t>K1</t>
  </si>
  <si>
    <t>l</t>
  </si>
  <si>
    <t>380 Ali Capcan</t>
  </si>
  <si>
    <t>410 Karina Schiöpffe</t>
  </si>
  <si>
    <t>Den Hvide Kødby</t>
  </si>
  <si>
    <t>Plankode 8506</t>
  </si>
  <si>
    <r>
      <t>H1</t>
    </r>
    <r>
      <rPr>
        <sz val="10"/>
        <rFont val="Arial"/>
        <family val="2"/>
      </rPr>
      <t xml:space="preserve"> 1800 - 0600</t>
    </r>
  </si>
  <si>
    <r>
      <t xml:space="preserve">HB </t>
    </r>
    <r>
      <rPr>
        <sz val="10"/>
        <rFont val="Arial"/>
        <family val="2"/>
      </rPr>
      <t>2400 - 1200</t>
    </r>
  </si>
  <si>
    <r>
      <t xml:space="preserve">HD </t>
    </r>
    <r>
      <rPr>
        <sz val="10"/>
        <rFont val="Arial"/>
        <family val="2"/>
      </rPr>
      <t>2200 - 0600</t>
    </r>
  </si>
  <si>
    <r>
      <t>HA</t>
    </r>
    <r>
      <rPr>
        <sz val="10"/>
        <rFont val="Arial"/>
        <family val="2"/>
      </rPr>
      <t xml:space="preserve"> 1200 - 2400</t>
    </r>
  </si>
  <si>
    <r>
      <t>HC</t>
    </r>
    <r>
      <rPr>
        <sz val="10"/>
        <rFont val="Arial"/>
        <family val="2"/>
      </rPr>
      <t xml:space="preserve"> 1200 - 2200</t>
    </r>
  </si>
  <si>
    <t>399 Henrik Nittebjerg</t>
  </si>
  <si>
    <t>HA</t>
  </si>
  <si>
    <t>HC</t>
  </si>
  <si>
    <t>H2</t>
  </si>
  <si>
    <t>H3</t>
  </si>
  <si>
    <t>H4</t>
  </si>
  <si>
    <t>HB</t>
  </si>
  <si>
    <t>HD</t>
  </si>
  <si>
    <t>402 Ole Albertsen</t>
  </si>
  <si>
    <t>H1)</t>
  </si>
  <si>
    <t>413 Jørgen Gydesen</t>
  </si>
  <si>
    <t>860 Jørn Rasmussen</t>
  </si>
  <si>
    <t>Oplysningskontoret</t>
  </si>
  <si>
    <t>0900-1730</t>
  </si>
  <si>
    <t>0745-12145</t>
  </si>
  <si>
    <t>0745-1415</t>
  </si>
  <si>
    <t>1100-1730</t>
  </si>
  <si>
    <t>0900-1400</t>
  </si>
  <si>
    <t>0930-1600</t>
  </si>
  <si>
    <t>0830-1600</t>
  </si>
  <si>
    <t>0830-1530</t>
  </si>
  <si>
    <t xml:space="preserve"> 198 Frank Leithved</t>
  </si>
  <si>
    <t>975 Peter Madsen</t>
  </si>
  <si>
    <t>Buffer gruppen</t>
  </si>
  <si>
    <t>Normal daglig tjeneste</t>
  </si>
  <si>
    <t xml:space="preserve">PT: Postafdeligen  </t>
  </si>
  <si>
    <t>400 Hava Coscun</t>
  </si>
  <si>
    <t>420 Carsten Dahl</t>
  </si>
  <si>
    <t>424 Martin Hvorslev</t>
  </si>
  <si>
    <t>427 Allan Pedersen</t>
  </si>
  <si>
    <t>431 Jimmy Hildebrandt</t>
  </si>
  <si>
    <t xml:space="preserve">        Simon Botfeldt </t>
  </si>
  <si>
    <t>Jacob Nørgård Madsen</t>
  </si>
  <si>
    <t>Marco Minerba</t>
  </si>
  <si>
    <t>P3</t>
  </si>
  <si>
    <t>Oleg R. Hansen</t>
  </si>
  <si>
    <t>Bryllupsvagter om lørdagen</t>
  </si>
  <si>
    <t>BR: Bryllupsvagt kl. 8 - 12 samt Oplysningen kl. 12-13.</t>
  </si>
  <si>
    <t xml:space="preserve">Bryllupsvagten og tårntur udføres på overtid. En aftale der er lavet selvstændigt. Vagterne der er tilmeldt ordningen skal selv planlægge vagter og afløse hinanden ved sygdom.  </t>
  </si>
  <si>
    <t>Martin Holse</t>
  </si>
  <si>
    <t>405 Camille Benvil</t>
  </si>
  <si>
    <t>Administrations og Arrangementsafdelingen</t>
  </si>
  <si>
    <t xml:space="preserve">Plankoder </t>
  </si>
  <si>
    <t>Forskudt vagt</t>
  </si>
  <si>
    <r>
      <t xml:space="preserve">18: </t>
    </r>
    <r>
      <rPr>
        <sz val="10"/>
        <rFont val="Arial"/>
        <family val="2"/>
      </rPr>
      <t>kl. 10 - 1745</t>
    </r>
  </si>
  <si>
    <r>
      <t xml:space="preserve">18: </t>
    </r>
    <r>
      <rPr>
        <sz val="10"/>
        <rFont val="Arial"/>
        <family val="2"/>
      </rPr>
      <t>kl. 10 - 16</t>
    </r>
  </si>
  <si>
    <t>0600  - 1200</t>
  </si>
  <si>
    <t>Afdeling 4420 afsnit 4420</t>
  </si>
  <si>
    <t>Henning Christiansen</t>
  </si>
  <si>
    <t>Judith Østergaard</t>
  </si>
  <si>
    <t>Marianne Borgstrøm</t>
  </si>
  <si>
    <t>986 Ulla B. Olsen</t>
  </si>
  <si>
    <t>Michael Hansen</t>
  </si>
  <si>
    <t>886 Per Larsen</t>
  </si>
  <si>
    <t>TJ</t>
  </si>
  <si>
    <t>l)</t>
  </si>
  <si>
    <t>908 Kenny  Hautop</t>
  </si>
  <si>
    <t>414 Steffen Grube</t>
  </si>
  <si>
    <t>327 Johnny Hansen</t>
  </si>
  <si>
    <t>416 Dorte Ramassi</t>
  </si>
  <si>
    <t>502 Ruth Nissen</t>
  </si>
  <si>
    <t>504 Maya Villadsen</t>
  </si>
  <si>
    <t>Postservice</t>
  </si>
  <si>
    <t>3702 Lige uger</t>
  </si>
  <si>
    <r>
      <t xml:space="preserve">2 </t>
    </r>
    <r>
      <rPr>
        <sz val="10"/>
        <rFont val="Arial"/>
        <family val="2"/>
      </rPr>
      <t>0600 - 1300</t>
    </r>
  </si>
  <si>
    <t>3702 Ulige uger</t>
  </si>
  <si>
    <r>
      <t>1</t>
    </r>
    <r>
      <rPr>
        <sz val="10"/>
        <rFont val="Arial"/>
        <family val="2"/>
      </rPr>
      <t xml:space="preserve"> 0600 - 1500</t>
    </r>
  </si>
  <si>
    <r>
      <t>1</t>
    </r>
    <r>
      <rPr>
        <sz val="10"/>
        <rFont val="Arial"/>
        <family val="2"/>
      </rPr>
      <t xml:space="preserve"> 0700 - 1500</t>
    </r>
  </si>
  <si>
    <r>
      <t xml:space="preserve">1 </t>
    </r>
    <r>
      <rPr>
        <sz val="10"/>
        <rFont val="Arial"/>
        <family val="2"/>
      </rPr>
      <t>0700 - 1500</t>
    </r>
  </si>
  <si>
    <r>
      <t xml:space="preserve">1 </t>
    </r>
    <r>
      <rPr>
        <sz val="10"/>
        <rFont val="Arial"/>
        <family val="2"/>
      </rPr>
      <t>0700 - 1300</t>
    </r>
  </si>
  <si>
    <r>
      <t>P1</t>
    </r>
    <r>
      <rPr>
        <sz val="10"/>
        <rFont val="Arial"/>
        <family val="2"/>
      </rPr>
      <t xml:space="preserve"> 0700 - 1445</t>
    </r>
  </si>
  <si>
    <r>
      <t>PF1</t>
    </r>
    <r>
      <rPr>
        <sz val="10"/>
        <rFont val="Arial"/>
        <family val="2"/>
      </rPr>
      <t xml:space="preserve"> 0700 - 1300</t>
    </r>
  </si>
  <si>
    <r>
      <t>P2</t>
    </r>
    <r>
      <rPr>
        <sz val="10"/>
        <rFont val="Arial"/>
        <family val="2"/>
      </rPr>
      <t xml:space="preserve"> 0730 - 1500</t>
    </r>
  </si>
  <si>
    <r>
      <t>PF2</t>
    </r>
    <r>
      <rPr>
        <sz val="10"/>
        <rFont val="Arial"/>
        <family val="2"/>
      </rPr>
      <t xml:space="preserve"> 0730 - 1430</t>
    </r>
  </si>
  <si>
    <r>
      <t xml:space="preserve">P3 </t>
    </r>
    <r>
      <rPr>
        <sz val="10"/>
        <rFont val="Arial"/>
        <family val="2"/>
      </rPr>
      <t>0900 - 1630</t>
    </r>
  </si>
  <si>
    <r>
      <t xml:space="preserve">PF3 </t>
    </r>
    <r>
      <rPr>
        <sz val="10"/>
        <rFont val="Arial"/>
        <family val="2"/>
      </rPr>
      <t>0900 - 1600</t>
    </r>
  </si>
  <si>
    <t>Afdeling/afsnit 4410/4410</t>
  </si>
  <si>
    <t>388 Ricco Nielsen</t>
  </si>
  <si>
    <t>371 Henrik Dencker</t>
  </si>
  <si>
    <t>401 Karsten Nielsen</t>
  </si>
  <si>
    <t>Postruter</t>
  </si>
  <si>
    <t>P2</t>
  </si>
  <si>
    <t>P1</t>
  </si>
  <si>
    <t>984 Jannie M.-Andersen</t>
  </si>
  <si>
    <t>409 Martin Holse</t>
  </si>
  <si>
    <t>Skanning</t>
  </si>
  <si>
    <t>3350 A</t>
  </si>
  <si>
    <t>0815 - 1530</t>
  </si>
  <si>
    <t>0815 - 1515</t>
  </si>
  <si>
    <t>Afdeling/afsnit 4410/4411</t>
  </si>
  <si>
    <t>404 Claus Lahn</t>
  </si>
  <si>
    <t>3350A</t>
  </si>
  <si>
    <t>Berit Bavnbæk</t>
  </si>
  <si>
    <t>407 Preben Elfenbein</t>
  </si>
  <si>
    <t xml:space="preserve">419 Karina Petersen </t>
  </si>
  <si>
    <t>851 Preben Jans</t>
  </si>
  <si>
    <t>429 Ann Rudolf Nielsen</t>
  </si>
  <si>
    <t>Afdeling/afsnit 4420/4420</t>
  </si>
  <si>
    <t>Afdeling/afsnit 4250/4210</t>
  </si>
  <si>
    <t>Karsten Hallander</t>
  </si>
  <si>
    <t>Søren Christensen</t>
  </si>
  <si>
    <t>Frank Hansen</t>
  </si>
  <si>
    <t>Preben K. Nielsen</t>
  </si>
  <si>
    <t>Michael  Skytte</t>
  </si>
  <si>
    <t>Per Rasmussen</t>
  </si>
  <si>
    <t>Allan Christensen</t>
  </si>
  <si>
    <t>Dagny Torres</t>
  </si>
  <si>
    <t>Lars B.G. Christoffersen</t>
  </si>
  <si>
    <t>Ole Kristiansen</t>
  </si>
  <si>
    <t>Jan Tranberg</t>
  </si>
  <si>
    <t>Jozef Holecz</t>
  </si>
  <si>
    <t>Hans Rørbæk</t>
  </si>
  <si>
    <t>9)</t>
  </si>
  <si>
    <t>8)</t>
  </si>
  <si>
    <t>Simon Botfeldt</t>
  </si>
  <si>
    <t>Ole Haslund</t>
  </si>
  <si>
    <t>Vikarer</t>
  </si>
  <si>
    <t>Martin Svanebjerg</t>
  </si>
  <si>
    <t>Nickoline Jensen</t>
  </si>
  <si>
    <t>I2</t>
  </si>
  <si>
    <t>0800 - 16005</t>
  </si>
  <si>
    <t>Afdeling 4250 afsnit 4210</t>
  </si>
  <si>
    <t>B3)</t>
  </si>
  <si>
    <t>3)</t>
  </si>
  <si>
    <t>3</t>
  </si>
  <si>
    <t>KA)</t>
  </si>
  <si>
    <t>7)</t>
  </si>
  <si>
    <t>Jakob Nørgaard</t>
  </si>
  <si>
    <t>432 Oleg R. Hansen</t>
  </si>
  <si>
    <t>HC)</t>
  </si>
  <si>
    <t>433 Simon Botfeldt</t>
  </si>
  <si>
    <t>P3)</t>
  </si>
  <si>
    <t>i 1</t>
  </si>
  <si>
    <t>Praktik</t>
  </si>
  <si>
    <t>Kasper Lassen</t>
  </si>
  <si>
    <t>1000-1730</t>
  </si>
  <si>
    <t>0745 - 1445</t>
  </si>
  <si>
    <t>0745-1500</t>
  </si>
  <si>
    <t>0930 - 1730</t>
  </si>
  <si>
    <t>0900  - 1400</t>
  </si>
  <si>
    <t>0900 - 1400</t>
  </si>
  <si>
    <t>2)</t>
  </si>
  <si>
    <t>434 Marco Minerba</t>
  </si>
  <si>
    <t>A)</t>
  </si>
  <si>
    <t>4 0930 - 1730 (8-16 på H.dage)</t>
  </si>
  <si>
    <r>
      <t xml:space="preserve">5 </t>
    </r>
    <r>
      <rPr>
        <sz val="10"/>
        <rFont val="Arial"/>
        <family val="2"/>
      </rPr>
      <t xml:space="preserve"> 1430 - 2200 (-helligdage)</t>
    </r>
  </si>
  <si>
    <t>i2)</t>
  </si>
  <si>
    <t>0930-1730</t>
  </si>
  <si>
    <t>0800-15,30</t>
  </si>
  <si>
    <t>0800-1530</t>
  </si>
  <si>
    <t>0900-1600</t>
  </si>
  <si>
    <t>1000-1600</t>
  </si>
  <si>
    <t>0800-1630</t>
  </si>
  <si>
    <t>0800-1500</t>
  </si>
  <si>
    <t>,</t>
  </si>
  <si>
    <t>5)</t>
  </si>
  <si>
    <t>Per Olsson</t>
  </si>
  <si>
    <t>Dorthe Højbak</t>
  </si>
  <si>
    <t>Ludmila Stiedl</t>
  </si>
  <si>
    <r>
      <t>P3 0</t>
    </r>
    <r>
      <rPr>
        <sz val="10"/>
        <rFont val="Arial"/>
        <family val="2"/>
      </rPr>
      <t>845 - 1615</t>
    </r>
  </si>
  <si>
    <r>
      <t xml:space="preserve">P3 </t>
    </r>
    <r>
      <rPr>
        <sz val="10"/>
        <rFont val="Arial"/>
        <family val="2"/>
      </rPr>
      <t>0845 - 1615</t>
    </r>
  </si>
  <si>
    <r>
      <t xml:space="preserve">PF3 </t>
    </r>
    <r>
      <rPr>
        <sz val="10"/>
        <rFont val="Arial"/>
        <family val="2"/>
      </rPr>
      <t>0845 - 1545</t>
    </r>
  </si>
  <si>
    <t xml:space="preserve"> 434 Marco Minerba</t>
  </si>
  <si>
    <r>
      <t xml:space="preserve">4 </t>
    </r>
    <r>
      <rPr>
        <sz val="10"/>
        <rFont val="Arial"/>
        <family val="2"/>
      </rPr>
      <t>0930 - 1730</t>
    </r>
    <r>
      <rPr>
        <sz val="9"/>
        <rFont val="Arial"/>
        <family val="2"/>
      </rPr>
      <t xml:space="preserve"> (8-16 på H.dage)</t>
    </r>
  </si>
  <si>
    <t>i1)</t>
  </si>
  <si>
    <t>4)</t>
  </si>
  <si>
    <t>.</t>
  </si>
  <si>
    <t xml:space="preserve"> %</t>
  </si>
  <si>
    <t>i)</t>
  </si>
  <si>
    <t>0845 - 1615</t>
  </si>
  <si>
    <t>(4</t>
  </si>
  <si>
    <t>K1)</t>
  </si>
  <si>
    <t>{</t>
  </si>
  <si>
    <t>Jesper Thor Varndorf</t>
  </si>
  <si>
    <r>
      <t xml:space="preserve">P3 </t>
    </r>
    <r>
      <rPr>
        <sz val="10"/>
        <rFont val="Arial"/>
        <family val="2"/>
      </rPr>
      <t xml:space="preserve"> 0845 - 1615</t>
    </r>
  </si>
  <si>
    <t>1)</t>
  </si>
  <si>
    <t>11)</t>
  </si>
  <si>
    <t>I1</t>
  </si>
  <si>
    <t>0800-1600</t>
  </si>
  <si>
    <t>F)</t>
  </si>
  <si>
    <t>Ritt 16/5</t>
  </si>
  <si>
    <t>P3 0845 - 1615</t>
  </si>
  <si>
    <r>
      <t>PF30845</t>
    </r>
    <r>
      <rPr>
        <sz val="10"/>
        <rFont val="Arial"/>
        <family val="2"/>
      </rPr>
      <t xml:space="preserve"> - 1545</t>
    </r>
  </si>
  <si>
    <t>Torben G. Jørgensen</t>
  </si>
  <si>
    <t>Ole Stauersbøl</t>
  </si>
  <si>
    <t>10)</t>
  </si>
  <si>
    <t xml:space="preserve">I </t>
  </si>
  <si>
    <t xml:space="preserve"> I</t>
  </si>
  <si>
    <t xml:space="preserve">F </t>
  </si>
  <si>
    <t>A1)</t>
  </si>
  <si>
    <t>P30845 - 1615</t>
  </si>
  <si>
    <t>A2)</t>
  </si>
  <si>
    <t>HD)</t>
  </si>
  <si>
    <t>H!</t>
  </si>
  <si>
    <t xml:space="preserve"> K2</t>
  </si>
  <si>
    <t>))</t>
  </si>
  <si>
    <t>P2)</t>
  </si>
  <si>
    <r>
      <t>P</t>
    </r>
    <r>
      <rPr>
        <sz val="10"/>
        <rFont val="Arial"/>
        <family val="2"/>
      </rPr>
      <t>3 0845 - 1615</t>
    </r>
  </si>
  <si>
    <r>
      <t>P</t>
    </r>
    <r>
      <rPr>
        <sz val="10"/>
        <rFont val="Arial"/>
        <family val="2"/>
      </rPr>
      <t>30845 - 1615</t>
    </r>
  </si>
  <si>
    <r>
      <t xml:space="preserve">5 </t>
    </r>
    <r>
      <rPr>
        <sz val="10"/>
        <rFont val="Arial"/>
        <family val="2"/>
      </rPr>
      <t xml:space="preserve">  14.30 - 22.00 (-helligdage)</t>
    </r>
  </si>
  <si>
    <t>0880-1630</t>
  </si>
  <si>
    <t>K2)</t>
  </si>
  <si>
    <t>0700 - 1455</t>
  </si>
  <si>
    <t>B)</t>
  </si>
  <si>
    <t>8</t>
  </si>
  <si>
    <t>0700 -1445</t>
  </si>
  <si>
    <t>MUS 2011 i Rådhusservice</t>
  </si>
  <si>
    <t>Lederne i Rådhusvagten</t>
  </si>
  <si>
    <t>Vagt og Information</t>
  </si>
  <si>
    <t>Postservice, Skanning og HNG</t>
  </si>
  <si>
    <t>Indkalder</t>
  </si>
  <si>
    <t>Samtale med</t>
  </si>
  <si>
    <t>Afholdt den</t>
  </si>
  <si>
    <t>Bo Volfing Jacobsen</t>
  </si>
  <si>
    <t>09 - 08 - 11</t>
  </si>
  <si>
    <t>Claus Lahn</t>
  </si>
  <si>
    <t>Dennis Rise</t>
  </si>
  <si>
    <t>09 - 06 - 11</t>
  </si>
  <si>
    <t>Henrik Dencker</t>
  </si>
  <si>
    <t>01 - 06 - 11</t>
  </si>
  <si>
    <t>09-07-11</t>
  </si>
  <si>
    <t>Karsten Pøhl Nielsen</t>
  </si>
  <si>
    <t>Erik Andersen</t>
  </si>
  <si>
    <t>09-01-12</t>
  </si>
  <si>
    <t>Michael Bo Pedersen</t>
  </si>
  <si>
    <t>23 - 06 - 11</t>
  </si>
  <si>
    <t>Per Olsen</t>
  </si>
  <si>
    <t>22 - 06 - 11</t>
  </si>
  <si>
    <t>Berit E. Bavnbæk</t>
  </si>
  <si>
    <t>Kjeld Julius Jespersen</t>
  </si>
  <si>
    <t>07 - 06 - 11</t>
  </si>
  <si>
    <t>Jim H. Larsen</t>
  </si>
  <si>
    <t>419 Karina Petersen</t>
  </si>
  <si>
    <t>Administration og arrangements afd.</t>
  </si>
  <si>
    <t>386 Birthe Hjort Nexø</t>
  </si>
  <si>
    <t>961 Sonny Thomsen</t>
  </si>
  <si>
    <t>08 - 06 - 11</t>
  </si>
  <si>
    <t>Mikael M. Andersen</t>
  </si>
  <si>
    <t>394 Gorm Wilhjelm</t>
  </si>
  <si>
    <t>Johnny V. Hansen</t>
  </si>
  <si>
    <t>27 - 06 - 11</t>
  </si>
  <si>
    <t>GRUS Alle</t>
  </si>
  <si>
    <t>17-06-11</t>
  </si>
  <si>
    <t>370 Kristoffer Ruth Sahlholdt</t>
  </si>
  <si>
    <t>04 - 08 - 11</t>
  </si>
  <si>
    <t>17 - 06 - 11</t>
  </si>
  <si>
    <t>410Karina Schiöpffe</t>
  </si>
  <si>
    <t>16 - 06 - 11</t>
  </si>
  <si>
    <t>GRUS alle</t>
  </si>
  <si>
    <t>28 - 06 - 11</t>
  </si>
  <si>
    <t>10 - 06 - 11</t>
  </si>
  <si>
    <t>07 -06 - 11</t>
  </si>
  <si>
    <t>14-11-11</t>
  </si>
  <si>
    <t>06 - 06 - 11</t>
  </si>
  <si>
    <t>05-12-11</t>
  </si>
  <si>
    <t>18-11-11</t>
  </si>
  <si>
    <t>Oplysningen</t>
  </si>
  <si>
    <t>11-12-11</t>
  </si>
  <si>
    <t>20-11-11</t>
  </si>
  <si>
    <t>30 - 06 - 10</t>
  </si>
  <si>
    <t>18-06-11</t>
  </si>
  <si>
    <t>Frank Leitved</t>
  </si>
  <si>
    <t>19-06-11</t>
  </si>
  <si>
    <t>John Rasmussen</t>
  </si>
  <si>
    <t>Peter Madsen</t>
  </si>
  <si>
    <t>16 - 08 - 11</t>
  </si>
  <si>
    <t>Timepriser i Rådhusservice 2011 og 2012</t>
  </si>
  <si>
    <t>Timepris</t>
  </si>
  <si>
    <t>Teknisk
 service</t>
  </si>
  <si>
    <r>
      <t>Normal timepris</t>
    </r>
    <r>
      <rPr>
        <sz val="14"/>
        <rFont val="Arial"/>
        <family val="2"/>
      </rPr>
      <t xml:space="preserve"> ved arrangementer mv.   Kl. 0600 - 1700 på hverdage</t>
    </r>
  </si>
  <si>
    <r>
      <t>Overarbejde 50 % timer</t>
    </r>
    <r>
      <rPr>
        <sz val="14"/>
        <rFont val="Arial"/>
        <family val="2"/>
      </rPr>
      <t xml:space="preserve"> ved arrangementer mv.</t>
    </r>
  </si>
  <si>
    <r>
      <t>Overarbejde 100 % timer</t>
    </r>
    <r>
      <rPr>
        <sz val="14"/>
        <rFont val="Arial"/>
        <family val="2"/>
      </rPr>
      <t xml:space="preserve"> ved arrangementer mv.</t>
    </r>
  </si>
  <si>
    <t>Socialcentre UDLEJNING af Betjente.</t>
  </si>
  <si>
    <t>Servering</t>
  </si>
  <si>
    <t>Borgmestre chauførrer, omvisninger og ved ad hoc opgaver.</t>
  </si>
  <si>
    <r>
      <t xml:space="preserve">Rundering: </t>
    </r>
    <r>
      <rPr>
        <sz val="14"/>
        <rFont val="Arial"/>
        <family val="2"/>
      </rPr>
      <t xml:space="preserve">Lukkertrækningens tidsforbrug på rundering incl. kørselstid. </t>
    </r>
  </si>
  <si>
    <t>Kr.450</t>
  </si>
  <si>
    <t>Alarm udrykning, afdækningsopgaver mv. pr. time</t>
  </si>
  <si>
    <t>Kr.600</t>
  </si>
  <si>
    <t>Afdækning pr. m2 (løbende meter) med armeret plast inkl. tape o.s.v.</t>
  </si>
  <si>
    <t>Afdækning pr. m2 (løbende meter) kanalplade inkl. tape o.s.v.</t>
  </si>
  <si>
    <t>Udlejning af personale til kantinen</t>
  </si>
  <si>
    <t>Postgang pr. time</t>
  </si>
  <si>
    <t>Post Ad hoc opgaver</t>
  </si>
  <si>
    <t>Frankering pr. brev</t>
  </si>
  <si>
    <t>Leje af et helt Dueslag pr. dag.</t>
  </si>
  <si>
    <t>Skanning pr. time</t>
  </si>
  <si>
    <t xml:space="preserve">Rådhusnøgler pr. stk. </t>
  </si>
  <si>
    <t xml:space="preserve">ID kort pr. stk. </t>
  </si>
  <si>
    <t>Rundvisning reelle udgifter</t>
  </si>
  <si>
    <t>Pr. næse</t>
  </si>
  <si>
    <t>Udgifter arbejdsløn 100 %</t>
  </si>
  <si>
    <t>Ugifter arbejdsløn 50 %</t>
  </si>
  <si>
    <t>Udgifter  arbejdsløn normaltimer</t>
  </si>
  <si>
    <t xml:space="preserve">KM tal på bilerne </t>
  </si>
  <si>
    <t>Juli</t>
  </si>
  <si>
    <t>August</t>
  </si>
  <si>
    <t>September</t>
  </si>
  <si>
    <t>Oktober</t>
  </si>
  <si>
    <t>November</t>
  </si>
  <si>
    <t>December</t>
  </si>
  <si>
    <t>Januar</t>
  </si>
  <si>
    <t>Februar</t>
  </si>
  <si>
    <t>Marts</t>
  </si>
  <si>
    <t>April</t>
  </si>
  <si>
    <t>Maj</t>
  </si>
  <si>
    <t>Juni</t>
  </si>
  <si>
    <r>
      <t xml:space="preserve">Bil 1  </t>
    </r>
    <r>
      <rPr>
        <sz val="10"/>
        <rFont val="Arial"/>
        <family val="2"/>
      </rPr>
      <t xml:space="preserve">      Mercedes Diesel   RX 90 790</t>
    </r>
  </si>
  <si>
    <r>
      <t xml:space="preserve">Bil 6 </t>
    </r>
    <r>
      <rPr>
        <sz val="10"/>
        <rFont val="Arial"/>
        <family val="2"/>
      </rPr>
      <t xml:space="preserve">  VW Caddy Diesel   VY 90 494</t>
    </r>
  </si>
  <si>
    <r>
      <t xml:space="preserve">Bil 7 </t>
    </r>
    <r>
      <rPr>
        <sz val="10"/>
        <rFont val="Arial"/>
        <family val="2"/>
      </rPr>
      <t xml:space="preserve"> Opel Zafira    Diesel   VZ 88 679</t>
    </r>
  </si>
  <si>
    <t xml:space="preserve">Leaset ved KTK. </t>
  </si>
  <si>
    <t>Start 7. april 2008</t>
  </si>
  <si>
    <t>Frikøbt</t>
  </si>
  <si>
    <t>Slut 7-04-13</t>
  </si>
  <si>
    <t>Diesel</t>
  </si>
  <si>
    <t>Kørt km pr. måned</t>
  </si>
  <si>
    <t>Kr pr. KM</t>
  </si>
  <si>
    <t xml:space="preserve">Mdl. 4520,- </t>
  </si>
  <si>
    <t>Lånebil Brændstof</t>
  </si>
  <si>
    <t>Brændstof i alt</t>
  </si>
  <si>
    <t>Vask mm.</t>
  </si>
  <si>
    <t>Kr.</t>
  </si>
  <si>
    <t>Max 35.000 km pr. år</t>
  </si>
  <si>
    <t>Brænsdtof kortnr.</t>
  </si>
  <si>
    <t>3612025 001</t>
  </si>
  <si>
    <t>6102289  742</t>
  </si>
  <si>
    <t>6102289  743</t>
  </si>
  <si>
    <t>Samlet</t>
  </si>
  <si>
    <r>
      <t xml:space="preserve">Bil 1  </t>
    </r>
    <r>
      <rPr>
        <sz val="10"/>
        <rFont val="Arial"/>
        <family val="2"/>
      </rPr>
      <t xml:space="preserve">     Transporter AW 93 794</t>
    </r>
  </si>
  <si>
    <r>
      <t xml:space="preserve">Bil 1  </t>
    </r>
    <r>
      <rPr>
        <sz val="10"/>
        <rFont val="Arial"/>
        <family val="2"/>
      </rPr>
      <t xml:space="preserve">     Wolksvagen   RX 90 790</t>
    </r>
  </si>
  <si>
    <t>Statistik for Rådhusvagten år 2012</t>
  </si>
  <si>
    <t>+ overtid (Ekstra vagt)</t>
  </si>
  <si>
    <t>+ Udlejningstimer</t>
  </si>
  <si>
    <t>+ B &amp; U</t>
  </si>
  <si>
    <t>- ferietimer</t>
  </si>
  <si>
    <t>- ferie fridags timer</t>
  </si>
  <si>
    <t>- sygetimer</t>
  </si>
  <si>
    <t>- Barns 1. Sygedag</t>
  </si>
  <si>
    <t>- afspadseringstimer</t>
  </si>
  <si>
    <t>- orlov</t>
  </si>
  <si>
    <t>- kursustimer</t>
  </si>
  <si>
    <t>- omsorgsdage (timer)</t>
  </si>
  <si>
    <t>Faktiske timer</t>
  </si>
  <si>
    <t>Års gennemsnit</t>
  </si>
  <si>
    <t>Overtid i % af faktiske timer</t>
  </si>
  <si>
    <t>Sygefravær i % af faktiske timer</t>
  </si>
  <si>
    <t>Barns 1. sygedag i % af fak. Timer</t>
  </si>
  <si>
    <t>Sygefravær i alt</t>
  </si>
  <si>
    <t>Sygefravær pr. kvartal</t>
  </si>
  <si>
    <t>Personaleafd. Tal</t>
  </si>
  <si>
    <t>Kursustimer i % af faktiske timer</t>
  </si>
  <si>
    <t>Afspadsering i % af fktiske timer</t>
  </si>
  <si>
    <t>Ferietimer i % af faktiske timer</t>
  </si>
  <si>
    <t xml:space="preserve">Fravær i alt i % </t>
  </si>
  <si>
    <t>Personaleomsætning</t>
  </si>
  <si>
    <t>Personale total</t>
  </si>
  <si>
    <t>Tilgang</t>
  </si>
  <si>
    <t>Afgang</t>
  </si>
  <si>
    <t>I procent</t>
  </si>
  <si>
    <t>I kavrtallet</t>
  </si>
  <si>
    <t>Runderings hændelser 2009</t>
  </si>
  <si>
    <t>Hændelses fordeling</t>
  </si>
  <si>
    <t>Kaffemaskiner &amp; Kogeplader slukket</t>
  </si>
  <si>
    <t>Lys (Lamper) slukket</t>
  </si>
  <si>
    <t>Vinduer lukket</t>
  </si>
  <si>
    <t>Låst dør</t>
  </si>
  <si>
    <t>Andet, levende lys</t>
  </si>
  <si>
    <t>Videre rapporteringer 2009</t>
  </si>
  <si>
    <t>Videre rapporteringer</t>
  </si>
  <si>
    <t>CTS alarmer</t>
  </si>
  <si>
    <t>Maskinmester</t>
  </si>
  <si>
    <t>Miljøkontrollen &amp; skadedyr</t>
  </si>
  <si>
    <t>Chaufførvagten</t>
  </si>
  <si>
    <t>Skolesupport</t>
  </si>
  <si>
    <t>Andet</t>
  </si>
  <si>
    <t>År 2012 priser for Rådhusvagten</t>
  </si>
  <si>
    <t>Note 1: Fordeling  af intern betalingsordning</t>
  </si>
  <si>
    <t>Årlig pris</t>
  </si>
  <si>
    <t xml:space="preserve">Note 2  Kontrakt kunder fast rundering </t>
  </si>
  <si>
    <t>Rådhuset</t>
  </si>
  <si>
    <t>Org. Nr.</t>
  </si>
  <si>
    <t>Bygningsnr.</t>
  </si>
  <si>
    <t>V og I dato</t>
  </si>
  <si>
    <t>Adresse</t>
  </si>
  <si>
    <t xml:space="preserve">Årlig pris  </t>
  </si>
  <si>
    <t>Fortsat</t>
  </si>
  <si>
    <t>ØK-KBS- Nørre Søgade 35</t>
  </si>
  <si>
    <t>Brønshøjvej 17 - 19, SOF</t>
  </si>
  <si>
    <t>747a</t>
  </si>
  <si>
    <t>Brønshøjvej 17 - 19, Sundhed</t>
  </si>
  <si>
    <t>KFF</t>
  </si>
  <si>
    <t>747b</t>
  </si>
  <si>
    <t>Brønshøjvej 17 - 19, Tandlæge</t>
  </si>
  <si>
    <t>Fordeling</t>
  </si>
  <si>
    <t>43,37 %</t>
  </si>
  <si>
    <t>Jemtelandgade 3 KKU</t>
  </si>
  <si>
    <t>BUF-Gasværksvej 22 (skole)</t>
  </si>
  <si>
    <t>18,16%</t>
  </si>
  <si>
    <t>Jemtelandgade 3 Kvarterløft</t>
  </si>
  <si>
    <t>64715</t>
  </si>
  <si>
    <t>Røde Mellemvej 52</t>
  </si>
  <si>
    <t>38,47 %</t>
  </si>
  <si>
    <t>Jemtelandgade 3 bibliotek</t>
  </si>
  <si>
    <t>37567</t>
  </si>
  <si>
    <t>Studsgårdsgade 55</t>
  </si>
  <si>
    <t>Spaniensgade 25</t>
  </si>
  <si>
    <t>1-2-12 til 31-7-12BUF skolesupport</t>
  </si>
  <si>
    <t xml:space="preserve">Remisevej 19 </t>
  </si>
  <si>
    <t>Amagerbrogade 150</t>
  </si>
  <si>
    <t>Miljøkontrollen (tlf. eksp.)</t>
  </si>
  <si>
    <t>Hvide Kødby</t>
  </si>
  <si>
    <t>BIF-Baldersgade 24</t>
  </si>
  <si>
    <t>Griffenfeldsgade 44</t>
  </si>
  <si>
    <t>740a</t>
  </si>
  <si>
    <t>BIF-Baldersgade 3B, 1. + 3. sal</t>
  </si>
  <si>
    <t>Kapelvej 47</t>
  </si>
  <si>
    <t>724 a</t>
  </si>
  <si>
    <t>Stormgade 18 (BUF)</t>
  </si>
  <si>
    <t>Bernstorffshus</t>
  </si>
  <si>
    <t>Enghavevej</t>
  </si>
  <si>
    <t>Vester Voldgade 87, 3. sal</t>
  </si>
  <si>
    <t>BUF-Linde Alle 40-44</t>
  </si>
  <si>
    <t>Rådhuspladsen 77, 1. sal</t>
  </si>
  <si>
    <t>BUF-Linde Alle 40-44(Dagpleje)</t>
  </si>
  <si>
    <t>Ottiliavej 1</t>
  </si>
  <si>
    <t>Den hvide kødby (vagtkørsel)</t>
  </si>
  <si>
    <t>18.553 pr. måned (Per sender regning hver måned)</t>
  </si>
  <si>
    <t>Hans Nansens Gård</t>
  </si>
  <si>
    <t>SUF</t>
  </si>
  <si>
    <t>Hornemanns Vænge 9</t>
  </si>
  <si>
    <t>4881 pr. måned(Per sender regning hver måned</t>
  </si>
  <si>
    <t>BIF</t>
  </si>
  <si>
    <t>SOF-Nørre Voldgade 15, 1. sal</t>
  </si>
  <si>
    <t>637 m2 af 28,19</t>
  </si>
  <si>
    <t>BUF</t>
  </si>
  <si>
    <t>SOF-Nørre Voldgade 15, 1.2.4.5.sal</t>
  </si>
  <si>
    <t>1890 m2 af 28,19</t>
  </si>
  <si>
    <t>TMF</t>
  </si>
  <si>
    <t>SOF-Nørre Voldgade 15, 5. sal</t>
  </si>
  <si>
    <t>58 m2 af 28,19</t>
  </si>
  <si>
    <t>SOF</t>
  </si>
  <si>
    <t>SOF-Linne Gade 16, i port 2</t>
  </si>
  <si>
    <t>130 m2 af 28,19</t>
  </si>
  <si>
    <t>ØKF</t>
  </si>
  <si>
    <t>BUF-Nørre Voldgade 15, 3.5. sal</t>
  </si>
  <si>
    <t>60% af 938 m2 af 28,19</t>
  </si>
  <si>
    <t>BR</t>
  </si>
  <si>
    <t>BUF-Frederiksborggade 15, 3.5. sal</t>
  </si>
  <si>
    <t>40% af 938 m2 af 28,19</t>
  </si>
  <si>
    <t>Posteres</t>
  </si>
  <si>
    <t>KFF biblioteker</t>
  </si>
  <si>
    <t>Forsættes i højre side</t>
  </si>
  <si>
    <t>Ydelser</t>
  </si>
  <si>
    <t>Faste kunder note 1</t>
  </si>
  <si>
    <t>Faste kunder note 2</t>
  </si>
  <si>
    <t>Faste kontrakter i alt</t>
  </si>
  <si>
    <t xml:space="preserve">B &amp; U </t>
  </si>
  <si>
    <t>Udlejning</t>
  </si>
  <si>
    <t>Kørsel til andre opgaver</t>
  </si>
  <si>
    <t>Arrangementer + BR møder</t>
  </si>
  <si>
    <t>Rådhusnøgler + ID kort og brik</t>
  </si>
  <si>
    <t>Omvisninger</t>
  </si>
  <si>
    <t>Omvisning</t>
  </si>
  <si>
    <t>Omvisninger Oplysningen</t>
  </si>
  <si>
    <t>Skolekørsel</t>
  </si>
  <si>
    <t>Valg</t>
  </si>
  <si>
    <t>Ad hoc i alt</t>
  </si>
  <si>
    <t>1201030 Refusion</t>
  </si>
  <si>
    <t>Indtægter i alt</t>
  </si>
  <si>
    <t>Lønudgifter</t>
  </si>
  <si>
    <t>Udgifter</t>
  </si>
  <si>
    <t>Resultat</t>
  </si>
  <si>
    <t>Statistik for Administration og arrangementsafdelingene år 2012</t>
  </si>
  <si>
    <t xml:space="preserve">+ Udlejningstimer </t>
  </si>
  <si>
    <t>Fast til Linnedstuen (Lønudgifter)</t>
  </si>
  <si>
    <t>Vinafregning</t>
  </si>
  <si>
    <t>Kantinehjælp</t>
  </si>
  <si>
    <t>Faste ydelser i alt</t>
  </si>
  <si>
    <t>Ad hoc opgaver (grønne sedler)</t>
  </si>
  <si>
    <t>For kantinen (Meyer)</t>
  </si>
  <si>
    <t>Indtægt linnedstuen</t>
  </si>
  <si>
    <t>Statistik for Skanning og Postservice år 2012</t>
  </si>
  <si>
    <t>År 2009 priser for Skanning og Postservice</t>
  </si>
  <si>
    <t>Note 1: Kontrakt og intern betalingsordning</t>
  </si>
  <si>
    <t>Note 2  Faste Postaftaler JF Postaftaleliste</t>
  </si>
  <si>
    <t>Claus Lahn KFF+20%</t>
  </si>
  <si>
    <t>Bemærkning</t>
  </si>
  <si>
    <t>TMF Preben Jans + 20%</t>
  </si>
  <si>
    <t>ØKF (Karsten Pøhl Nielsen aftale) inkl. skanning</t>
  </si>
  <si>
    <t>Berit Bavnbævn KFF + 20%</t>
  </si>
  <si>
    <t>ØKF Karsten Pøhl + 20 %</t>
  </si>
  <si>
    <t>Se post</t>
  </si>
  <si>
    <t xml:space="preserve">Øvrige </t>
  </si>
  <si>
    <t>Se Postkontrakter 2011 (Per)</t>
  </si>
  <si>
    <t>TMF Preben Elfenbein + 20%</t>
  </si>
  <si>
    <t>BUF (Karina Petersen)</t>
  </si>
  <si>
    <t>Koncern Service</t>
  </si>
  <si>
    <t>Faste kontrakter</t>
  </si>
  <si>
    <t>Frankering (stort beløb)</t>
  </si>
  <si>
    <t>Kørsel / Ad hoc opgaver</t>
  </si>
  <si>
    <t>Indscanning</t>
  </si>
  <si>
    <t>Lønudgift</t>
  </si>
  <si>
    <t>Diesel og diverse</t>
  </si>
  <si>
    <t>Leasing af biler</t>
  </si>
  <si>
    <t>Post Danmark</t>
  </si>
  <si>
    <t>Udgifter til afdelingen</t>
  </si>
  <si>
    <t>Leasing frankeringsmaskiner</t>
  </si>
  <si>
    <t>Udgifter frankering (lille beløb)</t>
  </si>
  <si>
    <t>Statistik for Teknikafdelingen år 2012</t>
  </si>
  <si>
    <t>År 2009 priser for Teknikafdelingen</t>
  </si>
  <si>
    <t>Budget indtægt</t>
  </si>
  <si>
    <t>Ad Hoc opgaver</t>
  </si>
  <si>
    <t>Lokale udlejning</t>
  </si>
  <si>
    <t xml:space="preserve">Tjenesteplan </t>
  </si>
  <si>
    <t>Juni - September</t>
  </si>
  <si>
    <t xml:space="preserve">Lørdag </t>
  </si>
  <si>
    <t>Vagtmestertjenester</t>
  </si>
  <si>
    <t>R</t>
  </si>
  <si>
    <t>10.00</t>
  </si>
  <si>
    <t xml:space="preserve">  7.45</t>
  </si>
  <si>
    <t>17.30</t>
  </si>
  <si>
    <t>14.45</t>
  </si>
  <si>
    <t>7½ t.</t>
  </si>
  <si>
    <t>7½</t>
  </si>
  <si>
    <t>7 t.</t>
  </si>
  <si>
    <t>37 t.</t>
  </si>
  <si>
    <t>Tidlig</t>
  </si>
  <si>
    <t xml:space="preserve">  9.30</t>
  </si>
  <si>
    <t xml:space="preserve">  9.00</t>
  </si>
  <si>
    <t>15.00</t>
  </si>
  <si>
    <t>14.00</t>
  </si>
  <si>
    <t>71/4 t</t>
  </si>
  <si>
    <t>71/4 t.</t>
  </si>
  <si>
    <t>71/4</t>
  </si>
  <si>
    <t>8 t.</t>
  </si>
  <si>
    <t>Fleks</t>
  </si>
  <si>
    <t>O.Omviser</t>
  </si>
  <si>
    <t xml:space="preserve">  8.30</t>
  </si>
  <si>
    <t>8.30</t>
  </si>
  <si>
    <t>16.00</t>
  </si>
  <si>
    <t>37½ t.</t>
  </si>
  <si>
    <t>U. Ur</t>
  </si>
  <si>
    <t>6½ t.</t>
  </si>
  <si>
    <t>36½ t.</t>
  </si>
  <si>
    <t>Statistik for Rådhusvagten år 2011</t>
  </si>
  <si>
    <t>År 2011 priser for Rådhusvagten</t>
  </si>
  <si>
    <t>70.717 for helt år</t>
  </si>
  <si>
    <t>57.480 for helt år</t>
  </si>
  <si>
    <t>H.C.A Boulevard 25. 3 sal</t>
  </si>
  <si>
    <t>28.743 for helt år</t>
  </si>
  <si>
    <t>40912 for helt år</t>
  </si>
  <si>
    <t>Stormgade 18 kld, stue, 1.sal (BUF)</t>
  </si>
  <si>
    <t>17.850 pr. måned (Per sender regning hver måned)</t>
  </si>
  <si>
    <t>Ingen stigning i 2011</t>
  </si>
  <si>
    <t>4790 pr. måned(Per sender regning hver måned</t>
  </si>
  <si>
    <t>2% stigning i 2011</t>
  </si>
  <si>
    <t>Sær/Omvisninger</t>
  </si>
  <si>
    <t>Omvisninger/Oplysningen</t>
  </si>
  <si>
    <t>Sær/Omvisning</t>
  </si>
  <si>
    <r>
      <t> 23.452</t>
    </r>
    <r>
      <rPr>
        <sz val="8"/>
        <color indexed="12"/>
        <rFont val="Arial"/>
        <family val="2"/>
      </rPr>
      <t> </t>
    </r>
    <r>
      <rPr>
        <sz val="8"/>
        <rFont val="Arial"/>
        <family val="2"/>
      </rPr>
      <t xml:space="preserve"> </t>
    </r>
  </si>
  <si>
    <t>Statistik for Administration og arrangementsafdelingene år 2011</t>
  </si>
  <si>
    <t>Vinkælder (½ årsværk)</t>
  </si>
  <si>
    <t>Statistik for Skanning og Postservice år 2011</t>
  </si>
  <si>
    <t>Frankering</t>
  </si>
  <si>
    <t>Udgifter (mest porto)</t>
  </si>
  <si>
    <t>Statistik for Teknikafdelingen år 2011</t>
  </si>
  <si>
    <t>Bryllupper</t>
  </si>
  <si>
    <t>Alm. Bryllupper</t>
  </si>
  <si>
    <t>Gæster</t>
  </si>
  <si>
    <t>Andre bryllupper på huset</t>
  </si>
  <si>
    <t xml:space="preserve"> i alt</t>
  </si>
  <si>
    <t>Statistik for Rådhusvagten år 2010</t>
  </si>
  <si>
    <t>År 2010 priser for Rådhusvagten</t>
  </si>
  <si>
    <t>Brønshøjvej 17 - 19, FAF</t>
  </si>
  <si>
    <t>Vester Voldgade 87, 1+2. sal</t>
  </si>
  <si>
    <t>Islands Brygge 37</t>
  </si>
  <si>
    <t>54100(16)</t>
  </si>
  <si>
    <t>Kejd leje af betjent</t>
  </si>
  <si>
    <t>Njalsgade 13 - 15</t>
  </si>
  <si>
    <t>724 b</t>
  </si>
  <si>
    <t>Stormgade 18 kld, 2.sal (ØKF)</t>
  </si>
  <si>
    <t>Slut 30-6-2010</t>
  </si>
  <si>
    <t>H.C.A Boulevard 2. +3 sal</t>
  </si>
  <si>
    <t>Nørrevoldgade 15</t>
  </si>
  <si>
    <t>Baldersgade 24</t>
  </si>
  <si>
    <t>Baldersgade 3B, 1. + 3. sal</t>
  </si>
  <si>
    <t>Ottiliavej</t>
  </si>
  <si>
    <t>Rådhusnøgler + ID kort</t>
  </si>
  <si>
    <t>Statistik for Administration og arrangementsafdelingene år 2010</t>
  </si>
  <si>
    <t>Statistik for Skanning og Postservice år 2010</t>
  </si>
  <si>
    <t>Claus Lahn KFF</t>
  </si>
  <si>
    <t>Overlag på 20 % ??</t>
  </si>
  <si>
    <t>TMF Preben Jans KFF</t>
  </si>
  <si>
    <t>TMF skal betale</t>
  </si>
  <si>
    <t xml:space="preserve">Berit Bavnbævn KFF </t>
  </si>
  <si>
    <t>KS</t>
  </si>
  <si>
    <t>Se Postkontrakter 2009 (Werner)</t>
  </si>
  <si>
    <t>Start 1/4-2007</t>
  </si>
  <si>
    <t>Start</t>
  </si>
  <si>
    <t>Statistik for Teknikafdelingen år 2010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</si>
  <si>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</si>
  <si>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</si>
  <si>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</si>
  <si>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</si>
  <si>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</si>
  <si>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</si>
  <si>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</si>
  <si>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</si>
  <si>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</si>
  <si>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</si>
  <si>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</si>
  <si>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</si>
  <si>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</si>
  <si>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</si>
  <si>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</si>
  <si>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</si>
  <si>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</si>
  <si>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</si>
  <si>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</si>
  <si>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</si>
  <si>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</si>
  <si>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Rådhusvagten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</si>
  <si>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</si>
  <si>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</si>
  <si>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</si>
  <si>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</si>
  <si>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</si>
  <si>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</si>
  <si>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</si>
  <si>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</si>
  <si>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</si>
  <si>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</si>
  <si>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KH</t>
  </si>
  <si>
    <t>Teknisk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</si>
</sst>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&quot;kr&quot;\ * #,##0_);_(&quot;kr&quot;\ * \(#,##0\);_(&quot;kr&quot;\ * &quot;-&quot;_);_(@_)"/>
    <numFmt numFmtId="165" formatCode="_(* #,##0_);_(* \(#,##0\);_(* &quot;-&quot;_);_(@_)"/>
    <numFmt numFmtId="166" formatCode="_(&quot;kr&quot;\ * #,##0.00_);_(&quot;kr&quot;\ * \(#,##0.00\);_(&quot;kr&quot;\ * &quot;-&quot;??_);_(@_)"/>
    <numFmt numFmtId="167" formatCode="_(* #,##0.00_);_(* \(#,##0.00\);_(* &quot;-&quot;??_);_(@_)"/>
    <numFmt numFmtId="168" formatCode="mm/yy"/>
    <numFmt numFmtId="169" formatCode="0.0"/>
    <numFmt numFmtId="170" formatCode="#,##0.0"/>
    <numFmt numFmtId="171" formatCode="_(&quot;kr &quot;* #,##0.00_);_(&quot;kr &quot;* \(#,##0.00\);_(&quot;kr &quot;* \-??_);_(@_)"/>
    <numFmt numFmtId="172" formatCode="&quot;kr &quot;#,##0_);[Red]&quot;(kr &quot;#,##0\)"/>
    <numFmt numFmtId="173" formatCode="dd/mm/yy;@"/>
    <numFmt numFmtId="174" formatCode="_(&quot;kr &quot;* #,##0_);_(&quot;kr &quot;* \(#,##0\);_(&quot;kr &quot;* \-_);_(@_)"/>
    <numFmt numFmtId="175" formatCode="_(* #,##0.00_);_(* \(#,##0.00\);_(* \-??_);_(@_)"/>
    <numFmt numFmtId="176" formatCode="&quot;kr &quot;#,##0"/>
    <numFmt numFmtId="177" formatCode="_(* #,##0_);_(* \(#,##0\);_(* \-_);_(@_)"/>
    <numFmt numFmtId="178" formatCode="&quot;kr&quot;\ #,##0"/>
  </numFmts>
  <fonts count="76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sz val="10"/>
      <color indexed="63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indexed="52"/>
      <name val="Arial"/>
      <family val="2"/>
    </font>
    <font>
      <sz val="10"/>
      <color indexed="10"/>
      <name val="Arial"/>
      <family val="2"/>
    </font>
    <font>
      <sz val="9"/>
      <color indexed="8"/>
      <name val="Arial"/>
      <family val="2"/>
    </font>
    <font>
      <sz val="9"/>
      <color indexed="63"/>
      <name val="Arial"/>
      <family val="2"/>
    </font>
    <font>
      <sz val="9"/>
      <name val="Arial"/>
      <family val="2"/>
      <charset val="1"/>
    </font>
    <font>
      <b/>
      <sz val="1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b/>
      <sz val="10"/>
      <color indexed="25"/>
      <name val="Arial"/>
      <family val="2"/>
    </font>
    <font>
      <sz val="10"/>
      <color indexed="12"/>
      <name val="Arial"/>
      <family val="2"/>
    </font>
    <font>
      <sz val="12"/>
      <color indexed="8"/>
      <name val="Times New Roman"/>
      <family val="1"/>
    </font>
    <font>
      <b/>
      <sz val="10"/>
      <color indexed="48"/>
      <name val="Arial"/>
      <family val="2"/>
    </font>
    <font>
      <b/>
      <sz val="10"/>
      <color indexed="10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8"/>
      <color indexed="10"/>
      <name val="Arial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8"/>
      <name val="Arial"/>
      <family val="2"/>
    </font>
    <font>
      <b/>
      <sz val="10"/>
      <color indexed="61"/>
      <name val="Arial"/>
      <family val="2"/>
    </font>
    <font>
      <sz val="8"/>
      <color indexed="12"/>
      <name val="Arial"/>
      <family val="2"/>
    </font>
    <font>
      <sz val="12"/>
      <name val="Arial"/>
      <family val="2"/>
    </font>
    <font>
      <sz val="16"/>
      <name val="Arial"/>
      <family val="2"/>
    </font>
    <font>
      <sz val="12"/>
      <color indexed="10"/>
      <name val="Arial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sz val="9"/>
      <color indexed="14"/>
      <name val="Arial"/>
      <family val="2"/>
    </font>
    <font>
      <sz val="9"/>
      <color indexed="10"/>
      <name val="Arial"/>
      <family val="2"/>
    </font>
    <font>
      <sz val="10"/>
      <color rgb="FFFF0000"/>
      <name val="Arial"/>
      <family val="2"/>
    </font>
    <font>
      <sz val="9"/>
      <color theme="1"/>
      <name val="Arial"/>
      <family val="2"/>
    </font>
  </fonts>
  <fills count="10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55"/>
        <bgColor indexed="23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3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66CCFF"/>
        <bgColor indexed="64"/>
      </patternFill>
    </fill>
  </fills>
  <borders count="16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7" borderId="0" applyNumberFormat="0" applyBorder="0" applyAlignment="0" applyProtection="0"/>
    <xf numFmtId="0" fontId="44" fillId="8" borderId="0" applyNumberFormat="0" applyBorder="0" applyAlignment="0" applyProtection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5" borderId="0" applyNumberFormat="0" applyBorder="0" applyAlignment="0" applyProtection="0"/>
    <xf numFmtId="0" fontId="44" fillId="8" borderId="0" applyNumberFormat="0" applyBorder="0" applyAlignment="0" applyProtection="0"/>
    <xf numFmtId="0" fontId="44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6" fillId="0" borderId="0" applyNumberFormat="0" applyFill="0" applyBorder="0" applyAlignment="0" applyProtection="0"/>
    <xf numFmtId="0" fontId="1" fillId="16" borderId="1" applyNumberFormat="0" applyFont="0" applyAlignment="0" applyProtection="0"/>
    <xf numFmtId="0" fontId="47" fillId="17" borderId="2" applyNumberFormat="0" applyAlignment="0" applyProtection="0"/>
    <xf numFmtId="0" fontId="48" fillId="0" borderId="0" applyNumberFormat="0" applyFill="0" applyBorder="0" applyAlignment="0" applyProtection="0"/>
    <xf numFmtId="0" fontId="49" fillId="4" borderId="0" applyNumberFormat="0" applyBorder="0" applyAlignment="0" applyProtection="0"/>
    <xf numFmtId="0" fontId="50" fillId="7" borderId="2" applyNumberFormat="0" applyAlignment="0" applyProtection="0"/>
    <xf numFmtId="0" fontId="51" fillId="18" borderId="3" applyNumberFormat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22" borderId="0" applyNumberFormat="0" applyBorder="0" applyAlignment="0" applyProtection="0"/>
    <xf numFmtId="0" fontId="52" fillId="23" borderId="0" applyNumberFormat="0" applyBorder="0" applyAlignment="0" applyProtection="0"/>
    <xf numFmtId="0" fontId="1" fillId="0" borderId="0"/>
    <xf numFmtId="0" fontId="1" fillId="0" borderId="0"/>
    <xf numFmtId="0" fontId="53" fillId="17" borderId="4" applyNumberFormat="0" applyAlignment="0" applyProtection="0"/>
    <xf numFmtId="0" fontId="54" fillId="0" borderId="5" applyNumberFormat="0" applyFill="0" applyAlignment="0" applyProtection="0"/>
    <xf numFmtId="0" fontId="55" fillId="0" borderId="6" applyNumberFormat="0" applyFill="0" applyAlignment="0" applyProtection="0"/>
    <xf numFmtId="0" fontId="56" fillId="0" borderId="7" applyNumberFormat="0" applyFill="0" applyAlignment="0" applyProtection="0"/>
    <xf numFmtId="0" fontId="56" fillId="0" borderId="0" applyNumberFormat="0" applyFill="0" applyBorder="0" applyAlignment="0" applyProtection="0"/>
    <xf numFmtId="0" fontId="57" fillId="0" borderId="8" applyNumberFormat="0" applyFill="0" applyAlignment="0" applyProtection="0"/>
    <xf numFmtId="0" fontId="58" fillId="0" borderId="0" applyNumberFormat="0" applyFill="0" applyBorder="0" applyAlignment="0" applyProtection="0"/>
    <xf numFmtId="0" fontId="59" fillId="0" borderId="9" applyNumberFormat="0" applyFill="0" applyAlignment="0" applyProtection="0"/>
    <xf numFmtId="0" fontId="60" fillId="3" borderId="0" applyNumberFormat="0" applyBorder="0" applyAlignment="0" applyProtection="0"/>
  </cellStyleXfs>
  <cellXfs count="1803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0" borderId="12" xfId="0" applyBorder="1"/>
    <xf numFmtId="0" fontId="4" fillId="0" borderId="13" xfId="0" applyFont="1" applyBorder="1" applyAlignment="1">
      <alignment horizontal="left"/>
    </xf>
    <xf numFmtId="0" fontId="2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0" fillId="0" borderId="17" xfId="0" applyBorder="1"/>
    <xf numFmtId="0" fontId="4" fillId="0" borderId="18" xfId="0" applyFont="1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4" fillId="0" borderId="23" xfId="0" applyFont="1" applyBorder="1" applyAlignment="1">
      <alignment horizontal="left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0" fillId="0" borderId="26" xfId="0" applyBorder="1"/>
    <xf numFmtId="0" fontId="4" fillId="0" borderId="27" xfId="0" applyFont="1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3" xfId="0" applyFont="1" applyBorder="1" applyAlignment="1">
      <alignment horizontal="left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5" fillId="0" borderId="23" xfId="0" applyFont="1" applyBorder="1" applyAlignment="1">
      <alignment horizontal="left"/>
    </xf>
    <xf numFmtId="0" fontId="0" fillId="0" borderId="14" xfId="0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8" xfId="0" applyFont="1" applyBorder="1" applyAlignment="1">
      <alignment horizontal="left"/>
    </xf>
    <xf numFmtId="0" fontId="0" fillId="0" borderId="10" xfId="0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0" fillId="25" borderId="11" xfId="0" applyFill="1" applyBorder="1" applyAlignment="1">
      <alignment horizontal="center"/>
    </xf>
    <xf numFmtId="0" fontId="0" fillId="25" borderId="11" xfId="0" applyFill="1" applyBorder="1"/>
    <xf numFmtId="0" fontId="0" fillId="0" borderId="11" xfId="0" applyBorder="1"/>
    <xf numFmtId="0" fontId="0" fillId="0" borderId="13" xfId="0" applyBorder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/>
    <xf numFmtId="0" fontId="0" fillId="0" borderId="11" xfId="0" applyBorder="1" applyAlignment="1">
      <alignment horizontal="left"/>
    </xf>
    <xf numFmtId="0" fontId="0" fillId="0" borderId="31" xfId="0" applyBorder="1"/>
    <xf numFmtId="0" fontId="0" fillId="0" borderId="30" xfId="0" applyBorder="1"/>
    <xf numFmtId="0" fontId="0" fillId="0" borderId="33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center"/>
    </xf>
    <xf numFmtId="0" fontId="0" fillId="0" borderId="36" xfId="0" applyBorder="1"/>
    <xf numFmtId="0" fontId="2" fillId="0" borderId="0" xfId="0" applyFont="1" applyAlignment="1" applyProtection="1">
      <alignment horizontal="left"/>
      <protection locked="0"/>
    </xf>
    <xf numFmtId="0" fontId="2" fillId="0" borderId="37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0" fillId="0" borderId="39" xfId="0" applyBorder="1"/>
    <xf numFmtId="0" fontId="4" fillId="0" borderId="40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5" fillId="0" borderId="22" xfId="0" applyFont="1" applyBorder="1" applyAlignment="1">
      <alignment horizontal="left"/>
    </xf>
    <xf numFmtId="0" fontId="4" fillId="0" borderId="0" xfId="0" applyFont="1"/>
    <xf numFmtId="0" fontId="0" fillId="24" borderId="36" xfId="0" applyFill="1" applyBorder="1" applyAlignment="1">
      <alignment horizontal="center"/>
    </xf>
    <xf numFmtId="0" fontId="5" fillId="0" borderId="36" xfId="0" applyFont="1" applyBorder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0" fillId="24" borderId="14" xfId="0" applyFill="1" applyBorder="1" applyAlignment="1">
      <alignment horizontal="left"/>
    </xf>
    <xf numFmtId="0" fontId="0" fillId="26" borderId="15" xfId="0" applyFill="1" applyBorder="1" applyAlignment="1">
      <alignment horizontal="center"/>
    </xf>
    <xf numFmtId="0" fontId="0" fillId="27" borderId="11" xfId="0" applyFill="1" applyBorder="1" applyAlignment="1">
      <alignment horizontal="center"/>
    </xf>
    <xf numFmtId="0" fontId="5" fillId="27" borderId="11" xfId="0" applyFont="1" applyFill="1" applyBorder="1" applyAlignment="1">
      <alignment horizontal="center"/>
    </xf>
    <xf numFmtId="0" fontId="5" fillId="27" borderId="31" xfId="0" applyFont="1" applyFill="1" applyBorder="1" applyAlignment="1">
      <alignment horizontal="center"/>
    </xf>
    <xf numFmtId="0" fontId="0" fillId="28" borderId="0" xfId="0" applyFill="1"/>
    <xf numFmtId="0" fontId="2" fillId="0" borderId="32" xfId="0" applyFont="1" applyBorder="1" applyAlignment="1">
      <alignment horizontal="left"/>
    </xf>
    <xf numFmtId="0" fontId="0" fillId="26" borderId="41" xfId="0" applyFill="1" applyBorder="1" applyAlignment="1">
      <alignment horizontal="center"/>
    </xf>
    <xf numFmtId="0" fontId="0" fillId="27" borderId="30" xfId="0" applyFill="1" applyBorder="1" applyAlignment="1">
      <alignment horizontal="center"/>
    </xf>
    <xf numFmtId="0" fontId="5" fillId="27" borderId="20" xfId="0" applyFont="1" applyFill="1" applyBorder="1" applyAlignment="1">
      <alignment horizontal="center"/>
    </xf>
    <xf numFmtId="0" fontId="5" fillId="27" borderId="21" xfId="0" applyFont="1" applyFill="1" applyBorder="1" applyAlignment="1">
      <alignment horizontal="center"/>
    </xf>
    <xf numFmtId="0" fontId="5" fillId="0" borderId="42" xfId="0" applyFont="1" applyBorder="1" applyAlignment="1">
      <alignment horizontal="left"/>
    </xf>
    <xf numFmtId="0" fontId="0" fillId="29" borderId="0" xfId="0" applyFill="1"/>
    <xf numFmtId="0" fontId="0" fillId="0" borderId="10" xfId="0" applyBorder="1" applyAlignment="1">
      <alignment horizontal="left"/>
    </xf>
    <xf numFmtId="0" fontId="5" fillId="25" borderId="11" xfId="0" applyFont="1" applyFill="1" applyBorder="1" applyAlignment="1">
      <alignment horizontal="center"/>
    </xf>
    <xf numFmtId="0" fontId="5" fillId="25" borderId="31" xfId="0" applyFont="1" applyFill="1" applyBorder="1" applyAlignment="1">
      <alignment horizontal="center"/>
    </xf>
    <xf numFmtId="0" fontId="0" fillId="26" borderId="0" xfId="0" applyFill="1"/>
    <xf numFmtId="0" fontId="5" fillId="25" borderId="20" xfId="0" applyFont="1" applyFill="1" applyBorder="1" applyAlignment="1">
      <alignment horizontal="center"/>
    </xf>
    <xf numFmtId="0" fontId="5" fillId="25" borderId="21" xfId="0" applyFont="1" applyFill="1" applyBorder="1" applyAlignment="1">
      <alignment horizontal="center"/>
    </xf>
    <xf numFmtId="0" fontId="0" fillId="30" borderId="0" xfId="0" applyFill="1"/>
    <xf numFmtId="0" fontId="0" fillId="24" borderId="10" xfId="0" applyFill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6" fillId="31" borderId="0" xfId="0" applyFont="1" applyFill="1"/>
    <xf numFmtId="0" fontId="0" fillId="0" borderId="14" xfId="0" applyBorder="1" applyAlignment="1">
      <alignment horizontal="left"/>
    </xf>
    <xf numFmtId="0" fontId="0" fillId="24" borderId="0" xfId="0" applyFill="1"/>
    <xf numFmtId="0" fontId="0" fillId="25" borderId="0" xfId="0" applyFill="1"/>
    <xf numFmtId="0" fontId="0" fillId="29" borderId="11" xfId="0" applyFill="1" applyBorder="1" applyAlignment="1">
      <alignment horizontal="center"/>
    </xf>
    <xf numFmtId="0" fontId="0" fillId="27" borderId="0" xfId="0" applyFill="1"/>
    <xf numFmtId="0" fontId="0" fillId="29" borderId="20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30" borderId="30" xfId="0" applyFill="1" applyBorder="1" applyAlignment="1">
      <alignment horizontal="center"/>
    </xf>
    <xf numFmtId="0" fontId="6" fillId="31" borderId="15" xfId="0" applyFont="1" applyFill="1" applyBorder="1" applyAlignment="1">
      <alignment horizontal="center"/>
    </xf>
    <xf numFmtId="0" fontId="6" fillId="31" borderId="16" xfId="0" applyFont="1" applyFill="1" applyBorder="1"/>
    <xf numFmtId="0" fontId="6" fillId="31" borderId="30" xfId="0" applyFont="1" applyFill="1" applyBorder="1" applyAlignment="1">
      <alignment horizontal="center"/>
    </xf>
    <xf numFmtId="0" fontId="6" fillId="31" borderId="35" xfId="0" applyFont="1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5" fillId="24" borderId="31" xfId="0" applyFont="1" applyFill="1" applyBorder="1" applyAlignment="1">
      <alignment horizontal="center"/>
    </xf>
    <xf numFmtId="0" fontId="2" fillId="0" borderId="43" xfId="0" applyFont="1" applyBorder="1"/>
    <xf numFmtId="0" fontId="0" fillId="24" borderId="20" xfId="0" applyFill="1" applyBorder="1" applyAlignment="1">
      <alignment horizontal="center"/>
    </xf>
    <xf numFmtId="0" fontId="5" fillId="24" borderId="21" xfId="0" applyFont="1" applyFill="1" applyBorder="1" applyAlignment="1">
      <alignment horizontal="center"/>
    </xf>
    <xf numFmtId="0" fontId="0" fillId="28" borderId="11" xfId="0" applyFill="1" applyBorder="1" applyAlignment="1">
      <alignment horizontal="center"/>
    </xf>
    <xf numFmtId="0" fontId="2" fillId="0" borderId="19" xfId="0" applyFont="1" applyBorder="1"/>
    <xf numFmtId="0" fontId="0" fillId="28" borderId="30" xfId="0" applyFill="1" applyBorder="1" applyAlignment="1">
      <alignment horizontal="center"/>
    </xf>
    <xf numFmtId="0" fontId="0" fillId="26" borderId="20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44" xfId="0" applyBorder="1" applyAlignment="1">
      <alignment horizontal="left"/>
    </xf>
    <xf numFmtId="0" fontId="0" fillId="0" borderId="17" xfId="0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5" fillId="0" borderId="41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24" xfId="0" applyBorder="1" applyAlignment="1">
      <alignment horizontal="center"/>
    </xf>
    <xf numFmtId="0" fontId="0" fillId="0" borderId="20" xfId="0" applyBorder="1"/>
    <xf numFmtId="0" fontId="5" fillId="0" borderId="0" xfId="0" applyFont="1" applyAlignment="1">
      <alignment horizontal="center"/>
    </xf>
    <xf numFmtId="0" fontId="5" fillId="0" borderId="30" xfId="0" applyFont="1" applyBorder="1" applyAlignment="1">
      <alignment horizontal="center"/>
    </xf>
    <xf numFmtId="0" fontId="0" fillId="24" borderId="35" xfId="0" applyFill="1" applyBorder="1" applyAlignment="1">
      <alignment horizontal="center"/>
    </xf>
    <xf numFmtId="0" fontId="5" fillId="0" borderId="34" xfId="0" applyFont="1" applyBorder="1" applyAlignment="1">
      <alignment horizontal="left"/>
    </xf>
    <xf numFmtId="0" fontId="0" fillId="0" borderId="43" xfId="0" applyBorder="1" applyAlignment="1">
      <alignment horizontal="center"/>
    </xf>
    <xf numFmtId="0" fontId="0" fillId="0" borderId="52" xfId="0" applyBorder="1" applyAlignment="1">
      <alignment horizontal="center"/>
    </xf>
    <xf numFmtId="0" fontId="5" fillId="0" borderId="52" xfId="0" applyFont="1" applyBorder="1" applyAlignment="1">
      <alignment horizontal="left"/>
    </xf>
    <xf numFmtId="0" fontId="2" fillId="0" borderId="43" xfId="0" applyFont="1" applyBorder="1" applyAlignment="1">
      <alignment horizontal="left"/>
    </xf>
    <xf numFmtId="0" fontId="0" fillId="0" borderId="53" xfId="0" applyBorder="1" applyAlignment="1">
      <alignment horizontal="center"/>
    </xf>
    <xf numFmtId="0" fontId="0" fillId="24" borderId="30" xfId="0" applyFill="1" applyBorder="1" applyAlignment="1">
      <alignment horizontal="center"/>
    </xf>
    <xf numFmtId="0" fontId="2" fillId="0" borderId="21" xfId="0" applyFont="1" applyBorder="1" applyAlignment="1">
      <alignment horizontal="left"/>
    </xf>
    <xf numFmtId="0" fontId="2" fillId="0" borderId="5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6" xfId="0" applyBorder="1"/>
    <xf numFmtId="0" fontId="0" fillId="24" borderId="15" xfId="0" applyFill="1" applyBorder="1" applyAlignment="1">
      <alignment horizontal="center"/>
    </xf>
    <xf numFmtId="0" fontId="0" fillId="0" borderId="44" xfId="0" applyBorder="1"/>
    <xf numFmtId="2" fontId="0" fillId="0" borderId="46" xfId="0" applyNumberFormat="1" applyBorder="1"/>
    <xf numFmtId="0" fontId="0" fillId="0" borderId="47" xfId="0" applyBorder="1"/>
    <xf numFmtId="0" fontId="0" fillId="0" borderId="56" xfId="0" applyBorder="1"/>
    <xf numFmtId="2" fontId="0" fillId="24" borderId="57" xfId="0" applyNumberFormat="1" applyFill="1" applyBorder="1"/>
    <xf numFmtId="2" fontId="0" fillId="0" borderId="0" xfId="0" applyNumberFormat="1"/>
    <xf numFmtId="2" fontId="0" fillId="0" borderId="56" xfId="0" applyNumberFormat="1" applyBorder="1"/>
    <xf numFmtId="0" fontId="4" fillId="0" borderId="42" xfId="0" applyFont="1" applyBorder="1" applyAlignment="1">
      <alignment horizontal="left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34" xfId="0" applyFont="1" applyBorder="1" applyAlignment="1">
      <alignment horizontal="left"/>
    </xf>
    <xf numFmtId="0" fontId="6" fillId="32" borderId="15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2" fontId="0" fillId="0" borderId="46" xfId="0" applyNumberFormat="1" applyBorder="1" applyAlignment="1">
      <alignment horizontal="center"/>
    </xf>
    <xf numFmtId="0" fontId="5" fillId="0" borderId="11" xfId="0" applyFont="1" applyBorder="1"/>
    <xf numFmtId="0" fontId="0" fillId="0" borderId="58" xfId="0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9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7" fillId="0" borderId="28" xfId="0" applyFont="1" applyBorder="1" applyAlignment="1">
      <alignment horizontal="left"/>
    </xf>
    <xf numFmtId="0" fontId="4" fillId="24" borderId="60" xfId="0" applyFont="1" applyFill="1" applyBorder="1"/>
    <xf numFmtId="0" fontId="2" fillId="0" borderId="61" xfId="0" applyFont="1" applyBorder="1"/>
    <xf numFmtId="0" fontId="5" fillId="0" borderId="49" xfId="0" applyFont="1" applyBorder="1" applyAlignment="1">
      <alignment horizontal="center"/>
    </xf>
    <xf numFmtId="0" fontId="5" fillId="0" borderId="52" xfId="0" applyFont="1" applyBorder="1" applyAlignment="1">
      <alignment horizontal="center"/>
    </xf>
    <xf numFmtId="0" fontId="4" fillId="24" borderId="42" xfId="0" applyFont="1" applyFill="1" applyBorder="1" applyAlignment="1">
      <alignment horizontal="left"/>
    </xf>
    <xf numFmtId="0" fontId="2" fillId="0" borderId="61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24" borderId="51" xfId="0" applyFont="1" applyFill="1" applyBorder="1" applyAlignment="1">
      <alignment horizontal="left"/>
    </xf>
    <xf numFmtId="0" fontId="4" fillId="24" borderId="13" xfId="0" applyFont="1" applyFill="1" applyBorder="1" applyAlignment="1">
      <alignment horizontal="left"/>
    </xf>
    <xf numFmtId="0" fontId="2" fillId="0" borderId="58" xfId="0" applyFont="1" applyBorder="1"/>
    <xf numFmtId="0" fontId="5" fillId="0" borderId="46" xfId="0" applyFont="1" applyBorder="1"/>
    <xf numFmtId="0" fontId="4" fillId="24" borderId="59" xfId="0" applyFont="1" applyFill="1" applyBorder="1" applyAlignment="1">
      <alignment horizontal="left"/>
    </xf>
    <xf numFmtId="0" fontId="5" fillId="0" borderId="49" xfId="0" applyFont="1" applyBorder="1"/>
    <xf numFmtId="0" fontId="4" fillId="0" borderId="11" xfId="0" applyFont="1" applyBorder="1"/>
    <xf numFmtId="0" fontId="4" fillId="0" borderId="58" xfId="0" applyFont="1" applyBorder="1"/>
    <xf numFmtId="0" fontId="0" fillId="0" borderId="59" xfId="0" applyBorder="1"/>
    <xf numFmtId="0" fontId="5" fillId="0" borderId="11" xfId="0" applyFont="1" applyBorder="1" applyAlignment="1">
      <alignment horizontal="left"/>
    </xf>
    <xf numFmtId="0" fontId="5" fillId="0" borderId="46" xfId="0" applyFont="1" applyBorder="1" applyAlignment="1">
      <alignment horizontal="left"/>
    </xf>
    <xf numFmtId="0" fontId="5" fillId="0" borderId="30" xfId="0" applyFont="1" applyBorder="1"/>
    <xf numFmtId="0" fontId="5" fillId="0" borderId="30" xfId="0" applyFont="1" applyBorder="1" applyAlignment="1">
      <alignment horizontal="left"/>
    </xf>
    <xf numFmtId="0" fontId="0" fillId="0" borderId="62" xfId="0" applyBorder="1" applyAlignment="1">
      <alignment horizontal="center"/>
    </xf>
    <xf numFmtId="0" fontId="5" fillId="24" borderId="62" xfId="0" applyFont="1" applyFill="1" applyBorder="1" applyAlignment="1">
      <alignment horizontal="center"/>
    </xf>
    <xf numFmtId="0" fontId="0" fillId="0" borderId="62" xfId="0" applyBorder="1"/>
    <xf numFmtId="0" fontId="2" fillId="0" borderId="49" xfId="0" applyFont="1" applyBorder="1" applyAlignment="1">
      <alignment horizontal="center"/>
    </xf>
    <xf numFmtId="0" fontId="5" fillId="0" borderId="51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5" fillId="0" borderId="62" xfId="0" applyFont="1" applyBorder="1" applyAlignment="1">
      <alignment horizontal="center"/>
    </xf>
    <xf numFmtId="0" fontId="5" fillId="0" borderId="62" xfId="0" applyFont="1" applyBorder="1" applyAlignment="1">
      <alignment horizontal="left"/>
    </xf>
    <xf numFmtId="0" fontId="6" fillId="32" borderId="46" xfId="0" applyFont="1" applyFill="1" applyBorder="1" applyAlignment="1">
      <alignment horizontal="center"/>
    </xf>
    <xf numFmtId="0" fontId="2" fillId="0" borderId="24" xfId="0" applyFont="1" applyBorder="1" applyAlignment="1">
      <alignment horizontal="left"/>
    </xf>
    <xf numFmtId="0" fontId="4" fillId="0" borderId="63" xfId="0" applyFont="1" applyBorder="1" applyAlignment="1">
      <alignment horizontal="center"/>
    </xf>
    <xf numFmtId="0" fontId="0" fillId="0" borderId="25" xfId="0" applyBorder="1"/>
    <xf numFmtId="0" fontId="4" fillId="0" borderId="60" xfId="0" applyFont="1" applyBorder="1" applyAlignment="1">
      <alignment horizontal="left"/>
    </xf>
    <xf numFmtId="0" fontId="0" fillId="0" borderId="24" xfId="0" applyBorder="1" applyAlignment="1">
      <alignment horizontal="left"/>
    </xf>
    <xf numFmtId="0" fontId="2" fillId="33" borderId="25" xfId="0" applyFont="1" applyFill="1" applyBorder="1" applyAlignment="1">
      <alignment horizontal="center"/>
    </xf>
    <xf numFmtId="0" fontId="8" fillId="34" borderId="25" xfId="0" applyFont="1" applyFill="1" applyBorder="1"/>
    <xf numFmtId="0" fontId="0" fillId="0" borderId="27" xfId="0" applyBorder="1"/>
    <xf numFmtId="0" fontId="0" fillId="0" borderId="64" xfId="0" applyBorder="1" applyAlignment="1">
      <alignment horizontal="left"/>
    </xf>
    <xf numFmtId="0" fontId="5" fillId="0" borderId="43" xfId="0" applyFont="1" applyBorder="1" applyAlignment="1">
      <alignment horizontal="right"/>
    </xf>
    <xf numFmtId="49" fontId="2" fillId="33" borderId="41" xfId="0" applyNumberFormat="1" applyFont="1" applyFill="1" applyBorder="1" applyAlignment="1">
      <alignment horizontal="center"/>
    </xf>
    <xf numFmtId="0" fontId="8" fillId="34" borderId="41" xfId="0" applyFont="1" applyFill="1" applyBorder="1" applyAlignment="1">
      <alignment horizontal="center"/>
    </xf>
    <xf numFmtId="0" fontId="0" fillId="0" borderId="52" xfId="0" applyBorder="1"/>
    <xf numFmtId="0" fontId="0" fillId="0" borderId="65" xfId="0" applyBorder="1" applyAlignment="1">
      <alignment horizontal="left"/>
    </xf>
    <xf numFmtId="0" fontId="0" fillId="33" borderId="20" xfId="0" applyFill="1" applyBorder="1" applyAlignment="1">
      <alignment horizontal="center"/>
    </xf>
    <xf numFmtId="0" fontId="9" fillId="34" borderId="20" xfId="0" applyFont="1" applyFill="1" applyBorder="1" applyAlignment="1">
      <alignment horizontal="center"/>
    </xf>
    <xf numFmtId="0" fontId="2" fillId="0" borderId="66" xfId="0" applyFont="1" applyBorder="1" applyAlignment="1">
      <alignment horizontal="left"/>
    </xf>
    <xf numFmtId="0" fontId="4" fillId="25" borderId="25" xfId="0" applyFont="1" applyFill="1" applyBorder="1" applyAlignment="1">
      <alignment horizontal="center"/>
    </xf>
    <xf numFmtId="0" fontId="8" fillId="35" borderId="25" xfId="0" applyFont="1" applyFill="1" applyBorder="1"/>
    <xf numFmtId="0" fontId="8" fillId="35" borderId="63" xfId="0" applyFont="1" applyFill="1" applyBorder="1"/>
    <xf numFmtId="49" fontId="4" fillId="25" borderId="41" xfId="0" applyNumberFormat="1" applyFont="1" applyFill="1" applyBorder="1" applyAlignment="1">
      <alignment horizontal="center"/>
    </xf>
    <xf numFmtId="0" fontId="8" fillId="35" borderId="41" xfId="0" applyFont="1" applyFill="1" applyBorder="1" applyAlignment="1">
      <alignment horizontal="center"/>
    </xf>
    <xf numFmtId="0" fontId="0" fillId="0" borderId="41" xfId="0" applyBorder="1"/>
    <xf numFmtId="0" fontId="9" fillId="35" borderId="20" xfId="0" applyFont="1" applyFill="1" applyBorder="1" applyAlignment="1">
      <alignment horizontal="center"/>
    </xf>
    <xf numFmtId="0" fontId="9" fillId="35" borderId="67" xfId="0" applyFont="1" applyFill="1" applyBorder="1" applyAlignment="1">
      <alignment horizontal="center"/>
    </xf>
    <xf numFmtId="0" fontId="4" fillId="36" borderId="25" xfId="0" applyFont="1" applyFill="1" applyBorder="1" applyAlignment="1">
      <alignment horizontal="center"/>
    </xf>
    <xf numFmtId="49" fontId="4" fillId="36" borderId="41" xfId="0" applyNumberFormat="1" applyFont="1" applyFill="1" applyBorder="1" applyAlignment="1">
      <alignment horizontal="center"/>
    </xf>
    <xf numFmtId="0" fontId="8" fillId="35" borderId="68" xfId="0" applyFont="1" applyFill="1" applyBorder="1" applyAlignment="1">
      <alignment horizontal="center"/>
    </xf>
    <xf numFmtId="0" fontId="5" fillId="36" borderId="20" xfId="0" applyFont="1" applyFill="1" applyBorder="1" applyAlignment="1">
      <alignment horizontal="center"/>
    </xf>
    <xf numFmtId="0" fontId="5" fillId="0" borderId="69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5" fillId="0" borderId="67" xfId="0" applyFont="1" applyBorder="1" applyAlignment="1">
      <alignment horizontal="center"/>
    </xf>
    <xf numFmtId="0" fontId="0" fillId="0" borderId="63" xfId="0" applyBorder="1"/>
    <xf numFmtId="0" fontId="0" fillId="0" borderId="68" xfId="0" applyBorder="1"/>
    <xf numFmtId="0" fontId="0" fillId="0" borderId="67" xfId="0" applyBorder="1"/>
    <xf numFmtId="0" fontId="2" fillId="37" borderId="25" xfId="0" applyFont="1" applyFill="1" applyBorder="1" applyAlignment="1">
      <alignment horizontal="center"/>
    </xf>
    <xf numFmtId="0" fontId="2" fillId="37" borderId="63" xfId="0" applyFont="1" applyFill="1" applyBorder="1" applyAlignment="1">
      <alignment horizontal="center"/>
    </xf>
    <xf numFmtId="0" fontId="2" fillId="0" borderId="64" xfId="0" applyFont="1" applyBorder="1" applyAlignment="1">
      <alignment horizontal="left"/>
    </xf>
    <xf numFmtId="0" fontId="2" fillId="37" borderId="41" xfId="0" applyFont="1" applyFill="1" applyBorder="1" applyAlignment="1">
      <alignment horizontal="center"/>
    </xf>
    <xf numFmtId="0" fontId="2" fillId="0" borderId="65" xfId="0" applyFont="1" applyBorder="1" applyAlignment="1">
      <alignment horizontal="left"/>
    </xf>
    <xf numFmtId="0" fontId="0" fillId="37" borderId="20" xfId="0" applyFill="1" applyBorder="1" applyAlignment="1">
      <alignment horizontal="center"/>
    </xf>
    <xf numFmtId="0" fontId="0" fillId="37" borderId="67" xfId="0" applyFill="1" applyBorder="1" applyAlignment="1">
      <alignment horizontal="center"/>
    </xf>
    <xf numFmtId="0" fontId="2" fillId="38" borderId="25" xfId="0" applyFont="1" applyFill="1" applyBorder="1" applyAlignment="1">
      <alignment horizontal="center"/>
    </xf>
    <xf numFmtId="49" fontId="2" fillId="38" borderId="41" xfId="0" applyNumberFormat="1" applyFont="1" applyFill="1" applyBorder="1" applyAlignment="1">
      <alignment horizontal="center"/>
    </xf>
    <xf numFmtId="0" fontId="0" fillId="38" borderId="20" xfId="0" applyFill="1" applyBorder="1" applyAlignment="1">
      <alignment horizontal="center"/>
    </xf>
    <xf numFmtId="0" fontId="2" fillId="24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49" fontId="2" fillId="24" borderId="41" xfId="0" applyNumberFormat="1" applyFont="1" applyFill="1" applyBorder="1" applyAlignment="1">
      <alignment horizontal="center"/>
    </xf>
    <xf numFmtId="0" fontId="2" fillId="37" borderId="68" xfId="0" applyFont="1" applyFill="1" applyBorder="1" applyAlignment="1">
      <alignment horizontal="center"/>
    </xf>
    <xf numFmtId="0" fontId="0" fillId="24" borderId="41" xfId="0" applyFill="1" applyBorder="1" applyAlignment="1">
      <alignment horizontal="center"/>
    </xf>
    <xf numFmtId="0" fontId="0" fillId="37" borderId="41" xfId="0" applyFill="1" applyBorder="1" applyAlignment="1">
      <alignment horizontal="center"/>
    </xf>
    <xf numFmtId="0" fontId="8" fillId="31" borderId="41" xfId="0" applyFont="1" applyFill="1" applyBorder="1" applyAlignment="1">
      <alignment horizontal="center"/>
    </xf>
    <xf numFmtId="0" fontId="2" fillId="0" borderId="63" xfId="0" applyFont="1" applyBorder="1" applyAlignment="1">
      <alignment horizontal="center"/>
    </xf>
    <xf numFmtId="49" fontId="8" fillId="31" borderId="41" xfId="0" applyNumberFormat="1" applyFont="1" applyFill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6" fillId="31" borderId="41" xfId="0" applyFont="1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2" fillId="0" borderId="65" xfId="0" applyFont="1" applyBorder="1"/>
    <xf numFmtId="0" fontId="4" fillId="39" borderId="25" xfId="0" applyFont="1" applyFill="1" applyBorder="1" applyAlignment="1">
      <alignment horizontal="center"/>
    </xf>
    <xf numFmtId="0" fontId="0" fillId="0" borderId="25" xfId="0" applyBorder="1" applyAlignment="1">
      <alignment horizontal="left"/>
    </xf>
    <xf numFmtId="49" fontId="4" fillId="39" borderId="41" xfId="0" applyNumberFormat="1" applyFont="1" applyFill="1" applyBorder="1" applyAlignment="1">
      <alignment horizontal="center"/>
    </xf>
    <xf numFmtId="0" fontId="0" fillId="0" borderId="41" xfId="0" applyBorder="1" applyAlignment="1">
      <alignment horizontal="left"/>
    </xf>
    <xf numFmtId="0" fontId="5" fillId="39" borderId="20" xfId="0" applyFont="1" applyFill="1" applyBorder="1" applyAlignment="1">
      <alignment horizontal="center"/>
    </xf>
    <xf numFmtId="0" fontId="2" fillId="40" borderId="25" xfId="0" applyFont="1" applyFill="1" applyBorder="1" applyAlignment="1">
      <alignment horizontal="center"/>
    </xf>
    <xf numFmtId="0" fontId="2" fillId="0" borderId="69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49" fontId="2" fillId="40" borderId="4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40" borderId="20" xfId="0" applyFill="1" applyBorder="1" applyAlignment="1">
      <alignment horizontal="center"/>
    </xf>
    <xf numFmtId="0" fontId="2" fillId="41" borderId="63" xfId="0" applyFont="1" applyFill="1" applyBorder="1" applyAlignment="1">
      <alignment horizontal="center"/>
    </xf>
    <xf numFmtId="49" fontId="2" fillId="41" borderId="68" xfId="0" applyNumberFormat="1" applyFont="1" applyFill="1" applyBorder="1" applyAlignment="1">
      <alignment horizontal="center"/>
    </xf>
    <xf numFmtId="0" fontId="0" fillId="41" borderId="20" xfId="0" applyFill="1" applyBorder="1" applyAlignment="1">
      <alignment horizontal="center"/>
    </xf>
    <xf numFmtId="0" fontId="2" fillId="0" borderId="66" xfId="0" applyFont="1" applyBorder="1"/>
    <xf numFmtId="0" fontId="2" fillId="42" borderId="63" xfId="0" applyFont="1" applyFill="1" applyBorder="1" applyAlignment="1">
      <alignment horizontal="center"/>
    </xf>
    <xf numFmtId="0" fontId="2" fillId="42" borderId="25" xfId="0" applyFont="1" applyFill="1" applyBorder="1" applyAlignment="1">
      <alignment horizontal="center"/>
    </xf>
    <xf numFmtId="49" fontId="2" fillId="42" borderId="68" xfId="0" applyNumberFormat="1" applyFont="1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42" borderId="20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28" xfId="0" applyBorder="1" applyAlignment="1">
      <alignment horizontal="left"/>
    </xf>
    <xf numFmtId="0" fontId="8" fillId="34" borderId="11" xfId="0" applyFont="1" applyFill="1" applyBorder="1"/>
    <xf numFmtId="0" fontId="8" fillId="34" borderId="13" xfId="0" applyFont="1" applyFill="1" applyBorder="1"/>
    <xf numFmtId="0" fontId="9" fillId="34" borderId="30" xfId="0" applyFont="1" applyFill="1" applyBorder="1" applyAlignment="1">
      <alignment horizontal="center"/>
    </xf>
    <xf numFmtId="0" fontId="9" fillId="34" borderId="34" xfId="0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2" fillId="0" borderId="28" xfId="0" applyFont="1" applyBorder="1" applyAlignment="1">
      <alignment horizontal="left"/>
    </xf>
    <xf numFmtId="0" fontId="4" fillId="0" borderId="46" xfId="0" applyFont="1" applyBorder="1" applyAlignment="1">
      <alignment horizontal="center"/>
    </xf>
    <xf numFmtId="0" fontId="0" fillId="0" borderId="61" xfId="0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4" fillId="0" borderId="71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5" fillId="0" borderId="40" xfId="0" applyFont="1" applyBorder="1" applyAlignment="1">
      <alignment horizontal="left"/>
    </xf>
    <xf numFmtId="0" fontId="2" fillId="29" borderId="11" xfId="0" applyFont="1" applyFill="1" applyBorder="1" applyAlignment="1">
      <alignment horizontal="left"/>
    </xf>
    <xf numFmtId="0" fontId="2" fillId="0" borderId="58" xfId="0" applyFont="1" applyBorder="1" applyAlignment="1">
      <alignment horizontal="center"/>
    </xf>
    <xf numFmtId="0" fontId="5" fillId="29" borderId="46" xfId="0" applyFont="1" applyFill="1" applyBorder="1" applyAlignment="1">
      <alignment horizontal="center"/>
    </xf>
    <xf numFmtId="0" fontId="2" fillId="29" borderId="49" xfId="0" applyFont="1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2" fillId="29" borderId="30" xfId="0" applyFont="1" applyFill="1" applyBorder="1" applyAlignment="1">
      <alignment horizontal="center"/>
    </xf>
    <xf numFmtId="0" fontId="0" fillId="24" borderId="62" xfId="0" applyFill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58" xfId="0" applyFont="1" applyBorder="1" applyAlignment="1">
      <alignment horizontal="left"/>
    </xf>
    <xf numFmtId="0" fontId="2" fillId="0" borderId="61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2" fillId="0" borderId="72" xfId="0" applyFont="1" applyBorder="1" applyAlignment="1">
      <alignment horizontal="center"/>
    </xf>
    <xf numFmtId="0" fontId="0" fillId="43" borderId="28" xfId="0" applyFill="1" applyBorder="1" applyAlignment="1" applyProtection="1">
      <alignment horizontal="center"/>
      <protection locked="0"/>
    </xf>
    <xf numFmtId="0" fontId="0" fillId="43" borderId="48" xfId="0" applyFill="1" applyBorder="1" applyAlignment="1" applyProtection="1">
      <alignment horizontal="center"/>
      <protection locked="0"/>
    </xf>
    <xf numFmtId="0" fontId="0" fillId="0" borderId="46" xfId="0" applyBorder="1" applyAlignment="1">
      <alignment horizontal="left"/>
    </xf>
    <xf numFmtId="0" fontId="0" fillId="43" borderId="32" xfId="0" applyFill="1" applyBorder="1" applyAlignment="1" applyProtection="1">
      <alignment horizontal="center"/>
      <protection locked="0"/>
    </xf>
    <xf numFmtId="2" fontId="0" fillId="0" borderId="30" xfId="0" applyNumberFormat="1" applyBorder="1" applyAlignment="1">
      <alignment horizontal="left"/>
    </xf>
    <xf numFmtId="2" fontId="5" fillId="0" borderId="30" xfId="0" applyNumberFormat="1" applyFont="1" applyBorder="1" applyAlignment="1">
      <alignment horizontal="left"/>
    </xf>
    <xf numFmtId="2" fontId="5" fillId="0" borderId="34" xfId="0" applyNumberFormat="1" applyFont="1" applyBorder="1" applyAlignment="1">
      <alignment horizontal="left"/>
    </xf>
    <xf numFmtId="2" fontId="0" fillId="0" borderId="62" xfId="0" applyNumberFormat="1" applyBorder="1" applyAlignment="1">
      <alignment horizontal="center"/>
    </xf>
    <xf numFmtId="2" fontId="0" fillId="24" borderId="62" xfId="0" applyNumberForma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73" xfId="0" applyFont="1" applyBorder="1" applyAlignment="1">
      <alignment horizontal="left"/>
    </xf>
    <xf numFmtId="0" fontId="0" fillId="0" borderId="10" xfId="0" applyBorder="1"/>
    <xf numFmtId="0" fontId="0" fillId="0" borderId="58" xfId="0" applyBorder="1"/>
    <xf numFmtId="2" fontId="0" fillId="0" borderId="15" xfId="0" applyNumberFormat="1" applyBorder="1" applyAlignment="1">
      <alignment horizontal="center"/>
    </xf>
    <xf numFmtId="0" fontId="0" fillId="0" borderId="29" xfId="0" applyBorder="1"/>
    <xf numFmtId="0" fontId="0" fillId="0" borderId="28" xfId="0" applyBorder="1"/>
    <xf numFmtId="2" fontId="0" fillId="0" borderId="13" xfId="0" applyNumberFormat="1" applyBorder="1"/>
    <xf numFmtId="0" fontId="0" fillId="0" borderId="45" xfId="0" applyBorder="1"/>
    <xf numFmtId="2" fontId="0" fillId="0" borderId="59" xfId="0" applyNumberFormat="1" applyBorder="1"/>
    <xf numFmtId="0" fontId="0" fillId="0" borderId="32" xfId="0" applyBorder="1"/>
    <xf numFmtId="2" fontId="0" fillId="24" borderId="34" xfId="0" applyNumberFormat="1" applyFill="1" applyBorder="1"/>
    <xf numFmtId="0" fontId="0" fillId="0" borderId="19" xfId="0" applyBorder="1" applyAlignment="1">
      <alignment horizontal="left"/>
    </xf>
    <xf numFmtId="0" fontId="4" fillId="0" borderId="59" xfId="0" applyFont="1" applyBorder="1" applyAlignment="1">
      <alignment horizontal="left"/>
    </xf>
    <xf numFmtId="0" fontId="0" fillId="0" borderId="24" xfId="0" applyBorder="1"/>
    <xf numFmtId="0" fontId="0" fillId="0" borderId="60" xfId="0" applyBorder="1"/>
    <xf numFmtId="0" fontId="2" fillId="0" borderId="46" xfId="0" applyFont="1" applyBorder="1"/>
    <xf numFmtId="0" fontId="5" fillId="0" borderId="22" xfId="0" applyFont="1" applyBorder="1" applyAlignment="1">
      <alignment horizontal="center"/>
    </xf>
    <xf numFmtId="0" fontId="4" fillId="24" borderId="23" xfId="0" applyFont="1" applyFill="1" applyBorder="1" applyAlignment="1">
      <alignment horizontal="left"/>
    </xf>
    <xf numFmtId="0" fontId="0" fillId="0" borderId="59" xfId="0" applyBorder="1" applyAlignment="1">
      <alignment horizontal="center"/>
    </xf>
    <xf numFmtId="0" fontId="5" fillId="0" borderId="12" xfId="0" applyFont="1" applyBorder="1"/>
    <xf numFmtId="0" fontId="4" fillId="0" borderId="46" xfId="0" applyFont="1" applyBorder="1"/>
    <xf numFmtId="0" fontId="7" fillId="0" borderId="10" xfId="0" applyFont="1" applyBorder="1" applyAlignment="1">
      <alignment horizontal="left"/>
    </xf>
    <xf numFmtId="0" fontId="5" fillId="0" borderId="31" xfId="0" applyFont="1" applyBorder="1"/>
    <xf numFmtId="0" fontId="0" fillId="24" borderId="34" xfId="0" applyFill="1" applyBorder="1" applyAlignment="1">
      <alignment horizontal="center"/>
    </xf>
    <xf numFmtId="0" fontId="5" fillId="0" borderId="33" xfId="0" applyFont="1" applyBorder="1"/>
    <xf numFmtId="0" fontId="5" fillId="0" borderId="35" xfId="0" applyFont="1" applyBorder="1" applyAlignment="1">
      <alignment horizontal="left"/>
    </xf>
    <xf numFmtId="0" fontId="5" fillId="24" borderId="3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5" fillId="0" borderId="17" xfId="0" applyFont="1" applyBorder="1"/>
    <xf numFmtId="2" fontId="0" fillId="0" borderId="0" xfId="0" applyNumberFormat="1" applyAlignment="1">
      <alignment horizontal="right"/>
    </xf>
    <xf numFmtId="0" fontId="5" fillId="0" borderId="36" xfId="0" applyFont="1" applyBorder="1" applyAlignment="1">
      <alignment horizontal="center"/>
    </xf>
    <xf numFmtId="2" fontId="0" fillId="24" borderId="55" xfId="0" applyNumberFormat="1" applyFill="1" applyBorder="1"/>
    <xf numFmtId="0" fontId="0" fillId="0" borderId="37" xfId="0" applyBorder="1"/>
    <xf numFmtId="0" fontId="0" fillId="0" borderId="74" xfId="0" applyBorder="1"/>
    <xf numFmtId="0" fontId="5" fillId="0" borderId="0" xfId="0" applyFont="1"/>
    <xf numFmtId="0" fontId="0" fillId="24" borderId="24" xfId="0" applyFill="1" applyBorder="1" applyAlignment="1">
      <alignment horizontal="left"/>
    </xf>
    <xf numFmtId="0" fontId="0" fillId="24" borderId="64" xfId="0" applyFill="1" applyBorder="1" applyAlignment="1">
      <alignment horizontal="left"/>
    </xf>
    <xf numFmtId="0" fontId="0" fillId="0" borderId="53" xfId="0" applyBorder="1"/>
    <xf numFmtId="0" fontId="0" fillId="0" borderId="18" xfId="0" applyBorder="1" applyAlignment="1">
      <alignment horizontal="center"/>
    </xf>
    <xf numFmtId="0" fontId="2" fillId="40" borderId="44" xfId="0" applyFont="1" applyFill="1" applyBorder="1"/>
    <xf numFmtId="0" fontId="0" fillId="40" borderId="47" xfId="0" applyFill="1" applyBorder="1"/>
    <xf numFmtId="0" fontId="5" fillId="40" borderId="47" xfId="0" applyFont="1" applyFill="1" applyBorder="1"/>
    <xf numFmtId="0" fontId="2" fillId="26" borderId="44" xfId="0" applyFont="1" applyFill="1" applyBorder="1"/>
    <xf numFmtId="0" fontId="0" fillId="26" borderId="47" xfId="0" applyFill="1" applyBorder="1"/>
    <xf numFmtId="0" fontId="2" fillId="42" borderId="44" xfId="0" applyFont="1" applyFill="1" applyBorder="1" applyAlignment="1">
      <alignment horizontal="left"/>
    </xf>
    <xf numFmtId="0" fontId="0" fillId="42" borderId="47" xfId="0" applyFill="1" applyBorder="1"/>
    <xf numFmtId="0" fontId="2" fillId="39" borderId="44" xfId="0" applyFont="1" applyFill="1" applyBorder="1"/>
    <xf numFmtId="0" fontId="0" fillId="39" borderId="47" xfId="0" applyFill="1" applyBorder="1"/>
    <xf numFmtId="0" fontId="2" fillId="43" borderId="0" xfId="0" applyFont="1" applyFill="1"/>
    <xf numFmtId="0" fontId="0" fillId="43" borderId="0" xfId="0" applyFill="1"/>
    <xf numFmtId="0" fontId="5" fillId="0" borderId="25" xfId="0" applyFont="1" applyBorder="1" applyAlignment="1">
      <alignment horizontal="center"/>
    </xf>
    <xf numFmtId="0" fontId="5" fillId="0" borderId="63" xfId="0" applyFont="1" applyBorder="1" applyAlignment="1">
      <alignment horizontal="center"/>
    </xf>
    <xf numFmtId="0" fontId="2" fillId="37" borderId="44" xfId="0" applyFont="1" applyFill="1" applyBorder="1"/>
    <xf numFmtId="0" fontId="0" fillId="37" borderId="47" xfId="0" applyFill="1" applyBorder="1"/>
    <xf numFmtId="0" fontId="2" fillId="41" borderId="75" xfId="0" applyFont="1" applyFill="1" applyBorder="1" applyAlignment="1">
      <alignment horizontal="left"/>
    </xf>
    <xf numFmtId="0" fontId="0" fillId="41" borderId="50" xfId="0" applyFill="1" applyBorder="1"/>
    <xf numFmtId="0" fontId="2" fillId="24" borderId="75" xfId="0" applyFont="1" applyFill="1" applyBorder="1"/>
    <xf numFmtId="0" fontId="0" fillId="24" borderId="50" xfId="0" applyFill="1" applyBorder="1"/>
    <xf numFmtId="0" fontId="8" fillId="31" borderId="75" xfId="0" applyFont="1" applyFill="1" applyBorder="1"/>
    <xf numFmtId="0" fontId="6" fillId="31" borderId="50" xfId="0" applyFont="1" applyFill="1" applyBorder="1"/>
    <xf numFmtId="0" fontId="0" fillId="31" borderId="50" xfId="0" applyFill="1" applyBorder="1"/>
    <xf numFmtId="0" fontId="2" fillId="38" borderId="44" xfId="0" applyFont="1" applyFill="1" applyBorder="1"/>
    <xf numFmtId="0" fontId="0" fillId="38" borderId="47" xfId="0" applyFill="1" applyBorder="1"/>
    <xf numFmtId="0" fontId="5" fillId="0" borderId="68" xfId="0" applyFont="1" applyBorder="1" applyAlignment="1">
      <alignment horizontal="center"/>
    </xf>
    <xf numFmtId="0" fontId="2" fillId="25" borderId="44" xfId="0" applyFont="1" applyFill="1" applyBorder="1"/>
    <xf numFmtId="0" fontId="0" fillId="25" borderId="76" xfId="0" applyFill="1" applyBorder="1"/>
    <xf numFmtId="0" fontId="2" fillId="36" borderId="44" xfId="0" applyFont="1" applyFill="1" applyBorder="1"/>
    <xf numFmtId="0" fontId="0" fillId="36" borderId="76" xfId="0" applyFill="1" applyBorder="1"/>
    <xf numFmtId="0" fontId="2" fillId="33" borderId="44" xfId="0" applyFont="1" applyFill="1" applyBorder="1"/>
    <xf numFmtId="0" fontId="0" fillId="33" borderId="76" xfId="0" applyFill="1" applyBorder="1"/>
    <xf numFmtId="0" fontId="5" fillId="39" borderId="41" xfId="0" applyFont="1" applyFill="1" applyBorder="1" applyAlignment="1">
      <alignment horizontal="center"/>
    </xf>
    <xf numFmtId="0" fontId="2" fillId="35" borderId="44" xfId="0" applyFont="1" applyFill="1" applyBorder="1"/>
    <xf numFmtId="0" fontId="0" fillId="35" borderId="47" xfId="0" applyFill="1" applyBorder="1"/>
    <xf numFmtId="0" fontId="0" fillId="35" borderId="76" xfId="0" applyFill="1" applyBorder="1"/>
    <xf numFmtId="0" fontId="0" fillId="0" borderId="68" xfId="0" applyBorder="1" applyAlignment="1">
      <alignment horizontal="center"/>
    </xf>
    <xf numFmtId="2" fontId="0" fillId="0" borderId="0" xfId="0" applyNumberFormat="1" applyAlignment="1">
      <alignment horizontal="left"/>
    </xf>
    <xf numFmtId="0" fontId="2" fillId="34" borderId="44" xfId="0" applyFont="1" applyFill="1" applyBorder="1"/>
    <xf numFmtId="0" fontId="0" fillId="34" borderId="47" xfId="0" applyFill="1" applyBorder="1"/>
    <xf numFmtId="0" fontId="0" fillId="34" borderId="76" xfId="0" applyFill="1" applyBorder="1"/>
    <xf numFmtId="49" fontId="2" fillId="0" borderId="0" xfId="0" applyNumberFormat="1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2" fillId="0" borderId="11" xfId="0" applyFont="1" applyBorder="1" applyAlignment="1">
      <alignment horizontal="left"/>
    </xf>
    <xf numFmtId="168" fontId="5" fillId="0" borderId="11" xfId="0" applyNumberFormat="1" applyFont="1" applyBorder="1" applyAlignment="1">
      <alignment horizontal="center"/>
    </xf>
    <xf numFmtId="169" fontId="0" fillId="0" borderId="0" xfId="0" applyNumberFormat="1"/>
    <xf numFmtId="2" fontId="0" fillId="28" borderId="0" xfId="0" applyNumberFormat="1" applyFill="1"/>
    <xf numFmtId="0" fontId="2" fillId="0" borderId="77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53" xfId="0" applyBorder="1" applyAlignment="1">
      <alignment horizontal="left"/>
    </xf>
    <xf numFmtId="0" fontId="2" fillId="0" borderId="72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5" fillId="0" borderId="27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0" fontId="4" fillId="0" borderId="19" xfId="0" applyFont="1" applyBorder="1" applyAlignment="1">
      <alignment horizontal="left"/>
    </xf>
    <xf numFmtId="169" fontId="0" fillId="0" borderId="16" xfId="0" applyNumberFormat="1" applyBorder="1"/>
    <xf numFmtId="0" fontId="0" fillId="0" borderId="61" xfId="0" applyBorder="1"/>
    <xf numFmtId="0" fontId="0" fillId="0" borderId="51" xfId="0" applyBorder="1" applyAlignment="1">
      <alignment horizontal="center"/>
    </xf>
    <xf numFmtId="0" fontId="5" fillId="0" borderId="10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5" fillId="40" borderId="30" xfId="0" applyFont="1" applyFill="1" applyBorder="1" applyAlignment="1">
      <alignment horizontal="center"/>
    </xf>
    <xf numFmtId="0" fontId="5" fillId="24" borderId="24" xfId="0" applyFont="1" applyFill="1" applyBorder="1" applyAlignment="1">
      <alignment horizontal="left"/>
    </xf>
    <xf numFmtId="0" fontId="5" fillId="24" borderId="11" xfId="0" applyFont="1" applyFill="1" applyBorder="1" applyAlignment="1">
      <alignment horizontal="center"/>
    </xf>
    <xf numFmtId="0" fontId="5" fillId="24" borderId="12" xfId="0" applyFont="1" applyFill="1" applyBorder="1"/>
    <xf numFmtId="0" fontId="5" fillId="24" borderId="13" xfId="0" applyFont="1" applyFill="1" applyBorder="1" applyAlignment="1">
      <alignment horizontal="left"/>
    </xf>
    <xf numFmtId="0" fontId="4" fillId="24" borderId="19" xfId="0" applyFont="1" applyFill="1" applyBorder="1" applyAlignment="1">
      <alignment horizontal="left"/>
    </xf>
    <xf numFmtId="0" fontId="5" fillId="24" borderId="30" xfId="0" applyFont="1" applyFill="1" applyBorder="1" applyAlignment="1">
      <alignment horizontal="center"/>
    </xf>
    <xf numFmtId="0" fontId="5" fillId="24" borderId="23" xfId="0" applyFont="1" applyFill="1" applyBorder="1" applyAlignment="1">
      <alignment horizontal="left"/>
    </xf>
    <xf numFmtId="0" fontId="4" fillId="24" borderId="11" xfId="0" applyFont="1" applyFill="1" applyBorder="1" applyAlignment="1">
      <alignment horizontal="center"/>
    </xf>
    <xf numFmtId="2" fontId="0" fillId="29" borderId="0" xfId="0" applyNumberFormat="1" applyFill="1"/>
    <xf numFmtId="0" fontId="0" fillId="0" borderId="28" xfId="0" applyBorder="1" applyAlignment="1" applyProtection="1">
      <alignment horizontal="center"/>
      <protection locked="0"/>
    </xf>
    <xf numFmtId="0" fontId="11" fillId="0" borderId="29" xfId="0" applyFont="1" applyBorder="1" applyAlignment="1">
      <alignment horizontal="left"/>
    </xf>
    <xf numFmtId="0" fontId="0" fillId="0" borderId="15" xfId="0" applyBorder="1" applyAlignment="1" applyProtection="1">
      <alignment horizontal="center"/>
      <protection locked="0"/>
    </xf>
    <xf numFmtId="0" fontId="2" fillId="0" borderId="15" xfId="0" applyFont="1" applyBorder="1" applyAlignment="1">
      <alignment horizontal="center"/>
    </xf>
    <xf numFmtId="0" fontId="2" fillId="0" borderId="78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46" xfId="0" applyBorder="1" applyAlignment="1" applyProtection="1">
      <alignment horizontal="center"/>
      <protection locked="0"/>
    </xf>
    <xf numFmtId="0" fontId="4" fillId="44" borderId="44" xfId="0" applyFont="1" applyFill="1" applyBorder="1" applyAlignment="1">
      <alignment horizontal="left"/>
    </xf>
    <xf numFmtId="0" fontId="4" fillId="25" borderId="44" xfId="0" applyFont="1" applyFill="1" applyBorder="1"/>
    <xf numFmtId="0" fontId="5" fillId="25" borderId="47" xfId="0" applyFont="1" applyFill="1" applyBorder="1"/>
    <xf numFmtId="0" fontId="4" fillId="29" borderId="44" xfId="0" applyFont="1" applyFill="1" applyBorder="1" applyAlignment="1">
      <alignment horizontal="left"/>
    </xf>
    <xf numFmtId="0" fontId="4" fillId="29" borderId="47" xfId="0" applyFont="1" applyFill="1" applyBorder="1" applyAlignment="1">
      <alignment horizontal="left"/>
    </xf>
    <xf numFmtId="0" fontId="5" fillId="29" borderId="47" xfId="0" applyFont="1" applyFill="1" applyBorder="1"/>
    <xf numFmtId="0" fontId="5" fillId="29" borderId="76" xfId="0" applyFont="1" applyFill="1" applyBorder="1"/>
    <xf numFmtId="0" fontId="4" fillId="37" borderId="44" xfId="0" applyFont="1" applyFill="1" applyBorder="1" applyAlignment="1">
      <alignment horizontal="left"/>
    </xf>
    <xf numFmtId="0" fontId="4" fillId="37" borderId="47" xfId="0" applyFont="1" applyFill="1" applyBorder="1" applyAlignment="1">
      <alignment horizontal="left"/>
    </xf>
    <xf numFmtId="0" fontId="4" fillId="45" borderId="44" xfId="0" applyFont="1" applyFill="1" applyBorder="1" applyAlignment="1">
      <alignment horizontal="left"/>
    </xf>
    <xf numFmtId="0" fontId="0" fillId="45" borderId="47" xfId="0" applyFill="1" applyBorder="1"/>
    <xf numFmtId="0" fontId="5" fillId="45" borderId="47" xfId="0" applyFont="1" applyFill="1" applyBorder="1"/>
    <xf numFmtId="0" fontId="5" fillId="45" borderId="76" xfId="0" applyFont="1" applyFill="1" applyBorder="1"/>
    <xf numFmtId="0" fontId="4" fillId="24" borderId="44" xfId="0" applyFont="1" applyFill="1" applyBorder="1"/>
    <xf numFmtId="0" fontId="0" fillId="24" borderId="47" xfId="0" applyFill="1" applyBorder="1"/>
    <xf numFmtId="0" fontId="5" fillId="24" borderId="47" xfId="0" applyFont="1" applyFill="1" applyBorder="1"/>
    <xf numFmtId="0" fontId="4" fillId="40" borderId="44" xfId="0" applyFont="1" applyFill="1" applyBorder="1" applyAlignment="1">
      <alignment horizontal="left"/>
    </xf>
    <xf numFmtId="0" fontId="0" fillId="40" borderId="76" xfId="0" applyFill="1" applyBorder="1"/>
    <xf numFmtId="0" fontId="2" fillId="46" borderId="0" xfId="0" applyFont="1" applyFill="1"/>
    <xf numFmtId="0" fontId="0" fillId="46" borderId="50" xfId="0" applyFill="1" applyBorder="1"/>
    <xf numFmtId="0" fontId="5" fillId="46" borderId="50" xfId="0" applyFont="1" applyFill="1" applyBorder="1"/>
    <xf numFmtId="0" fontId="5" fillId="46" borderId="79" xfId="0" applyFont="1" applyFill="1" applyBorder="1"/>
    <xf numFmtId="0" fontId="4" fillId="0" borderId="75" xfId="0" applyFont="1" applyBorder="1"/>
    <xf numFmtId="0" fontId="5" fillId="0" borderId="50" xfId="0" applyFont="1" applyBorder="1"/>
    <xf numFmtId="0" fontId="5" fillId="0" borderId="79" xfId="0" applyFont="1" applyBorder="1"/>
    <xf numFmtId="0" fontId="4" fillId="39" borderId="46" xfId="0" applyFont="1" applyFill="1" applyBorder="1" applyAlignment="1">
      <alignment horizontal="left"/>
    </xf>
    <xf numFmtId="0" fontId="4" fillId="47" borderId="44" xfId="0" applyFont="1" applyFill="1" applyBorder="1"/>
    <xf numFmtId="0" fontId="5" fillId="47" borderId="47" xfId="0" applyFont="1" applyFill="1" applyBorder="1"/>
    <xf numFmtId="0" fontId="5" fillId="47" borderId="16" xfId="0" applyFont="1" applyFill="1" applyBorder="1"/>
    <xf numFmtId="0" fontId="5" fillId="47" borderId="78" xfId="0" applyFont="1" applyFill="1" applyBorder="1"/>
    <xf numFmtId="0" fontId="4" fillId="0" borderId="17" xfId="0" applyFont="1" applyBorder="1"/>
    <xf numFmtId="0" fontId="5" fillId="0" borderId="16" xfId="0" applyFont="1" applyBorder="1"/>
    <xf numFmtId="0" fontId="5" fillId="0" borderId="16" xfId="0" applyFont="1" applyBorder="1" applyAlignment="1">
      <alignment horizontal="left"/>
    </xf>
    <xf numFmtId="0" fontId="5" fillId="0" borderId="44" xfId="0" applyFont="1" applyBorder="1" applyAlignment="1">
      <alignment horizontal="left"/>
    </xf>
    <xf numFmtId="0" fontId="5" fillId="0" borderId="47" xfId="0" applyFont="1" applyBorder="1" applyAlignment="1">
      <alignment horizontal="left"/>
    </xf>
    <xf numFmtId="0" fontId="4" fillId="26" borderId="15" xfId="0" applyFont="1" applyFill="1" applyBorder="1" applyAlignment="1">
      <alignment horizontal="left"/>
    </xf>
    <xf numFmtId="0" fontId="4" fillId="26" borderId="16" xfId="0" applyFont="1" applyFill="1" applyBorder="1"/>
    <xf numFmtId="0" fontId="0" fillId="26" borderId="16" xfId="0" applyFill="1" applyBorder="1"/>
    <xf numFmtId="0" fontId="5" fillId="26" borderId="16" xfId="0" applyFont="1" applyFill="1" applyBorder="1"/>
    <xf numFmtId="0" fontId="5" fillId="26" borderId="78" xfId="0" applyFont="1" applyFill="1" applyBorder="1"/>
    <xf numFmtId="0" fontId="5" fillId="0" borderId="47" xfId="0" applyFont="1" applyBorder="1"/>
    <xf numFmtId="0" fontId="5" fillId="0" borderId="76" xfId="0" applyFont="1" applyBorder="1"/>
    <xf numFmtId="0" fontId="5" fillId="48" borderId="44" xfId="0" applyFont="1" applyFill="1" applyBorder="1"/>
    <xf numFmtId="0" fontId="5" fillId="48" borderId="47" xfId="0" applyFont="1" applyFill="1" applyBorder="1"/>
    <xf numFmtId="0" fontId="5" fillId="48" borderId="76" xfId="0" applyFont="1" applyFill="1" applyBorder="1"/>
    <xf numFmtId="0" fontId="12" fillId="0" borderId="44" xfId="0" applyFont="1" applyBorder="1"/>
    <xf numFmtId="0" fontId="0" fillId="0" borderId="76" xfId="0" applyBorder="1"/>
    <xf numFmtId="0" fontId="0" fillId="0" borderId="80" xfId="0" applyBorder="1"/>
    <xf numFmtId="0" fontId="12" fillId="0" borderId="47" xfId="0" applyFont="1" applyBorder="1"/>
    <xf numFmtId="0" fontId="12" fillId="0" borderId="75" xfId="0" applyFont="1" applyBorder="1"/>
    <xf numFmtId="0" fontId="0" fillId="0" borderId="79" xfId="0" applyBorder="1"/>
    <xf numFmtId="0" fontId="12" fillId="0" borderId="17" xfId="0" applyFont="1" applyBorder="1"/>
    <xf numFmtId="0" fontId="2" fillId="0" borderId="44" xfId="0" applyFont="1" applyBorder="1"/>
    <xf numFmtId="0" fontId="12" fillId="0" borderId="0" xfId="0" applyFont="1"/>
    <xf numFmtId="0" fontId="14" fillId="0" borderId="0" xfId="0" applyFont="1"/>
    <xf numFmtId="0" fontId="5" fillId="24" borderId="49" xfId="0" applyFont="1" applyFill="1" applyBorder="1" applyAlignment="1">
      <alignment horizontal="center"/>
    </xf>
    <xf numFmtId="0" fontId="5" fillId="24" borderId="46" xfId="0" applyFont="1" applyFill="1" applyBorder="1" applyAlignment="1">
      <alignment horizontal="center"/>
    </xf>
    <xf numFmtId="0" fontId="7" fillId="37" borderId="28" xfId="0" applyFont="1" applyFill="1" applyBorder="1" applyAlignment="1">
      <alignment horizontal="center" wrapText="1"/>
    </xf>
    <xf numFmtId="0" fontId="7" fillId="45" borderId="13" xfId="0" applyFont="1" applyFill="1" applyBorder="1" applyAlignment="1">
      <alignment horizontal="center" wrapText="1"/>
    </xf>
    <xf numFmtId="0" fontId="0" fillId="43" borderId="46" xfId="0" applyFill="1" applyBorder="1" applyAlignment="1" applyProtection="1">
      <alignment horizontal="center"/>
      <protection locked="0"/>
    </xf>
    <xf numFmtId="0" fontId="0" fillId="43" borderId="46" xfId="0" applyFill="1" applyBorder="1" applyProtection="1">
      <protection locked="0"/>
    </xf>
    <xf numFmtId="0" fontId="0" fillId="0" borderId="46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2" fillId="24" borderId="44" xfId="0" applyFont="1" applyFill="1" applyBorder="1"/>
    <xf numFmtId="0" fontId="0" fillId="24" borderId="46" xfId="0" applyFill="1" applyBorder="1" applyAlignment="1">
      <alignment horizontal="center" vertical="center"/>
    </xf>
    <xf numFmtId="0" fontId="0" fillId="24" borderId="44" xfId="0" applyFill="1" applyBorder="1" applyAlignment="1">
      <alignment horizontal="center" vertical="center"/>
    </xf>
    <xf numFmtId="0" fontId="7" fillId="24" borderId="58" xfId="0" applyFont="1" applyFill="1" applyBorder="1" applyAlignment="1">
      <alignment horizontal="center" vertical="center"/>
    </xf>
    <xf numFmtId="0" fontId="7" fillId="24" borderId="59" xfId="0" applyFont="1" applyFill="1" applyBorder="1" applyAlignment="1">
      <alignment horizontal="center" vertical="center"/>
    </xf>
    <xf numFmtId="0" fontId="0" fillId="43" borderId="15" xfId="0" applyFill="1" applyBorder="1" applyAlignment="1" applyProtection="1">
      <alignment horizontal="center"/>
      <protection locked="0"/>
    </xf>
    <xf numFmtId="0" fontId="4" fillId="0" borderId="15" xfId="0" applyFont="1" applyBorder="1"/>
    <xf numFmtId="0" fontId="5" fillId="0" borderId="1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2" fillId="24" borderId="46" xfId="0" applyFont="1" applyFill="1" applyBorder="1" applyAlignment="1" applyProtection="1">
      <alignment horizontal="left"/>
      <protection locked="0"/>
    </xf>
    <xf numFmtId="0" fontId="2" fillId="24" borderId="46" xfId="0" applyFont="1" applyFill="1" applyBorder="1"/>
    <xf numFmtId="0" fontId="5" fillId="0" borderId="49" xfId="0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69" xfId="0" applyBorder="1" applyAlignment="1">
      <alignment horizontal="left"/>
    </xf>
    <xf numFmtId="0" fontId="0" fillId="0" borderId="69" xfId="0" applyBorder="1"/>
    <xf numFmtId="0" fontId="2" fillId="0" borderId="26" xfId="0" applyFont="1" applyBorder="1"/>
    <xf numFmtId="0" fontId="2" fillId="0" borderId="26" xfId="0" applyFont="1" applyBorder="1" applyAlignment="1">
      <alignment horizontal="left"/>
    </xf>
    <xf numFmtId="0" fontId="2" fillId="0" borderId="31" xfId="0" applyFont="1" applyBorder="1" applyAlignment="1">
      <alignment horizontal="left"/>
    </xf>
    <xf numFmtId="0" fontId="0" fillId="0" borderId="82" xfId="0" applyBorder="1"/>
    <xf numFmtId="0" fontId="2" fillId="0" borderId="48" xfId="0" applyFont="1" applyBorder="1"/>
    <xf numFmtId="0" fontId="2" fillId="0" borderId="75" xfId="0" applyFont="1" applyBorder="1"/>
    <xf numFmtId="0" fontId="12" fillId="0" borderId="50" xfId="0" applyFont="1" applyBorder="1"/>
    <xf numFmtId="0" fontId="2" fillId="0" borderId="50" xfId="0" applyFont="1" applyBorder="1"/>
    <xf numFmtId="0" fontId="0" fillId="0" borderId="83" xfId="0" applyBorder="1"/>
    <xf numFmtId="0" fontId="2" fillId="0" borderId="45" xfId="0" applyFont="1" applyBorder="1"/>
    <xf numFmtId="0" fontId="2" fillId="0" borderId="52" xfId="0" applyFont="1" applyBorder="1"/>
    <xf numFmtId="0" fontId="0" fillId="0" borderId="84" xfId="0" applyBorder="1"/>
    <xf numFmtId="0" fontId="2" fillId="0" borderId="32" xfId="0" applyFont="1" applyBorder="1"/>
    <xf numFmtId="0" fontId="0" fillId="0" borderId="81" xfId="0" applyBorder="1"/>
    <xf numFmtId="0" fontId="2" fillId="0" borderId="35" xfId="0" applyFont="1" applyBorder="1"/>
    <xf numFmtId="0" fontId="12" fillId="0" borderId="33" xfId="0" applyFont="1" applyBorder="1"/>
    <xf numFmtId="0" fontId="0" fillId="0" borderId="85" xfId="0" applyBorder="1"/>
    <xf numFmtId="0" fontId="16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49" xfId="0" applyBorder="1" applyAlignment="1" applyProtection="1">
      <alignment horizontal="center"/>
      <protection locked="0"/>
    </xf>
    <xf numFmtId="0" fontId="0" fillId="24" borderId="28" xfId="0" applyFill="1" applyBorder="1" applyAlignment="1" applyProtection="1">
      <alignment horizontal="center"/>
      <protection locked="0"/>
    </xf>
    <xf numFmtId="0" fontId="5" fillId="0" borderId="1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43" borderId="58" xfId="0" applyFill="1" applyBorder="1" applyAlignment="1" applyProtection="1">
      <alignment horizontal="center"/>
      <protection locked="0"/>
    </xf>
    <xf numFmtId="0" fontId="0" fillId="0" borderId="46" xfId="0" applyBorder="1" applyAlignment="1">
      <alignment horizontal="left" vertical="center"/>
    </xf>
    <xf numFmtId="0" fontId="5" fillId="0" borderId="46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0" fillId="43" borderId="29" xfId="0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 vertical="center"/>
    </xf>
    <xf numFmtId="0" fontId="5" fillId="0" borderId="30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0" fillId="0" borderId="30" xfId="0" applyBorder="1" applyAlignment="1">
      <alignment horizontal="left"/>
    </xf>
    <xf numFmtId="0" fontId="0" fillId="24" borderId="53" xfId="0" applyFill="1" applyBorder="1" applyAlignment="1" applyProtection="1">
      <alignment horizontal="center"/>
      <protection locked="0"/>
    </xf>
    <xf numFmtId="0" fontId="0" fillId="0" borderId="15" xfId="0" applyBorder="1" applyAlignment="1">
      <alignment horizontal="left" vertical="center"/>
    </xf>
    <xf numFmtId="0" fontId="5" fillId="0" borderId="41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6" fillId="0" borderId="0" xfId="0" applyFont="1" applyAlignment="1" applyProtection="1">
      <alignment horizontal="left"/>
      <protection locked="0"/>
    </xf>
    <xf numFmtId="0" fontId="2" fillId="0" borderId="24" xfId="0" applyFont="1" applyBorder="1"/>
    <xf numFmtId="0" fontId="2" fillId="0" borderId="77" xfId="0" applyFont="1" applyBorder="1" applyAlignment="1">
      <alignment horizontal="left"/>
    </xf>
    <xf numFmtId="0" fontId="0" fillId="0" borderId="77" xfId="0" applyBorder="1"/>
    <xf numFmtId="0" fontId="4" fillId="0" borderId="77" xfId="0" applyFont="1" applyBorder="1" applyAlignment="1">
      <alignment horizontal="center"/>
    </xf>
    <xf numFmtId="0" fontId="0" fillId="0" borderId="77" xfId="0" applyBorder="1" applyAlignment="1">
      <alignment horizontal="center"/>
    </xf>
    <xf numFmtId="0" fontId="4" fillId="0" borderId="69" xfId="0" applyFont="1" applyBorder="1"/>
    <xf numFmtId="0" fontId="4" fillId="0" borderId="63" xfId="0" applyFont="1" applyBorder="1"/>
    <xf numFmtId="0" fontId="4" fillId="0" borderId="27" xfId="0" applyFont="1" applyBorder="1"/>
    <xf numFmtId="0" fontId="6" fillId="0" borderId="47" xfId="0" applyFont="1" applyBorder="1" applyAlignment="1" applyProtection="1">
      <alignment horizontal="left"/>
      <protection locked="0"/>
    </xf>
    <xf numFmtId="0" fontId="0" fillId="0" borderId="78" xfId="0" applyBorder="1"/>
    <xf numFmtId="0" fontId="0" fillId="0" borderId="35" xfId="0" applyBorder="1"/>
    <xf numFmtId="2" fontId="0" fillId="0" borderId="33" xfId="0" applyNumberFormat="1" applyBorder="1"/>
    <xf numFmtId="0" fontId="6" fillId="0" borderId="33" xfId="0" applyFont="1" applyBorder="1" applyAlignment="1" applyProtection="1">
      <alignment horizontal="left"/>
      <protection locked="0"/>
    </xf>
    <xf numFmtId="49" fontId="0" fillId="0" borderId="0" xfId="0" applyNumberFormat="1"/>
    <xf numFmtId="0" fontId="2" fillId="0" borderId="46" xfId="0" applyFont="1" applyBorder="1" applyAlignment="1" applyProtection="1">
      <alignment horizontal="center"/>
      <protection locked="0"/>
    </xf>
    <xf numFmtId="0" fontId="2" fillId="43" borderId="46" xfId="0" applyFont="1" applyFill="1" applyBorder="1" applyAlignment="1" applyProtection="1">
      <alignment horizontal="center"/>
      <protection locked="0"/>
    </xf>
    <xf numFmtId="49" fontId="5" fillId="0" borderId="46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0" fontId="2" fillId="43" borderId="0" xfId="0" applyFont="1" applyFill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24" xfId="0" applyFont="1" applyBorder="1"/>
    <xf numFmtId="0" fontId="4" fillId="0" borderId="31" xfId="0" applyFont="1" applyBorder="1"/>
    <xf numFmtId="0" fontId="4" fillId="0" borderId="77" xfId="0" applyFont="1" applyBorder="1"/>
    <xf numFmtId="0" fontId="5" fillId="0" borderId="69" xfId="0" applyFont="1" applyBorder="1"/>
    <xf numFmtId="0" fontId="5" fillId="0" borderId="60" xfId="0" applyFont="1" applyBorder="1"/>
    <xf numFmtId="0" fontId="5" fillId="0" borderId="75" xfId="0" applyFont="1" applyBorder="1"/>
    <xf numFmtId="0" fontId="5" fillId="0" borderId="44" xfId="0" applyFont="1" applyBorder="1"/>
    <xf numFmtId="0" fontId="5" fillId="0" borderId="80" xfId="0" applyFont="1" applyBorder="1"/>
    <xf numFmtId="0" fontId="5" fillId="0" borderId="32" xfId="0" applyFont="1" applyBorder="1"/>
    <xf numFmtId="49" fontId="5" fillId="0" borderId="35" xfId="0" applyNumberFormat="1" applyFont="1" applyBorder="1" applyAlignment="1">
      <alignment horizontal="right"/>
    </xf>
    <xf numFmtId="0" fontId="5" fillId="0" borderId="33" xfId="0" applyFont="1" applyBorder="1" applyAlignment="1">
      <alignment horizontal="right"/>
    </xf>
    <xf numFmtId="0" fontId="5" fillId="0" borderId="81" xfId="0" applyFont="1" applyBorder="1"/>
    <xf numFmtId="49" fontId="5" fillId="0" borderId="22" xfId="0" applyNumberFormat="1" applyFont="1" applyBorder="1" applyAlignment="1">
      <alignment horizontal="right"/>
    </xf>
    <xf numFmtId="0" fontId="0" fillId="0" borderId="21" xfId="0" applyBorder="1" applyAlignment="1">
      <alignment horizontal="left"/>
    </xf>
    <xf numFmtId="0" fontId="5" fillId="0" borderId="67" xfId="0" applyFont="1" applyBorder="1"/>
    <xf numFmtId="0" fontId="0" fillId="0" borderId="21" xfId="0" applyBorder="1" applyAlignment="1">
      <alignment horizontal="center"/>
    </xf>
    <xf numFmtId="0" fontId="5" fillId="0" borderId="35" xfId="0" applyFont="1" applyBorder="1"/>
    <xf numFmtId="0" fontId="5" fillId="0" borderId="85" xfId="0" applyFont="1" applyBorder="1"/>
    <xf numFmtId="0" fontId="7" fillId="0" borderId="46" xfId="0" applyFont="1" applyBorder="1" applyAlignment="1">
      <alignment horizontal="center" vertical="center"/>
    </xf>
    <xf numFmtId="0" fontId="2" fillId="0" borderId="44" xfId="0" applyFont="1" applyBorder="1" applyAlignment="1">
      <alignment horizontal="left"/>
    </xf>
    <xf numFmtId="0" fontId="0" fillId="0" borderId="7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4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0" fillId="0" borderId="47" xfId="0" applyBorder="1" applyAlignment="1">
      <alignment horizontal="left" vertical="center"/>
    </xf>
    <xf numFmtId="0" fontId="0" fillId="0" borderId="80" xfId="0" applyBorder="1" applyAlignment="1">
      <alignment vertical="center"/>
    </xf>
    <xf numFmtId="0" fontId="2" fillId="0" borderId="35" xfId="0" applyFont="1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" fillId="43" borderId="46" xfId="0" applyFont="1" applyFill="1" applyBorder="1" applyAlignment="1">
      <alignment horizontal="center"/>
    </xf>
    <xf numFmtId="0" fontId="2" fillId="43" borderId="0" xfId="0" applyFont="1" applyFill="1" applyAlignment="1">
      <alignment horizontal="center"/>
    </xf>
    <xf numFmtId="0" fontId="2" fillId="0" borderId="47" xfId="0" applyFont="1" applyBorder="1"/>
    <xf numFmtId="0" fontId="2" fillId="0" borderId="76" xfId="0" applyFont="1" applyBorder="1" applyAlignment="1">
      <alignment horizontal="left"/>
    </xf>
    <xf numFmtId="0" fontId="2" fillId="0" borderId="75" xfId="0" applyFont="1" applyBorder="1" applyAlignment="1">
      <alignment horizontal="left"/>
    </xf>
    <xf numFmtId="0" fontId="0" fillId="0" borderId="79" xfId="0" applyBorder="1" applyAlignment="1">
      <alignment horizontal="left"/>
    </xf>
    <xf numFmtId="0" fontId="0" fillId="0" borderId="50" xfId="0" applyBorder="1" applyAlignment="1">
      <alignment horizontal="left"/>
    </xf>
    <xf numFmtId="170" fontId="7" fillId="0" borderId="35" xfId="0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75" xfId="0" applyBorder="1" applyAlignment="1">
      <alignment horizontal="left"/>
    </xf>
    <xf numFmtId="0" fontId="4" fillId="0" borderId="46" xfId="0" applyFont="1" applyBorder="1" applyAlignment="1">
      <alignment horizontal="left"/>
    </xf>
    <xf numFmtId="0" fontId="5" fillId="0" borderId="79" xfId="0" applyFont="1" applyBorder="1" applyAlignment="1">
      <alignment horizontal="left"/>
    </xf>
    <xf numFmtId="0" fontId="5" fillId="0" borderId="50" xfId="0" applyFont="1" applyBorder="1" applyAlignment="1">
      <alignment horizontal="left"/>
    </xf>
    <xf numFmtId="0" fontId="5" fillId="0" borderId="76" xfId="0" applyFont="1" applyBorder="1" applyAlignment="1">
      <alignment horizontal="left"/>
    </xf>
    <xf numFmtId="0" fontId="4" fillId="0" borderId="44" xfId="0" applyFont="1" applyBorder="1" applyAlignment="1">
      <alignment horizontal="left"/>
    </xf>
    <xf numFmtId="0" fontId="5" fillId="0" borderId="68" xfId="0" applyFont="1" applyBorder="1"/>
    <xf numFmtId="0" fontId="17" fillId="0" borderId="46" xfId="0" applyFont="1" applyBorder="1" applyAlignment="1" applyProtection="1">
      <alignment horizontal="center"/>
      <protection locked="0"/>
    </xf>
    <xf numFmtId="0" fontId="0" fillId="43" borderId="44" xfId="0" applyFill="1" applyBorder="1" applyAlignment="1" applyProtection="1">
      <alignment horizontal="center"/>
      <protection locked="0"/>
    </xf>
    <xf numFmtId="0" fontId="4" fillId="0" borderId="17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2" fillId="0" borderId="49" xfId="0" applyFont="1" applyBorder="1" applyAlignment="1" applyProtection="1">
      <alignment horizontal="center"/>
      <protection locked="0"/>
    </xf>
    <xf numFmtId="0" fontId="7" fillId="37" borderId="72" xfId="0" applyFont="1" applyFill="1" applyBorder="1" applyAlignment="1">
      <alignment horizontal="center" wrapText="1"/>
    </xf>
    <xf numFmtId="0" fontId="7" fillId="45" borderId="27" xfId="0" applyFont="1" applyFill="1" applyBorder="1" applyAlignment="1">
      <alignment horizontal="center" wrapText="1"/>
    </xf>
    <xf numFmtId="0" fontId="18" fillId="0" borderId="46" xfId="0" applyFont="1" applyBorder="1" applyAlignment="1" applyProtection="1">
      <alignment horizontal="center"/>
      <protection locked="0"/>
    </xf>
    <xf numFmtId="0" fontId="7" fillId="0" borderId="28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/>
    </xf>
    <xf numFmtId="0" fontId="7" fillId="0" borderId="29" xfId="0" applyFont="1" applyBorder="1" applyAlignment="1">
      <alignment horizontal="center" vertical="center"/>
    </xf>
    <xf numFmtId="0" fontId="18" fillId="0" borderId="0" xfId="0" applyFont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0" fontId="7" fillId="0" borderId="0" xfId="0" applyFont="1" applyAlignment="1">
      <alignment horizontal="center" wrapText="1"/>
    </xf>
    <xf numFmtId="0" fontId="7" fillId="0" borderId="46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86" xfId="0" applyBorder="1"/>
    <xf numFmtId="0" fontId="2" fillId="0" borderId="45" xfId="0" applyFont="1" applyBorder="1" applyAlignment="1">
      <alignment horizontal="center"/>
    </xf>
    <xf numFmtId="49" fontId="0" fillId="0" borderId="44" xfId="0" applyNumberFormat="1" applyBorder="1"/>
    <xf numFmtId="0" fontId="2" fillId="0" borderId="53" xfId="0" applyFont="1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78" xfId="0" applyBorder="1" applyAlignment="1">
      <alignment horizontal="left"/>
    </xf>
    <xf numFmtId="49" fontId="0" fillId="0" borderId="17" xfId="0" applyNumberFormat="1" applyBorder="1"/>
    <xf numFmtId="49" fontId="0" fillId="0" borderId="16" xfId="0" applyNumberFormat="1" applyBorder="1" applyAlignment="1">
      <alignment horizontal="left"/>
    </xf>
    <xf numFmtId="49" fontId="0" fillId="0" borderId="16" xfId="0" applyNumberFormat="1" applyBorder="1"/>
    <xf numFmtId="49" fontId="0" fillId="0" borderId="78" xfId="0" applyNumberFormat="1" applyBorder="1"/>
    <xf numFmtId="0" fontId="2" fillId="0" borderId="32" xfId="0" applyFont="1" applyBorder="1" applyAlignment="1">
      <alignment horizontal="center"/>
    </xf>
    <xf numFmtId="49" fontId="0" fillId="0" borderId="35" xfId="0" applyNumberFormat="1" applyBorder="1"/>
    <xf numFmtId="0" fontId="11" fillId="0" borderId="46" xfId="0" applyFont="1" applyBorder="1" applyAlignment="1">
      <alignment horizontal="left"/>
    </xf>
    <xf numFmtId="0" fontId="0" fillId="43" borderId="49" xfId="0" applyFill="1" applyBorder="1" applyAlignment="1" applyProtection="1">
      <alignment horizontal="center"/>
      <protection locked="0"/>
    </xf>
    <xf numFmtId="0" fontId="11" fillId="43" borderId="79" xfId="0" applyFont="1" applyFill="1" applyBorder="1" applyProtection="1">
      <protection locked="0"/>
    </xf>
    <xf numFmtId="0" fontId="11" fillId="0" borderId="46" xfId="0" applyFont="1" applyBorder="1"/>
    <xf numFmtId="0" fontId="11" fillId="0" borderId="0" xfId="0" applyFont="1" applyAlignment="1">
      <alignment horizontal="left"/>
    </xf>
    <xf numFmtId="0" fontId="0" fillId="0" borderId="21" xfId="0" applyBorder="1"/>
    <xf numFmtId="0" fontId="0" fillId="0" borderId="22" xfId="0" applyBorder="1"/>
    <xf numFmtId="0" fontId="2" fillId="0" borderId="22" xfId="0" applyFont="1" applyBorder="1" applyAlignment="1">
      <alignment horizontal="left"/>
    </xf>
    <xf numFmtId="0" fontId="0" fillId="0" borderId="87" xfId="0" applyBorder="1"/>
    <xf numFmtId="0" fontId="2" fillId="0" borderId="15" xfId="0" applyFont="1" applyBorder="1" applyAlignment="1" applyProtection="1">
      <alignment horizontal="left"/>
      <protection locked="0"/>
    </xf>
    <xf numFmtId="0" fontId="0" fillId="43" borderId="46" xfId="0" applyFill="1" applyBorder="1" applyAlignment="1">
      <alignment horizontal="center"/>
    </xf>
    <xf numFmtId="0" fontId="0" fillId="24" borderId="46" xfId="0" applyFill="1" applyBorder="1" applyAlignment="1" applyProtection="1">
      <alignment horizontal="center"/>
      <protection locked="0"/>
    </xf>
    <xf numFmtId="0" fontId="2" fillId="24" borderId="49" xfId="0" applyFont="1" applyFill="1" applyBorder="1"/>
    <xf numFmtId="0" fontId="0" fillId="24" borderId="49" xfId="0" applyFill="1" applyBorder="1" applyAlignment="1">
      <alignment horizontal="center" vertical="center"/>
    </xf>
    <xf numFmtId="0" fontId="0" fillId="24" borderId="75" xfId="0" applyFill="1" applyBorder="1" applyAlignment="1">
      <alignment horizontal="center" vertical="center"/>
    </xf>
    <xf numFmtId="0" fontId="7" fillId="24" borderId="61" xfId="0" applyFont="1" applyFill="1" applyBorder="1" applyAlignment="1">
      <alignment horizontal="center" vertical="center"/>
    </xf>
    <xf numFmtId="0" fontId="7" fillId="24" borderId="51" xfId="0" applyFont="1" applyFill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2" fillId="0" borderId="44" xfId="0" applyFont="1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left"/>
      <protection locked="0"/>
    </xf>
    <xf numFmtId="0" fontId="7" fillId="0" borderId="58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0" fillId="0" borderId="75" xfId="0" applyBorder="1" applyAlignment="1">
      <alignment horizontal="center" vertical="center"/>
    </xf>
    <xf numFmtId="0" fontId="7" fillId="0" borderId="76" xfId="0" applyFont="1" applyBorder="1" applyAlignment="1">
      <alignment horizontal="center" vertical="center"/>
    </xf>
    <xf numFmtId="0" fontId="7" fillId="45" borderId="12" xfId="0" applyFont="1" applyFill="1" applyBorder="1" applyAlignment="1">
      <alignment horizontal="center" wrapText="1"/>
    </xf>
    <xf numFmtId="0" fontId="0" fillId="0" borderId="35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2" fontId="0" fillId="0" borderId="47" xfId="0" applyNumberFormat="1" applyBorder="1"/>
    <xf numFmtId="49" fontId="5" fillId="43" borderId="46" xfId="0" applyNumberFormat="1" applyFont="1" applyFill="1" applyBorder="1" applyAlignment="1">
      <alignment horizontal="center" vertical="center"/>
    </xf>
    <xf numFmtId="0" fontId="21" fillId="0" borderId="0" xfId="0" applyFont="1"/>
    <xf numFmtId="0" fontId="7" fillId="0" borderId="53" xfId="0" applyFont="1" applyBorder="1" applyAlignment="1">
      <alignment horizontal="center" wrapText="1"/>
    </xf>
    <xf numFmtId="0" fontId="7" fillId="0" borderId="18" xfId="0" applyFont="1" applyBorder="1" applyAlignment="1">
      <alignment horizont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5" fillId="0" borderId="88" xfId="0" applyFont="1" applyBorder="1" applyAlignment="1">
      <alignment horizontal="center" vertical="center"/>
    </xf>
    <xf numFmtId="0" fontId="5" fillId="24" borderId="79" xfId="0" applyFont="1" applyFill="1" applyBorder="1" applyAlignment="1">
      <alignment horizontal="center"/>
    </xf>
    <xf numFmtId="0" fontId="5" fillId="0" borderId="79" xfId="0" applyFont="1" applyBorder="1" applyAlignment="1">
      <alignment horizontal="center"/>
    </xf>
    <xf numFmtId="0" fontId="5" fillId="0" borderId="46" xfId="0" applyFont="1" applyBorder="1" applyAlignment="1">
      <alignment horizontal="left" vertical="center"/>
    </xf>
    <xf numFmtId="0" fontId="5" fillId="0" borderId="0" xfId="0" applyFont="1" applyAlignment="1">
      <alignment horizontal="center" vertical="center" shrinkToFit="1"/>
    </xf>
    <xf numFmtId="0" fontId="24" fillId="0" borderId="46" xfId="0" applyFont="1" applyBorder="1" applyAlignment="1">
      <alignment horizontal="center" vertical="center"/>
    </xf>
    <xf numFmtId="0" fontId="18" fillId="0" borderId="49" xfId="0" applyFont="1" applyBorder="1" applyAlignment="1" applyProtection="1">
      <alignment horizontal="center"/>
      <protection locked="0"/>
    </xf>
    <xf numFmtId="0" fontId="6" fillId="0" borderId="46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2" fontId="0" fillId="0" borderId="21" xfId="0" applyNumberFormat="1" applyBorder="1"/>
    <xf numFmtId="0" fontId="7" fillId="0" borderId="89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4" fillId="0" borderId="90" xfId="0" applyFont="1" applyBorder="1" applyAlignment="1">
      <alignment horizontal="center"/>
    </xf>
    <xf numFmtId="0" fontId="5" fillId="0" borderId="90" xfId="0" applyFont="1" applyBorder="1" applyAlignment="1">
      <alignment horizontal="center"/>
    </xf>
    <xf numFmtId="0" fontId="5" fillId="24" borderId="90" xfId="0" applyFont="1" applyFill="1" applyBorder="1" applyAlignment="1">
      <alignment horizontal="center"/>
    </xf>
    <xf numFmtId="0" fontId="7" fillId="37" borderId="91" xfId="0" applyFont="1" applyFill="1" applyBorder="1" applyAlignment="1">
      <alignment horizontal="center" wrapText="1"/>
    </xf>
    <xf numFmtId="0" fontId="25" fillId="0" borderId="11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5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76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5" fillId="0" borderId="75" xfId="0" applyFont="1" applyBorder="1" applyAlignment="1">
      <alignment horizontal="center"/>
    </xf>
    <xf numFmtId="0" fontId="5" fillId="0" borderId="92" xfId="0" applyFont="1" applyBorder="1" applyAlignment="1">
      <alignment horizontal="center"/>
    </xf>
    <xf numFmtId="0" fontId="5" fillId="24" borderId="92" xfId="0" applyFont="1" applyFill="1" applyBorder="1" applyAlignment="1">
      <alignment horizontal="center"/>
    </xf>
    <xf numFmtId="0" fontId="26" fillId="0" borderId="0" xfId="0" applyFont="1" applyAlignment="1">
      <alignment horizontal="center"/>
    </xf>
    <xf numFmtId="0" fontId="19" fillId="49" borderId="44" xfId="0" applyFont="1" applyFill="1" applyBorder="1" applyAlignment="1">
      <alignment wrapText="1"/>
    </xf>
    <xf numFmtId="0" fontId="19" fillId="49" borderId="93" xfId="0" applyFont="1" applyFill="1" applyBorder="1" applyAlignment="1">
      <alignment horizontal="center" wrapText="1"/>
    </xf>
    <xf numFmtId="0" fontId="19" fillId="49" borderId="10" xfId="0" applyFont="1" applyFill="1" applyBorder="1" applyAlignment="1">
      <alignment horizontal="left" wrapText="1"/>
    </xf>
    <xf numFmtId="0" fontId="19" fillId="0" borderId="17" xfId="0" applyFont="1" applyBorder="1" applyAlignment="1">
      <alignment wrapText="1"/>
    </xf>
    <xf numFmtId="171" fontId="19" fillId="0" borderId="94" xfId="0" applyNumberFormat="1" applyFont="1" applyBorder="1" applyAlignment="1">
      <alignment horizontal="right" wrapText="1"/>
    </xf>
    <xf numFmtId="171" fontId="19" fillId="0" borderId="14" xfId="0" applyNumberFormat="1" applyFont="1" applyBorder="1" applyAlignment="1">
      <alignment horizontal="right" wrapText="1"/>
    </xf>
    <xf numFmtId="172" fontId="19" fillId="0" borderId="0" xfId="0" applyNumberFormat="1" applyFont="1" applyAlignment="1">
      <alignment horizontal="center"/>
    </xf>
    <xf numFmtId="0" fontId="19" fillId="0" borderId="44" xfId="0" applyFont="1" applyBorder="1" applyAlignment="1">
      <alignment wrapText="1"/>
    </xf>
    <xf numFmtId="171" fontId="19" fillId="0" borderId="95" xfId="0" applyNumberFormat="1" applyFont="1" applyBorder="1" applyAlignment="1">
      <alignment horizontal="right" wrapText="1"/>
    </xf>
    <xf numFmtId="0" fontId="19" fillId="0" borderId="0" xfId="0" applyFont="1" applyAlignment="1">
      <alignment horizontal="center"/>
    </xf>
    <xf numFmtId="0" fontId="19" fillId="24" borderId="95" xfId="0" applyFont="1" applyFill="1" applyBorder="1"/>
    <xf numFmtId="172" fontId="19" fillId="0" borderId="95" xfId="0" applyNumberFormat="1" applyFont="1" applyBorder="1" applyAlignment="1">
      <alignment horizontal="center"/>
    </xf>
    <xf numFmtId="0" fontId="19" fillId="39" borderId="44" xfId="0" applyFont="1" applyFill="1" applyBorder="1" applyAlignment="1">
      <alignment wrapText="1"/>
    </xf>
    <xf numFmtId="171" fontId="19" fillId="39" borderId="95" xfId="0" applyNumberFormat="1" applyFont="1" applyFill="1" applyBorder="1" applyAlignment="1">
      <alignment horizontal="right" wrapText="1"/>
    </xf>
    <xf numFmtId="0" fontId="19" fillId="0" borderId="95" xfId="0" applyFont="1" applyBorder="1" applyAlignment="1">
      <alignment horizontal="center"/>
    </xf>
    <xf numFmtId="0" fontId="27" fillId="39" borderId="44" xfId="0" applyFont="1" applyFill="1" applyBorder="1" applyAlignment="1">
      <alignment wrapText="1"/>
    </xf>
    <xf numFmtId="0" fontId="19" fillId="0" borderId="96" xfId="0" applyFont="1" applyBorder="1" applyAlignment="1">
      <alignment horizontal="center"/>
    </xf>
    <xf numFmtId="0" fontId="27" fillId="47" borderId="44" xfId="0" applyFont="1" applyFill="1" applyBorder="1" applyAlignment="1">
      <alignment wrapText="1"/>
    </xf>
    <xf numFmtId="171" fontId="19" fillId="47" borderId="95" xfId="0" applyNumberFormat="1" applyFont="1" applyFill="1" applyBorder="1" applyAlignment="1">
      <alignment horizontal="right"/>
    </xf>
    <xf numFmtId="0" fontId="27" fillId="40" borderId="44" xfId="0" applyFont="1" applyFill="1" applyBorder="1"/>
    <xf numFmtId="171" fontId="19" fillId="40" borderId="95" xfId="0" applyNumberFormat="1" applyFont="1" applyFill="1" applyBorder="1" applyAlignment="1">
      <alignment horizontal="right" wrapText="1"/>
    </xf>
    <xf numFmtId="0" fontId="27" fillId="38" borderId="44" xfId="0" applyFont="1" applyFill="1" applyBorder="1"/>
    <xf numFmtId="171" fontId="19" fillId="38" borderId="95" xfId="0" applyNumberFormat="1" applyFont="1" applyFill="1" applyBorder="1" applyAlignment="1">
      <alignment horizontal="right" wrapText="1"/>
    </xf>
    <xf numFmtId="171" fontId="19" fillId="38" borderId="96" xfId="0" applyNumberFormat="1" applyFont="1" applyFill="1" applyBorder="1" applyAlignment="1">
      <alignment horizontal="right" wrapText="1"/>
    </xf>
    <xf numFmtId="173" fontId="0" fillId="0" borderId="0" xfId="0" applyNumberFormat="1"/>
    <xf numFmtId="0" fontId="28" fillId="0" borderId="0" xfId="0" applyFont="1"/>
    <xf numFmtId="0" fontId="0" fillId="24" borderId="46" xfId="0" applyFill="1" applyBorder="1" applyAlignment="1">
      <alignment horizontal="center"/>
    </xf>
    <xf numFmtId="0" fontId="0" fillId="24" borderId="49" xfId="0" applyFill="1" applyBorder="1" applyAlignment="1">
      <alignment horizontal="center"/>
    </xf>
    <xf numFmtId="0" fontId="0" fillId="0" borderId="89" xfId="0" applyBorder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74" fontId="0" fillId="0" borderId="0" xfId="0" applyNumberFormat="1" applyAlignment="1">
      <alignment wrapText="1"/>
    </xf>
    <xf numFmtId="0" fontId="0" fillId="0" borderId="43" xfId="0" applyBorder="1"/>
    <xf numFmtId="174" fontId="0" fillId="0" borderId="0" xfId="0" applyNumberFormat="1"/>
    <xf numFmtId="0" fontId="0" fillId="0" borderId="0" xfId="0" applyAlignment="1">
      <alignment horizontal="center" wrapText="1"/>
    </xf>
    <xf numFmtId="174" fontId="0" fillId="0" borderId="0" xfId="0" applyNumberFormat="1" applyAlignment="1">
      <alignment horizontal="center" wrapText="1"/>
    </xf>
    <xf numFmtId="17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0" fillId="0" borderId="73" xfId="0" applyBorder="1"/>
    <xf numFmtId="3" fontId="0" fillId="0" borderId="0" xfId="0" applyNumberFormat="1"/>
    <xf numFmtId="175" fontId="0" fillId="0" borderId="0" xfId="0" applyNumberFormat="1"/>
    <xf numFmtId="0" fontId="2" fillId="40" borderId="0" xfId="0" applyFont="1" applyFill="1"/>
    <xf numFmtId="0" fontId="2" fillId="0" borderId="72" xfId="0" applyFont="1" applyBorder="1" applyAlignment="1">
      <alignment wrapText="1"/>
    </xf>
    <xf numFmtId="0" fontId="0" fillId="39" borderId="25" xfId="0" applyFill="1" applyBorder="1" applyAlignment="1">
      <alignment wrapText="1"/>
    </xf>
    <xf numFmtId="0" fontId="0" fillId="0" borderId="26" xfId="0" applyBorder="1" applyAlignment="1">
      <alignment wrapText="1"/>
    </xf>
    <xf numFmtId="0" fontId="0" fillId="0" borderId="27" xfId="0" applyBorder="1" applyAlignment="1">
      <alignment wrapText="1"/>
    </xf>
    <xf numFmtId="174" fontId="0" fillId="39" borderId="25" xfId="0" applyNumberFormat="1" applyFill="1" applyBorder="1" applyAlignment="1">
      <alignment wrapText="1"/>
    </xf>
    <xf numFmtId="174" fontId="0" fillId="0" borderId="26" xfId="0" applyNumberFormat="1" applyBorder="1" applyAlignment="1">
      <alignment wrapText="1"/>
    </xf>
    <xf numFmtId="0" fontId="0" fillId="39" borderId="41" xfId="0" applyFill="1" applyBorder="1"/>
    <xf numFmtId="0" fontId="0" fillId="0" borderId="42" xfId="0" applyBorder="1"/>
    <xf numFmtId="0" fontId="0" fillId="0" borderId="73" xfId="0" applyBorder="1" applyAlignment="1">
      <alignment wrapText="1"/>
    </xf>
    <xf numFmtId="174" fontId="0" fillId="39" borderId="41" xfId="0" applyNumberFormat="1" applyFill="1" applyBorder="1"/>
    <xf numFmtId="174" fontId="0" fillId="0" borderId="52" xfId="0" applyNumberFormat="1" applyBorder="1"/>
    <xf numFmtId="0" fontId="0" fillId="0" borderId="52" xfId="0" applyBorder="1" applyAlignment="1">
      <alignment wrapText="1"/>
    </xf>
    <xf numFmtId="0" fontId="0" fillId="39" borderId="41" xfId="0" applyFill="1" applyBorder="1" applyAlignment="1">
      <alignment wrapText="1"/>
    </xf>
    <xf numFmtId="0" fontId="0" fillId="0" borderId="42" xfId="0" applyBorder="1" applyAlignment="1">
      <alignment wrapText="1"/>
    </xf>
    <xf numFmtId="0" fontId="0" fillId="29" borderId="73" xfId="0" applyFill="1" applyBorder="1" applyAlignment="1">
      <alignment wrapText="1"/>
    </xf>
    <xf numFmtId="174" fontId="0" fillId="39" borderId="41" xfId="0" applyNumberFormat="1" applyFill="1" applyBorder="1" applyAlignment="1">
      <alignment wrapText="1"/>
    </xf>
    <xf numFmtId="174" fontId="0" fillId="0" borderId="52" xfId="0" applyNumberFormat="1" applyBorder="1" applyAlignment="1">
      <alignment wrapText="1"/>
    </xf>
    <xf numFmtId="0" fontId="0" fillId="39" borderId="41" xfId="0" applyFill="1" applyBorder="1" applyAlignment="1">
      <alignment horizontal="center" wrapText="1"/>
    </xf>
    <xf numFmtId="0" fontId="0" fillId="0" borderId="52" xfId="0" applyBorder="1" applyAlignment="1">
      <alignment horizontal="center" wrapText="1"/>
    </xf>
    <xf numFmtId="174" fontId="0" fillId="39" borderId="41" xfId="0" applyNumberFormat="1" applyFill="1" applyBorder="1" applyAlignment="1">
      <alignment horizontal="center" wrapText="1"/>
    </xf>
    <xf numFmtId="0" fontId="0" fillId="0" borderId="41" xfId="0" applyBorder="1" applyAlignment="1">
      <alignment horizontal="center" wrapText="1"/>
    </xf>
    <xf numFmtId="0" fontId="0" fillId="39" borderId="52" xfId="0" applyFill="1" applyBorder="1" applyAlignment="1">
      <alignment horizontal="center" wrapText="1"/>
    </xf>
    <xf numFmtId="0" fontId="0" fillId="28" borderId="73" xfId="0" applyFill="1" applyBorder="1" applyAlignment="1">
      <alignment wrapText="1"/>
    </xf>
    <xf numFmtId="174" fontId="0" fillId="39" borderId="52" xfId="0" applyNumberFormat="1" applyFill="1" applyBorder="1" applyAlignment="1">
      <alignment horizontal="center" wrapText="1"/>
    </xf>
    <xf numFmtId="174" fontId="0" fillId="0" borderId="52" xfId="0" applyNumberFormat="1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48" borderId="73" xfId="0" applyFill="1" applyBorder="1" applyAlignment="1">
      <alignment wrapText="1"/>
    </xf>
    <xf numFmtId="174" fontId="0" fillId="39" borderId="46" xfId="0" applyNumberFormat="1" applyFill="1" applyBorder="1" applyAlignment="1">
      <alignment horizontal="center"/>
    </xf>
    <xf numFmtId="2" fontId="0" fillId="0" borderId="59" xfId="0" applyNumberFormat="1" applyBorder="1" applyAlignment="1">
      <alignment horizontal="center"/>
    </xf>
    <xf numFmtId="171" fontId="0" fillId="0" borderId="59" xfId="0" applyNumberFormat="1" applyBorder="1" applyAlignment="1">
      <alignment horizontal="center"/>
    </xf>
    <xf numFmtId="3" fontId="0" fillId="0" borderId="44" xfId="0" applyNumberFormat="1" applyBorder="1" applyAlignment="1">
      <alignment horizontal="center"/>
    </xf>
    <xf numFmtId="176" fontId="0" fillId="0" borderId="44" xfId="0" applyNumberFormat="1" applyBorder="1" applyAlignment="1">
      <alignment horizontal="center"/>
    </xf>
    <xf numFmtId="174" fontId="0" fillId="0" borderId="46" xfId="0" applyNumberFormat="1" applyBorder="1"/>
    <xf numFmtId="172" fontId="0" fillId="0" borderId="46" xfId="0" applyNumberFormat="1" applyBorder="1"/>
    <xf numFmtId="0" fontId="0" fillId="0" borderId="19" xfId="0" applyBorder="1"/>
    <xf numFmtId="174" fontId="0" fillId="0" borderId="21" xfId="0" applyNumberFormat="1" applyBorder="1"/>
    <xf numFmtId="0" fontId="0" fillId="28" borderId="21" xfId="0" applyFill="1" applyBorder="1"/>
    <xf numFmtId="174" fontId="0" fillId="39" borderId="21" xfId="0" applyNumberFormat="1" applyFill="1" applyBorder="1"/>
    <xf numFmtId="171" fontId="0" fillId="0" borderId="87" xfId="0" applyNumberFormat="1" applyBorder="1"/>
    <xf numFmtId="3" fontId="0" fillId="28" borderId="21" xfId="0" applyNumberFormat="1" applyFill="1" applyBorder="1"/>
    <xf numFmtId="175" fontId="0" fillId="0" borderId="87" xfId="0" applyNumberFormat="1" applyBorder="1"/>
    <xf numFmtId="0" fontId="7" fillId="0" borderId="0" xfId="0" applyFont="1"/>
    <xf numFmtId="0" fontId="7" fillId="0" borderId="46" xfId="0" applyFont="1" applyBorder="1"/>
    <xf numFmtId="0" fontId="7" fillId="0" borderId="76" xfId="0" applyFont="1" applyBorder="1" applyAlignment="1">
      <alignment horizontal="center"/>
    </xf>
    <xf numFmtId="49" fontId="7" fillId="0" borderId="46" xfId="0" applyNumberFormat="1" applyFont="1" applyBorder="1"/>
    <xf numFmtId="2" fontId="7" fillId="0" borderId="46" xfId="0" applyNumberFormat="1" applyFont="1" applyBorder="1"/>
    <xf numFmtId="2" fontId="7" fillId="0" borderId="76" xfId="0" applyNumberFormat="1" applyFont="1" applyBorder="1"/>
    <xf numFmtId="2" fontId="7" fillId="0" borderId="46" xfId="0" applyNumberFormat="1" applyFont="1" applyBorder="1" applyAlignment="1">
      <alignment horizontal="right"/>
    </xf>
    <xf numFmtId="49" fontId="7" fillId="0" borderId="30" xfId="0" applyNumberFormat="1" applyFont="1" applyBorder="1"/>
    <xf numFmtId="2" fontId="7" fillId="0" borderId="30" xfId="0" applyNumberFormat="1" applyFont="1" applyBorder="1"/>
    <xf numFmtId="2" fontId="7" fillId="0" borderId="81" xfId="0" applyNumberFormat="1" applyFont="1" applyBorder="1"/>
    <xf numFmtId="2" fontId="7" fillId="0" borderId="49" xfId="0" applyNumberFormat="1" applyFont="1" applyBorder="1"/>
    <xf numFmtId="49" fontId="7" fillId="0" borderId="20" xfId="0" applyNumberFormat="1" applyFont="1" applyBorder="1"/>
    <xf numFmtId="2" fontId="7" fillId="0" borderId="20" xfId="0" applyNumberFormat="1" applyFont="1" applyBorder="1"/>
    <xf numFmtId="2" fontId="7" fillId="0" borderId="22" xfId="0" applyNumberFormat="1" applyFont="1" applyBorder="1"/>
    <xf numFmtId="2" fontId="7" fillId="0" borderId="55" xfId="0" applyNumberFormat="1" applyFont="1" applyBorder="1"/>
    <xf numFmtId="49" fontId="7" fillId="0" borderId="0" xfId="0" applyNumberFormat="1" applyFont="1"/>
    <xf numFmtId="2" fontId="7" fillId="0" borderId="0" xfId="0" applyNumberFormat="1" applyFont="1"/>
    <xf numFmtId="0" fontId="7" fillId="29" borderId="0" xfId="0" applyFont="1" applyFill="1"/>
    <xf numFmtId="2" fontId="7" fillId="29" borderId="46" xfId="0" applyNumberFormat="1" applyFont="1" applyFill="1" applyBorder="1"/>
    <xf numFmtId="49" fontId="7" fillId="0" borderId="49" xfId="0" applyNumberFormat="1" applyFont="1" applyBorder="1"/>
    <xf numFmtId="2" fontId="7" fillId="29" borderId="49" xfId="0" applyNumberFormat="1" applyFont="1" applyFill="1" applyBorder="1"/>
    <xf numFmtId="49" fontId="7" fillId="0" borderId="54" xfId="0" applyNumberFormat="1" applyFont="1" applyBorder="1"/>
    <xf numFmtId="2" fontId="7" fillId="0" borderId="38" xfId="0" applyNumberFormat="1" applyFont="1" applyBorder="1"/>
    <xf numFmtId="2" fontId="7" fillId="0" borderId="40" xfId="0" applyNumberFormat="1" applyFont="1" applyBorder="1"/>
    <xf numFmtId="2" fontId="7" fillId="48" borderId="15" xfId="0" applyNumberFormat="1" applyFont="1" applyFill="1" applyBorder="1"/>
    <xf numFmtId="2" fontId="7" fillId="29" borderId="15" xfId="0" applyNumberFormat="1" applyFont="1" applyFill="1" applyBorder="1"/>
    <xf numFmtId="2" fontId="7" fillId="40" borderId="46" xfId="0" applyNumberFormat="1" applyFont="1" applyFill="1" applyBorder="1"/>
    <xf numFmtId="49" fontId="29" fillId="47" borderId="46" xfId="0" applyNumberFormat="1" applyFont="1" applyFill="1" applyBorder="1"/>
    <xf numFmtId="2" fontId="29" fillId="47" borderId="46" xfId="0" applyNumberFormat="1" applyFont="1" applyFill="1" applyBorder="1"/>
    <xf numFmtId="2" fontId="29" fillId="29" borderId="55" xfId="0" applyNumberFormat="1" applyFont="1" applyFill="1" applyBorder="1"/>
    <xf numFmtId="49" fontId="29" fillId="0" borderId="0" xfId="0" applyNumberFormat="1" applyFont="1"/>
    <xf numFmtId="1" fontId="7" fillId="0" borderId="46" xfId="0" applyNumberFormat="1" applyFont="1" applyBorder="1" applyAlignment="1">
      <alignment horizontal="center"/>
    </xf>
    <xf numFmtId="175" fontId="7" fillId="0" borderId="46" xfId="0" applyNumberFormat="1" applyFont="1" applyBorder="1" applyAlignment="1">
      <alignment horizontal="center"/>
    </xf>
    <xf numFmtId="1" fontId="7" fillId="0" borderId="0" xfId="0" applyNumberFormat="1" applyFont="1"/>
    <xf numFmtId="1" fontId="7" fillId="40" borderId="46" xfId="0" applyNumberFormat="1" applyFont="1" applyFill="1" applyBorder="1"/>
    <xf numFmtId="0" fontId="20" fillId="45" borderId="0" xfId="0" applyFont="1" applyFill="1"/>
    <xf numFmtId="0" fontId="0" fillId="45" borderId="0" xfId="0" applyFill="1"/>
    <xf numFmtId="0" fontId="2" fillId="45" borderId="0" xfId="0" applyFont="1" applyFill="1"/>
    <xf numFmtId="0" fontId="2" fillId="0" borderId="28" xfId="0" applyFont="1" applyBorder="1"/>
    <xf numFmtId="0" fontId="7" fillId="0" borderId="11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1" fontId="7" fillId="0" borderId="15" xfId="0" applyNumberFormat="1" applyFont="1" applyBorder="1" applyAlignment="1">
      <alignment horizontal="center"/>
    </xf>
    <xf numFmtId="1" fontId="7" fillId="0" borderId="18" xfId="0" applyNumberFormat="1" applyFont="1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7" fillId="0" borderId="23" xfId="0" applyNumberFormat="1" applyFont="1" applyBorder="1" applyAlignment="1">
      <alignment horizontal="center"/>
    </xf>
    <xf numFmtId="4" fontId="2" fillId="0" borderId="76" xfId="0" applyNumberFormat="1" applyFont="1" applyBorder="1"/>
    <xf numFmtId="0" fontId="2" fillId="0" borderId="76" xfId="0" applyFont="1" applyBorder="1"/>
    <xf numFmtId="3" fontId="0" fillId="0" borderId="76" xfId="0" applyNumberFormat="1" applyBorder="1"/>
    <xf numFmtId="0" fontId="0" fillId="0" borderId="76" xfId="0" applyBorder="1" applyAlignment="1">
      <alignment horizontal="center"/>
    </xf>
    <xf numFmtId="3" fontId="30" fillId="0" borderId="15" xfId="0" applyNumberFormat="1" applyFont="1" applyBorder="1" applyAlignment="1">
      <alignment horizontal="center"/>
    </xf>
    <xf numFmtId="0" fontId="0" fillId="0" borderId="71" xfId="0" applyBorder="1"/>
    <xf numFmtId="3" fontId="2" fillId="0" borderId="54" xfId="0" applyNumberFormat="1" applyFont="1" applyBorder="1"/>
    <xf numFmtId="3" fontId="2" fillId="0" borderId="0" xfId="0" applyNumberFormat="1" applyFont="1"/>
    <xf numFmtId="14" fontId="0" fillId="0" borderId="44" xfId="0" applyNumberFormat="1" applyBorder="1"/>
    <xf numFmtId="3" fontId="0" fillId="0" borderId="15" xfId="0" applyNumberFormat="1" applyBorder="1"/>
    <xf numFmtId="3" fontId="29" fillId="0" borderId="0" xfId="0" applyNumberFormat="1" applyFont="1"/>
    <xf numFmtId="1" fontId="0" fillId="0" borderId="0" xfId="0" applyNumberFormat="1"/>
    <xf numFmtId="3" fontId="0" fillId="0" borderId="46" xfId="0" applyNumberFormat="1" applyBorder="1"/>
    <xf numFmtId="3" fontId="7" fillId="0" borderId="0" xfId="0" applyNumberFormat="1" applyFont="1"/>
    <xf numFmtId="0" fontId="0" fillId="0" borderId="44" xfId="0" applyBorder="1" applyAlignment="1">
      <alignment horizontal="right"/>
    </xf>
    <xf numFmtId="0" fontId="22" fillId="0" borderId="46" xfId="0" applyFont="1" applyBorder="1" applyAlignment="1">
      <alignment horizontal="center"/>
    </xf>
    <xf numFmtId="0" fontId="22" fillId="0" borderId="44" xfId="0" applyFont="1" applyBorder="1"/>
    <xf numFmtId="14" fontId="22" fillId="0" borderId="44" xfId="0" applyNumberFormat="1" applyFont="1" applyBorder="1"/>
    <xf numFmtId="0" fontId="22" fillId="0" borderId="76" xfId="0" applyFont="1" applyBorder="1"/>
    <xf numFmtId="3" fontId="22" fillId="0" borderId="76" xfId="0" applyNumberFormat="1" applyFont="1" applyBorder="1"/>
    <xf numFmtId="49" fontId="0" fillId="0" borderId="46" xfId="0" applyNumberFormat="1" applyBorder="1"/>
    <xf numFmtId="0" fontId="0" fillId="24" borderId="44" xfId="0" applyFill="1" applyBorder="1"/>
    <xf numFmtId="14" fontId="0" fillId="24" borderId="44" xfId="0" applyNumberFormat="1" applyFill="1" applyBorder="1"/>
    <xf numFmtId="0" fontId="0" fillId="24" borderId="76" xfId="0" applyFill="1" applyBorder="1"/>
    <xf numFmtId="3" fontId="0" fillId="24" borderId="49" xfId="0" applyNumberFormat="1" applyFill="1" applyBorder="1"/>
    <xf numFmtId="3" fontId="22" fillId="0" borderId="0" xfId="0" applyNumberFormat="1" applyFont="1"/>
    <xf numFmtId="0" fontId="17" fillId="0" borderId="46" xfId="0" applyFont="1" applyBorder="1" applyAlignment="1">
      <alignment horizontal="center"/>
    </xf>
    <xf numFmtId="0" fontId="0" fillId="0" borderId="75" xfId="0" applyBorder="1"/>
    <xf numFmtId="14" fontId="0" fillId="0" borderId="75" xfId="0" applyNumberFormat="1" applyBorder="1"/>
    <xf numFmtId="3" fontId="0" fillId="0" borderId="79" xfId="0" applyNumberFormat="1" applyBorder="1"/>
    <xf numFmtId="3" fontId="0" fillId="0" borderId="49" xfId="0" applyNumberFormat="1" applyBorder="1"/>
    <xf numFmtId="0" fontId="0" fillId="0" borderId="75" xfId="0" applyBorder="1" applyAlignment="1">
      <alignment horizontal="right"/>
    </xf>
    <xf numFmtId="0" fontId="31" fillId="0" borderId="79" xfId="0" applyFont="1" applyBorder="1"/>
    <xf numFmtId="14" fontId="22" fillId="0" borderId="75" xfId="0" applyNumberFormat="1" applyFont="1" applyBorder="1"/>
    <xf numFmtId="0" fontId="22" fillId="0" borderId="79" xfId="0" applyFont="1" applyBorder="1"/>
    <xf numFmtId="3" fontId="22" fillId="0" borderId="49" xfId="0" applyNumberFormat="1" applyFont="1" applyBorder="1"/>
    <xf numFmtId="0" fontId="31" fillId="0" borderId="75" xfId="0" applyFont="1" applyBorder="1"/>
    <xf numFmtId="3" fontId="31" fillId="0" borderId="79" xfId="0" applyNumberFormat="1" applyFont="1" applyBorder="1"/>
    <xf numFmtId="3" fontId="5" fillId="0" borderId="0" xfId="0" applyNumberFormat="1" applyFont="1"/>
    <xf numFmtId="0" fontId="31" fillId="0" borderId="46" xfId="0" applyFont="1" applyBorder="1" applyAlignment="1">
      <alignment horizontal="center"/>
    </xf>
    <xf numFmtId="0" fontId="31" fillId="0" borderId="75" xfId="0" applyFont="1" applyBorder="1" applyAlignment="1">
      <alignment horizontal="right"/>
    </xf>
    <xf numFmtId="0" fontId="22" fillId="0" borderId="76" xfId="0" applyFont="1" applyBorder="1" applyAlignment="1">
      <alignment horizontal="left"/>
    </xf>
    <xf numFmtId="3" fontId="31" fillId="0" borderId="76" xfId="0" applyNumberFormat="1" applyFont="1" applyBorder="1"/>
    <xf numFmtId="0" fontId="31" fillId="0" borderId="76" xfId="0" applyFont="1" applyBorder="1"/>
    <xf numFmtId="0" fontId="32" fillId="0" borderId="0" xfId="0" applyFont="1" applyAlignment="1">
      <alignment horizontal="left" indent="1"/>
    </xf>
    <xf numFmtId="37" fontId="5" fillId="0" borderId="46" xfId="0" applyNumberFormat="1" applyFont="1" applyBorder="1" applyAlignment="1">
      <alignment horizontal="right"/>
    </xf>
    <xf numFmtId="3" fontId="30" fillId="0" borderId="54" xfId="0" applyNumberFormat="1" applyFont="1" applyBorder="1"/>
    <xf numFmtId="4" fontId="0" fillId="0" borderId="78" xfId="0" applyNumberFormat="1" applyBorder="1"/>
    <xf numFmtId="3" fontId="2" fillId="0" borderId="15" xfId="0" applyNumberFormat="1" applyFont="1" applyBorder="1"/>
    <xf numFmtId="2" fontId="29" fillId="0" borderId="0" xfId="0" applyNumberFormat="1" applyFont="1"/>
    <xf numFmtId="37" fontId="0" fillId="0" borderId="0" xfId="0" applyNumberFormat="1"/>
    <xf numFmtId="49" fontId="29" fillId="0" borderId="46" xfId="0" applyNumberFormat="1" applyFont="1" applyBorder="1"/>
    <xf numFmtId="3" fontId="7" fillId="0" borderId="46" xfId="0" applyNumberFormat="1" applyFont="1" applyBorder="1"/>
    <xf numFmtId="177" fontId="7" fillId="0" borderId="46" xfId="0" applyNumberFormat="1" applyFont="1" applyBorder="1"/>
    <xf numFmtId="3" fontId="7" fillId="0" borderId="49" xfId="0" applyNumberFormat="1" applyFont="1" applyBorder="1"/>
    <xf numFmtId="177" fontId="7" fillId="0" borderId="49" xfId="0" applyNumberFormat="1" applyFont="1" applyBorder="1"/>
    <xf numFmtId="49" fontId="29" fillId="39" borderId="54" xfId="0" applyNumberFormat="1" applyFont="1" applyFill="1" applyBorder="1"/>
    <xf numFmtId="3" fontId="29" fillId="39" borderId="38" xfId="0" applyNumberFormat="1" applyFont="1" applyFill="1" applyBorder="1"/>
    <xf numFmtId="3" fontId="29" fillId="39" borderId="40" xfId="0" applyNumberFormat="1" applyFont="1" applyFill="1" applyBorder="1"/>
    <xf numFmtId="0" fontId="7" fillId="0" borderId="15" xfId="0" applyFont="1" applyBorder="1"/>
    <xf numFmtId="177" fontId="7" fillId="0" borderId="15" xfId="0" applyNumberFormat="1" applyFont="1" applyBorder="1"/>
    <xf numFmtId="177" fontId="7" fillId="0" borderId="78" xfId="0" applyNumberFormat="1" applyFont="1" applyBorder="1"/>
    <xf numFmtId="177" fontId="7" fillId="0" borderId="76" xfId="0" applyNumberFormat="1" applyFont="1" applyBorder="1"/>
    <xf numFmtId="0" fontId="7" fillId="0" borderId="68" xfId="0" applyFont="1" applyBorder="1"/>
    <xf numFmtId="177" fontId="7" fillId="0" borderId="41" xfId="0" applyNumberFormat="1" applyFont="1" applyBorder="1"/>
    <xf numFmtId="3" fontId="7" fillId="0" borderId="41" xfId="0" applyNumberFormat="1" applyFont="1" applyBorder="1"/>
    <xf numFmtId="0" fontId="29" fillId="39" borderId="89" xfId="0" applyFont="1" applyFill="1" applyBorder="1"/>
    <xf numFmtId="177" fontId="29" fillId="39" borderId="20" xfId="0" applyNumberFormat="1" applyFont="1" applyFill="1" applyBorder="1"/>
    <xf numFmtId="0" fontId="29" fillId="39" borderId="49" xfId="0" applyFont="1" applyFill="1" applyBorder="1"/>
    <xf numFmtId="3" fontId="29" fillId="39" borderId="49" xfId="0" applyNumberFormat="1" applyFont="1" applyFill="1" applyBorder="1"/>
    <xf numFmtId="0" fontId="29" fillId="0" borderId="49" xfId="0" applyFont="1" applyBorder="1"/>
    <xf numFmtId="3" fontId="29" fillId="0" borderId="49" xfId="0" applyNumberFormat="1" applyFont="1" applyBorder="1"/>
    <xf numFmtId="0" fontId="7" fillId="0" borderId="49" xfId="0" applyFont="1" applyBorder="1"/>
    <xf numFmtId="0" fontId="29" fillId="24" borderId="54" xfId="0" applyFont="1" applyFill="1" applyBorder="1"/>
    <xf numFmtId="3" fontId="29" fillId="24" borderId="38" xfId="0" applyNumberFormat="1" applyFont="1" applyFill="1" applyBorder="1"/>
    <xf numFmtId="0" fontId="29" fillId="0" borderId="71" xfId="0" applyFont="1" applyBorder="1"/>
    <xf numFmtId="177" fontId="29" fillId="0" borderId="71" xfId="0" applyNumberFormat="1" applyFont="1" applyBorder="1"/>
    <xf numFmtId="2" fontId="7" fillId="0" borderId="67" xfId="0" applyNumberFormat="1" applyFont="1" applyBorder="1"/>
    <xf numFmtId="2" fontId="20" fillId="0" borderId="0" xfId="0" applyNumberFormat="1" applyFont="1"/>
    <xf numFmtId="49" fontId="7" fillId="0" borderId="68" xfId="0" applyNumberFormat="1" applyFont="1" applyBorder="1"/>
    <xf numFmtId="3" fontId="7" fillId="0" borderId="76" xfId="0" applyNumberFormat="1" applyFont="1" applyBorder="1"/>
    <xf numFmtId="0" fontId="29" fillId="39" borderId="54" xfId="0" applyFont="1" applyFill="1" applyBorder="1"/>
    <xf numFmtId="177" fontId="29" fillId="39" borderId="38" xfId="0" applyNumberFormat="1" applyFont="1" applyFill="1" applyBorder="1"/>
    <xf numFmtId="177" fontId="29" fillId="39" borderId="46" xfId="0" applyNumberFormat="1" applyFont="1" applyFill="1" applyBorder="1"/>
    <xf numFmtId="0" fontId="29" fillId="39" borderId="46" xfId="0" applyFont="1" applyFill="1" applyBorder="1"/>
    <xf numFmtId="3" fontId="29" fillId="39" borderId="46" xfId="0" applyNumberFormat="1" applyFont="1" applyFill="1" applyBorder="1"/>
    <xf numFmtId="3" fontId="7" fillId="0" borderId="15" xfId="0" applyNumberFormat="1" applyFont="1" applyBorder="1"/>
    <xf numFmtId="3" fontId="29" fillId="0" borderId="15" xfId="0" applyNumberFormat="1" applyFont="1" applyBorder="1"/>
    <xf numFmtId="0" fontId="29" fillId="24" borderId="46" xfId="0" applyFont="1" applyFill="1" applyBorder="1"/>
    <xf numFmtId="3" fontId="29" fillId="24" borderId="46" xfId="0" applyNumberFormat="1" applyFont="1" applyFill="1" applyBorder="1"/>
    <xf numFmtId="2" fontId="29" fillId="47" borderId="44" xfId="0" applyNumberFormat="1" applyFont="1" applyFill="1" applyBorder="1"/>
    <xf numFmtId="2" fontId="7" fillId="47" borderId="55" xfId="0" applyNumberFormat="1" applyFont="1" applyFill="1" applyBorder="1"/>
    <xf numFmtId="49" fontId="7" fillId="0" borderId="21" xfId="0" applyNumberFormat="1" applyFont="1" applyBorder="1"/>
    <xf numFmtId="2" fontId="7" fillId="0" borderId="21" xfId="0" applyNumberFormat="1" applyFont="1" applyBorder="1"/>
    <xf numFmtId="0" fontId="7" fillId="0" borderId="21" xfId="0" applyFont="1" applyBorder="1"/>
    <xf numFmtId="0" fontId="20" fillId="40" borderId="69" xfId="0" applyFont="1" applyFill="1" applyBorder="1" applyAlignment="1">
      <alignment horizontal="center"/>
    </xf>
    <xf numFmtId="4" fontId="2" fillId="0" borderId="79" xfId="0" applyNumberFormat="1" applyFont="1" applyBorder="1"/>
    <xf numFmtId="0" fontId="33" fillId="0" borderId="44" xfId="0" applyFont="1" applyBorder="1"/>
    <xf numFmtId="0" fontId="34" fillId="0" borderId="47" xfId="0" applyFont="1" applyBorder="1"/>
    <xf numFmtId="0" fontId="34" fillId="0" borderId="76" xfId="0" applyFont="1" applyBorder="1"/>
    <xf numFmtId="3" fontId="2" fillId="0" borderId="44" xfId="0" applyNumberFormat="1" applyFont="1" applyBorder="1"/>
    <xf numFmtId="4" fontId="0" fillId="0" borderId="76" xfId="0" applyNumberFormat="1" applyBorder="1"/>
    <xf numFmtId="3" fontId="0" fillId="0" borderId="78" xfId="0" applyNumberFormat="1" applyBorder="1"/>
    <xf numFmtId="4" fontId="0" fillId="0" borderId="0" xfId="0" applyNumberFormat="1"/>
    <xf numFmtId="3" fontId="7" fillId="39" borderId="38" xfId="0" applyNumberFormat="1" applyFont="1" applyFill="1" applyBorder="1"/>
    <xf numFmtId="177" fontId="7" fillId="39" borderId="40" xfId="0" applyNumberFormat="1" applyFont="1" applyFill="1" applyBorder="1"/>
    <xf numFmtId="177" fontId="29" fillId="39" borderId="40" xfId="0" applyNumberFormat="1" applyFont="1" applyFill="1" applyBorder="1"/>
    <xf numFmtId="177" fontId="7" fillId="0" borderId="79" xfId="0" applyNumberFormat="1" applyFont="1" applyBorder="1"/>
    <xf numFmtId="3" fontId="7" fillId="39" borderId="49" xfId="0" applyNumberFormat="1" applyFont="1" applyFill="1" applyBorder="1"/>
    <xf numFmtId="0" fontId="29" fillId="0" borderId="46" xfId="0" applyFont="1" applyBorder="1"/>
    <xf numFmtId="0" fontId="29" fillId="0" borderId="33" xfId="0" applyFont="1" applyBorder="1"/>
    <xf numFmtId="177" fontId="29" fillId="0" borderId="33" xfId="0" applyNumberFormat="1" applyFont="1" applyBorder="1"/>
    <xf numFmtId="0" fontId="20" fillId="39" borderId="0" xfId="0" applyFont="1" applyFill="1" applyAlignment="1">
      <alignment horizontal="center"/>
    </xf>
    <xf numFmtId="14" fontId="0" fillId="0" borderId="0" xfId="0" applyNumberFormat="1"/>
    <xf numFmtId="177" fontId="7" fillId="39" borderId="49" xfId="0" applyNumberFormat="1" applyFont="1" applyFill="1" applyBorder="1"/>
    <xf numFmtId="0" fontId="29" fillId="0" borderId="0" xfId="0" applyFont="1"/>
    <xf numFmtId="177" fontId="29" fillId="0" borderId="0" xfId="0" applyNumberFormat="1" applyFont="1"/>
    <xf numFmtId="0" fontId="2" fillId="39" borderId="46" xfId="0" applyFont="1" applyFill="1" applyBorder="1"/>
    <xf numFmtId="0" fontId="0" fillId="39" borderId="46" xfId="0" applyFill="1" applyBorder="1"/>
    <xf numFmtId="0" fontId="17" fillId="24" borderId="24" xfId="0" applyFont="1" applyFill="1" applyBorder="1"/>
    <xf numFmtId="0" fontId="17" fillId="24" borderId="69" xfId="0" applyFont="1" applyFill="1" applyBorder="1" applyAlignment="1">
      <alignment horizontal="center"/>
    </xf>
    <xf numFmtId="0" fontId="17" fillId="24" borderId="69" xfId="0" applyFont="1" applyFill="1" applyBorder="1" applyAlignment="1">
      <alignment wrapText="1"/>
    </xf>
    <xf numFmtId="0" fontId="17" fillId="24" borderId="69" xfId="0" applyFont="1" applyFill="1" applyBorder="1"/>
    <xf numFmtId="0" fontId="17" fillId="24" borderId="60" xfId="0" applyFont="1" applyFill="1" applyBorder="1"/>
    <xf numFmtId="0" fontId="17" fillId="24" borderId="43" xfId="0" applyFont="1" applyFill="1" applyBorder="1"/>
    <xf numFmtId="0" fontId="17" fillId="24" borderId="0" xfId="0" applyFont="1" applyFill="1"/>
    <xf numFmtId="0" fontId="17" fillId="24" borderId="0" xfId="0" applyFont="1" applyFill="1" applyAlignment="1">
      <alignment horizontal="center"/>
    </xf>
    <xf numFmtId="0" fontId="35" fillId="24" borderId="43" xfId="0" applyFont="1" applyFill="1" applyBorder="1" applyAlignment="1">
      <alignment horizontal="center"/>
    </xf>
    <xf numFmtId="0" fontId="35" fillId="24" borderId="0" xfId="0" applyFont="1" applyFill="1" applyAlignment="1">
      <alignment horizontal="center"/>
    </xf>
    <xf numFmtId="0" fontId="35" fillId="24" borderId="83" xfId="0" applyFont="1" applyFill="1" applyBorder="1" applyAlignment="1">
      <alignment horizontal="center"/>
    </xf>
    <xf numFmtId="0" fontId="17" fillId="24" borderId="83" xfId="0" applyFont="1" applyFill="1" applyBorder="1"/>
    <xf numFmtId="0" fontId="23" fillId="39" borderId="46" xfId="0" applyFont="1" applyFill="1" applyBorder="1" applyAlignment="1">
      <alignment wrapText="1"/>
    </xf>
    <xf numFmtId="0" fontId="5" fillId="0" borderId="46" xfId="0" applyFont="1" applyBorder="1" applyAlignment="1">
      <alignment wrapText="1"/>
    </xf>
    <xf numFmtId="0" fontId="7" fillId="0" borderId="76" xfId="0" applyFont="1" applyBorder="1" applyAlignment="1">
      <alignment wrapText="1"/>
    </xf>
    <xf numFmtId="0" fontId="17" fillId="0" borderId="46" xfId="0" applyFont="1" applyBorder="1" applyAlignment="1">
      <alignment wrapText="1"/>
    </xf>
    <xf numFmtId="0" fontId="35" fillId="0" borderId="44" xfId="0" applyFont="1" applyBorder="1" applyAlignment="1">
      <alignment horizontal="center" wrapText="1"/>
    </xf>
    <xf numFmtId="3" fontId="35" fillId="0" borderId="58" xfId="0" applyNumberFormat="1" applyFont="1" applyBorder="1"/>
    <xf numFmtId="3" fontId="35" fillId="0" borderId="44" xfId="0" applyNumberFormat="1" applyFont="1" applyBorder="1"/>
    <xf numFmtId="3" fontId="35" fillId="0" borderId="46" xfId="0" applyNumberFormat="1" applyFont="1" applyBorder="1"/>
    <xf numFmtId="3" fontId="35" fillId="0" borderId="59" xfId="0" applyNumberFormat="1" applyFont="1" applyBorder="1"/>
    <xf numFmtId="0" fontId="17" fillId="0" borderId="80" xfId="0" applyFont="1" applyBorder="1"/>
    <xf numFmtId="0" fontId="36" fillId="0" borderId="0" xfId="0" applyFont="1"/>
    <xf numFmtId="0" fontId="37" fillId="0" borderId="0" xfId="0" applyFont="1"/>
    <xf numFmtId="0" fontId="35" fillId="24" borderId="24" xfId="0" applyFont="1" applyFill="1" applyBorder="1"/>
    <xf numFmtId="0" fontId="35" fillId="24" borderId="69" xfId="0" applyFont="1" applyFill="1" applyBorder="1"/>
    <xf numFmtId="0" fontId="35" fillId="24" borderId="60" xfId="0" applyFont="1" applyFill="1" applyBorder="1"/>
    <xf numFmtId="0" fontId="17" fillId="45" borderId="43" xfId="0" applyFont="1" applyFill="1" applyBorder="1" applyAlignment="1">
      <alignment wrapText="1"/>
    </xf>
    <xf numFmtId="0" fontId="7" fillId="0" borderId="46" xfId="0" applyFont="1" applyBorder="1" applyAlignment="1">
      <alignment wrapText="1"/>
    </xf>
    <xf numFmtId="0" fontId="35" fillId="0" borderId="44" xfId="0" applyFont="1" applyBorder="1" applyAlignment="1">
      <alignment horizontal="center"/>
    </xf>
    <xf numFmtId="1" fontId="35" fillId="0" borderId="58" xfId="0" applyNumberFormat="1" applyFont="1" applyBorder="1" applyAlignment="1">
      <alignment horizontal="center"/>
    </xf>
    <xf numFmtId="1" fontId="35" fillId="0" borderId="46" xfId="0" applyNumberFormat="1" applyFont="1" applyBorder="1" applyAlignment="1">
      <alignment horizontal="center"/>
    </xf>
    <xf numFmtId="1" fontId="35" fillId="0" borderId="59" xfId="0" applyNumberFormat="1" applyFont="1" applyBorder="1" applyAlignment="1">
      <alignment horizontal="center"/>
    </xf>
    <xf numFmtId="0" fontId="7" fillId="0" borderId="80" xfId="0" applyFont="1" applyBorder="1" applyAlignment="1">
      <alignment horizontal="center" wrapText="1"/>
    </xf>
    <xf numFmtId="0" fontId="35" fillId="0" borderId="46" xfId="0" applyFont="1" applyBorder="1" applyAlignment="1">
      <alignment wrapText="1"/>
    </xf>
    <xf numFmtId="0" fontId="7" fillId="0" borderId="46" xfId="0" applyFont="1" applyBorder="1" applyAlignment="1">
      <alignment vertical="top" wrapText="1"/>
    </xf>
    <xf numFmtId="0" fontId="17" fillId="0" borderId="80" xfId="0" applyFont="1" applyBorder="1" applyAlignment="1">
      <alignment horizontal="center"/>
    </xf>
    <xf numFmtId="0" fontId="17" fillId="39" borderId="43" xfId="0" applyFont="1" applyFill="1" applyBorder="1" applyAlignment="1">
      <alignment wrapText="1"/>
    </xf>
    <xf numFmtId="0" fontId="17" fillId="47" borderId="43" xfId="0" applyFont="1" applyFill="1" applyBorder="1" applyAlignment="1">
      <alignment wrapText="1"/>
    </xf>
    <xf numFmtId="0" fontId="17" fillId="40" borderId="43" xfId="0" applyFont="1" applyFill="1" applyBorder="1" applyAlignment="1">
      <alignment wrapText="1"/>
    </xf>
    <xf numFmtId="0" fontId="17" fillId="40" borderId="19" xfId="0" applyFont="1" applyFill="1" applyBorder="1" applyAlignment="1">
      <alignment wrapText="1"/>
    </xf>
    <xf numFmtId="0" fontId="35" fillId="0" borderId="30" xfId="0" applyFont="1" applyBorder="1" applyAlignment="1">
      <alignment wrapText="1"/>
    </xf>
    <xf numFmtId="0" fontId="7" fillId="0" borderId="30" xfId="0" applyFont="1" applyBorder="1" applyAlignment="1">
      <alignment vertical="top" wrapText="1"/>
    </xf>
    <xf numFmtId="0" fontId="35" fillId="0" borderId="35" xfId="0" applyFont="1" applyBorder="1" applyAlignment="1">
      <alignment horizontal="center"/>
    </xf>
    <xf numFmtId="1" fontId="35" fillId="0" borderId="29" xfId="0" applyNumberFormat="1" applyFont="1" applyBorder="1" applyAlignment="1">
      <alignment horizontal="center"/>
    </xf>
    <xf numFmtId="1" fontId="35" fillId="0" borderId="30" xfId="0" applyNumberFormat="1" applyFont="1" applyBorder="1" applyAlignment="1">
      <alignment horizontal="center"/>
    </xf>
    <xf numFmtId="1" fontId="35" fillId="0" borderId="34" xfId="0" applyNumberFormat="1" applyFont="1" applyBorder="1" applyAlignment="1">
      <alignment horizontal="center"/>
    </xf>
    <xf numFmtId="0" fontId="17" fillId="0" borderId="85" xfId="0" applyFont="1" applyBorder="1" applyAlignment="1">
      <alignment horizontal="center"/>
    </xf>
    <xf numFmtId="0" fontId="23" fillId="48" borderId="43" xfId="0" applyFont="1" applyFill="1" applyBorder="1" applyAlignment="1">
      <alignment wrapText="1"/>
    </xf>
    <xf numFmtId="177" fontId="35" fillId="0" borderId="45" xfId="0" applyNumberFormat="1" applyFont="1" applyBorder="1"/>
    <xf numFmtId="177" fontId="35" fillId="0" borderId="46" xfId="0" applyNumberFormat="1" applyFont="1" applyBorder="1"/>
    <xf numFmtId="177" fontId="35" fillId="0" borderId="59" xfId="0" applyNumberFormat="1" applyFont="1" applyBorder="1"/>
    <xf numFmtId="0" fontId="7" fillId="0" borderId="80" xfId="0" applyFont="1" applyBorder="1" applyAlignment="1">
      <alignment wrapText="1"/>
    </xf>
    <xf numFmtId="0" fontId="23" fillId="48" borderId="19" xfId="0" applyFont="1" applyFill="1" applyBorder="1" applyAlignment="1">
      <alignment wrapText="1"/>
    </xf>
    <xf numFmtId="3" fontId="35" fillId="0" borderId="29" xfId="0" applyNumberFormat="1" applyFont="1" applyBorder="1"/>
    <xf numFmtId="3" fontId="35" fillId="0" borderId="30" xfId="0" applyNumberFormat="1" applyFont="1" applyBorder="1"/>
    <xf numFmtId="3" fontId="35" fillId="0" borderId="34" xfId="0" applyNumberFormat="1" applyFont="1" applyBorder="1"/>
    <xf numFmtId="0" fontId="17" fillId="0" borderId="85" xfId="0" applyFont="1" applyBorder="1"/>
    <xf numFmtId="0" fontId="19" fillId="0" borderId="0" xfId="0" applyFont="1" applyAlignment="1">
      <alignment horizontal="left"/>
    </xf>
    <xf numFmtId="0" fontId="0" fillId="0" borderId="97" xfId="0" applyBorder="1"/>
    <xf numFmtId="0" fontId="2" fillId="0" borderId="69" xfId="0" applyFont="1" applyBorder="1" applyAlignment="1">
      <alignment horizontal="left"/>
    </xf>
    <xf numFmtId="0" fontId="0" fillId="0" borderId="98" xfId="0" applyBorder="1" applyAlignment="1">
      <alignment horizontal="left"/>
    </xf>
    <xf numFmtId="0" fontId="0" fillId="0" borderId="99" xfId="0" applyBorder="1"/>
    <xf numFmtId="0" fontId="2" fillId="0" borderId="100" xfId="0" applyFont="1" applyBorder="1" applyAlignment="1">
      <alignment horizontal="left"/>
    </xf>
    <xf numFmtId="0" fontId="0" fillId="50" borderId="46" xfId="0" applyFill="1" applyBorder="1" applyAlignment="1">
      <alignment horizontal="center" vertical="center"/>
    </xf>
    <xf numFmtId="0" fontId="0" fillId="51" borderId="46" xfId="0" applyFill="1" applyBorder="1" applyAlignment="1">
      <alignment horizontal="center" vertical="center"/>
    </xf>
    <xf numFmtId="49" fontId="5" fillId="51" borderId="46" xfId="0" applyNumberFormat="1" applyFont="1" applyFill="1" applyBorder="1" applyAlignment="1">
      <alignment horizontal="center" vertical="center"/>
    </xf>
    <xf numFmtId="0" fontId="5" fillId="51" borderId="30" xfId="0" applyFont="1" applyFill="1" applyBorder="1" applyAlignment="1">
      <alignment horizontal="center" vertical="center"/>
    </xf>
    <xf numFmtId="0" fontId="5" fillId="51" borderId="34" xfId="0" applyFont="1" applyFill="1" applyBorder="1" applyAlignment="1">
      <alignment horizontal="center" vertical="center"/>
    </xf>
    <xf numFmtId="0" fontId="5" fillId="51" borderId="44" xfId="0" applyFont="1" applyFill="1" applyBorder="1" applyAlignment="1">
      <alignment horizontal="center" vertical="center"/>
    </xf>
    <xf numFmtId="0" fontId="5" fillId="51" borderId="46" xfId="0" applyFont="1" applyFill="1" applyBorder="1" applyAlignment="1">
      <alignment horizontal="center" vertical="center"/>
    </xf>
    <xf numFmtId="0" fontId="5" fillId="51" borderId="59" xfId="0" applyFont="1" applyFill="1" applyBorder="1" applyAlignment="1">
      <alignment horizontal="center" vertical="center"/>
    </xf>
    <xf numFmtId="0" fontId="5" fillId="51" borderId="15" xfId="0" applyFont="1" applyFill="1" applyBorder="1" applyAlignment="1">
      <alignment horizontal="center" vertical="center"/>
    </xf>
    <xf numFmtId="0" fontId="5" fillId="51" borderId="18" xfId="0" applyFont="1" applyFill="1" applyBorder="1" applyAlignment="1">
      <alignment horizontal="center" vertical="center"/>
    </xf>
    <xf numFmtId="0" fontId="0" fillId="51" borderId="44" xfId="0" applyFill="1" applyBorder="1" applyAlignment="1">
      <alignment horizontal="center" vertical="center"/>
    </xf>
    <xf numFmtId="0" fontId="15" fillId="51" borderId="46" xfId="0" applyFont="1" applyFill="1" applyBorder="1" applyAlignment="1">
      <alignment horizontal="center" vertical="center"/>
    </xf>
    <xf numFmtId="0" fontId="5" fillId="51" borderId="17" xfId="0" applyFont="1" applyFill="1" applyBorder="1" applyAlignment="1">
      <alignment horizontal="center" vertical="center"/>
    </xf>
    <xf numFmtId="0" fontId="5" fillId="51" borderId="11" xfId="0" applyFont="1" applyFill="1" applyBorder="1" applyAlignment="1">
      <alignment horizontal="center" vertical="center"/>
    </xf>
    <xf numFmtId="0" fontId="5" fillId="52" borderId="11" xfId="0" applyFont="1" applyFill="1" applyBorder="1" applyAlignment="1">
      <alignment horizontal="center" vertical="center"/>
    </xf>
    <xf numFmtId="0" fontId="5" fillId="51" borderId="49" xfId="0" applyFont="1" applyFill="1" applyBorder="1" applyAlignment="1">
      <alignment horizontal="center" vertical="center"/>
    </xf>
    <xf numFmtId="0" fontId="5" fillId="51" borderId="20" xfId="0" applyFont="1" applyFill="1" applyBorder="1" applyAlignment="1">
      <alignment horizontal="center" vertical="center"/>
    </xf>
    <xf numFmtId="49" fontId="5" fillId="51" borderId="44" xfId="0" applyNumberFormat="1" applyFont="1" applyFill="1" applyBorder="1" applyAlignment="1">
      <alignment horizontal="center" vertical="center"/>
    </xf>
    <xf numFmtId="0" fontId="5" fillId="51" borderId="35" xfId="0" applyFont="1" applyFill="1" applyBorder="1" applyAlignment="1">
      <alignment horizontal="center" vertical="center"/>
    </xf>
    <xf numFmtId="0" fontId="5" fillId="51" borderId="25" xfId="0" applyFont="1" applyFill="1" applyBorder="1" applyAlignment="1">
      <alignment horizontal="center" vertical="center"/>
    </xf>
    <xf numFmtId="0" fontId="0" fillId="53" borderId="46" xfId="0" applyFill="1" applyBorder="1" applyAlignment="1">
      <alignment horizontal="center" vertical="center"/>
    </xf>
    <xf numFmtId="0" fontId="0" fillId="53" borderId="44" xfId="0" applyFill="1" applyBorder="1" applyAlignment="1">
      <alignment horizontal="center" vertical="center"/>
    </xf>
    <xf numFmtId="0" fontId="0" fillId="0" borderId="101" xfId="0" applyBorder="1"/>
    <xf numFmtId="0" fontId="0" fillId="54" borderId="46" xfId="0" applyFill="1" applyBorder="1" applyAlignment="1">
      <alignment horizontal="center" vertical="center"/>
    </xf>
    <xf numFmtId="0" fontId="5" fillId="55" borderId="46" xfId="0" applyFont="1" applyFill="1" applyBorder="1" applyAlignment="1">
      <alignment horizontal="center" vertical="center"/>
    </xf>
    <xf numFmtId="0" fontId="5" fillId="50" borderId="46" xfId="0" applyFont="1" applyFill="1" applyBorder="1" applyAlignment="1">
      <alignment horizontal="center" vertical="center"/>
    </xf>
    <xf numFmtId="0" fontId="5" fillId="53" borderId="46" xfId="0" applyFont="1" applyFill="1" applyBorder="1" applyAlignment="1">
      <alignment horizontal="center" vertical="center"/>
    </xf>
    <xf numFmtId="49" fontId="5" fillId="50" borderId="46" xfId="0" applyNumberFormat="1" applyFont="1" applyFill="1" applyBorder="1" applyAlignment="1">
      <alignment horizontal="center" vertical="center"/>
    </xf>
    <xf numFmtId="49" fontId="5" fillId="50" borderId="44" xfId="0" applyNumberFormat="1" applyFont="1" applyFill="1" applyBorder="1" applyAlignment="1">
      <alignment horizontal="center" vertical="center"/>
    </xf>
    <xf numFmtId="0" fontId="42" fillId="0" borderId="101" xfId="0" applyFont="1" applyBorder="1" applyAlignment="1">
      <alignment horizontal="center" vertical="center"/>
    </xf>
    <xf numFmtId="0" fontId="0" fillId="56" borderId="46" xfId="0" applyFill="1" applyBorder="1" applyAlignment="1">
      <alignment horizontal="center" vertical="center"/>
    </xf>
    <xf numFmtId="0" fontId="7" fillId="56" borderId="46" xfId="0" applyFont="1" applyFill="1" applyBorder="1" applyAlignment="1">
      <alignment horizontal="center" vertical="center"/>
    </xf>
    <xf numFmtId="0" fontId="5" fillId="56" borderId="46" xfId="0" applyFont="1" applyFill="1" applyBorder="1" applyAlignment="1">
      <alignment horizontal="center" vertical="center"/>
    </xf>
    <xf numFmtId="49" fontId="5" fillId="57" borderId="46" xfId="0" applyNumberFormat="1" applyFont="1" applyFill="1" applyBorder="1" applyAlignment="1">
      <alignment horizontal="center" vertical="center"/>
    </xf>
    <xf numFmtId="0" fontId="0" fillId="55" borderId="46" xfId="0" applyFill="1" applyBorder="1" applyAlignment="1">
      <alignment horizontal="center" vertical="center"/>
    </xf>
    <xf numFmtId="0" fontId="0" fillId="57" borderId="46" xfId="0" applyFill="1" applyBorder="1" applyAlignment="1">
      <alignment horizontal="center" vertical="center"/>
    </xf>
    <xf numFmtId="0" fontId="7" fillId="57" borderId="46" xfId="0" applyFont="1" applyFill="1" applyBorder="1" applyAlignment="1">
      <alignment horizontal="center" vertical="center"/>
    </xf>
    <xf numFmtId="0" fontId="5" fillId="57" borderId="46" xfId="0" applyFont="1" applyFill="1" applyBorder="1" applyAlignment="1">
      <alignment horizontal="center" vertical="center"/>
    </xf>
    <xf numFmtId="0" fontId="5" fillId="55" borderId="46" xfId="0" applyFont="1" applyFill="1" applyBorder="1" applyAlignment="1">
      <alignment horizontal="center"/>
    </xf>
    <xf numFmtId="0" fontId="5" fillId="57" borderId="15" xfId="0" applyFont="1" applyFill="1" applyBorder="1" applyAlignment="1">
      <alignment horizontal="center" vertical="center"/>
    </xf>
    <xf numFmtId="0" fontId="5" fillId="57" borderId="41" xfId="0" applyFont="1" applyFill="1" applyBorder="1" applyAlignment="1">
      <alignment horizontal="center" vertical="center"/>
    </xf>
    <xf numFmtId="0" fontId="13" fillId="55" borderId="46" xfId="0" applyFont="1" applyFill="1" applyBorder="1" applyAlignment="1">
      <alignment horizontal="center"/>
    </xf>
    <xf numFmtId="0" fontId="0" fillId="52" borderId="46" xfId="0" applyFill="1" applyBorder="1" applyAlignment="1">
      <alignment horizontal="center" vertical="center"/>
    </xf>
    <xf numFmtId="0" fontId="0" fillId="58" borderId="46" xfId="0" applyFill="1" applyBorder="1" applyAlignment="1">
      <alignment horizontal="center" vertical="center"/>
    </xf>
    <xf numFmtId="0" fontId="5" fillId="50" borderId="30" xfId="0" applyFont="1" applyFill="1" applyBorder="1" applyAlignment="1">
      <alignment horizontal="center" vertical="center"/>
    </xf>
    <xf numFmtId="0" fontId="5" fillId="50" borderId="15" xfId="0" applyFont="1" applyFill="1" applyBorder="1" applyAlignment="1">
      <alignment horizontal="center" vertical="center"/>
    </xf>
    <xf numFmtId="0" fontId="0" fillId="59" borderId="46" xfId="0" applyFill="1" applyBorder="1" applyAlignment="1">
      <alignment horizontal="center" vertical="center"/>
    </xf>
    <xf numFmtId="0" fontId="5" fillId="57" borderId="18" xfId="0" applyFont="1" applyFill="1" applyBorder="1" applyAlignment="1">
      <alignment horizontal="center" vertical="center"/>
    </xf>
    <xf numFmtId="0" fontId="13" fillId="0" borderId="46" xfId="0" applyFont="1" applyBorder="1" applyAlignment="1">
      <alignment horizontal="center"/>
    </xf>
    <xf numFmtId="0" fontId="0" fillId="0" borderId="44" xfId="0" applyBorder="1" applyAlignment="1" applyProtection="1">
      <alignment horizontal="center"/>
      <protection locked="0"/>
    </xf>
    <xf numFmtId="0" fontId="11" fillId="0" borderId="49" xfId="0" applyFont="1" applyBorder="1" applyAlignment="1">
      <alignment horizontal="left"/>
    </xf>
    <xf numFmtId="0" fontId="0" fillId="0" borderId="49" xfId="0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11" fillId="0" borderId="101" xfId="0" applyFont="1" applyBorder="1" applyAlignment="1">
      <alignment horizontal="left"/>
    </xf>
    <xf numFmtId="0" fontId="0" fillId="0" borderId="101" xfId="0" applyBorder="1" applyAlignment="1">
      <alignment horizontal="center" vertical="center"/>
    </xf>
    <xf numFmtId="0" fontId="7" fillId="0" borderId="101" xfId="0" applyFont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7" fillId="59" borderId="46" xfId="0" applyFont="1" applyFill="1" applyBorder="1" applyAlignment="1">
      <alignment horizontal="center" vertical="center"/>
    </xf>
    <xf numFmtId="0" fontId="5" fillId="59" borderId="46" xfId="0" applyFont="1" applyFill="1" applyBorder="1" applyAlignment="1">
      <alignment horizontal="center" vertical="center"/>
    </xf>
    <xf numFmtId="0" fontId="5" fillId="54" borderId="49" xfId="0" applyFont="1" applyFill="1" applyBorder="1" applyAlignment="1">
      <alignment horizontal="center" vertical="center"/>
    </xf>
    <xf numFmtId="0" fontId="1" fillId="0" borderId="0" xfId="34"/>
    <xf numFmtId="0" fontId="7" fillId="0" borderId="0" xfId="34" applyFont="1"/>
    <xf numFmtId="0" fontId="7" fillId="0" borderId="101" xfId="34" applyFont="1" applyBorder="1"/>
    <xf numFmtId="0" fontId="7" fillId="0" borderId="101" xfId="34" applyFont="1" applyBorder="1" applyAlignment="1">
      <alignment horizontal="center"/>
    </xf>
    <xf numFmtId="0" fontId="7" fillId="0" borderId="100" xfId="34" applyFont="1" applyBorder="1" applyAlignment="1">
      <alignment horizontal="center"/>
    </xf>
    <xf numFmtId="49" fontId="7" fillId="0" borderId="101" xfId="34" applyNumberFormat="1" applyFont="1" applyBorder="1"/>
    <xf numFmtId="2" fontId="7" fillId="0" borderId="101" xfId="34" applyNumberFormat="1" applyFont="1" applyBorder="1"/>
    <xf numFmtId="2" fontId="7" fillId="0" borderId="100" xfId="34" applyNumberFormat="1" applyFont="1" applyBorder="1"/>
    <xf numFmtId="2" fontId="7" fillId="0" borderId="101" xfId="34" applyNumberFormat="1" applyFont="1" applyBorder="1" applyAlignment="1">
      <alignment horizontal="right"/>
    </xf>
    <xf numFmtId="49" fontId="7" fillId="0" borderId="102" xfId="34" applyNumberFormat="1" applyFont="1" applyBorder="1"/>
    <xf numFmtId="2" fontId="7" fillId="0" borderId="102" xfId="34" applyNumberFormat="1" applyFont="1" applyBorder="1"/>
    <xf numFmtId="2" fontId="7" fillId="0" borderId="103" xfId="34" applyNumberFormat="1" applyFont="1" applyBorder="1"/>
    <xf numFmtId="2" fontId="7" fillId="0" borderId="104" xfId="34" applyNumberFormat="1" applyFont="1" applyBorder="1"/>
    <xf numFmtId="49" fontId="7" fillId="0" borderId="105" xfId="34" applyNumberFormat="1" applyFont="1" applyBorder="1"/>
    <xf numFmtId="2" fontId="7" fillId="0" borderId="105" xfId="34" applyNumberFormat="1" applyFont="1" applyBorder="1"/>
    <xf numFmtId="2" fontId="7" fillId="0" borderId="106" xfId="34" applyNumberFormat="1" applyFont="1" applyBorder="1"/>
    <xf numFmtId="2" fontId="7" fillId="0" borderId="107" xfId="34" applyNumberFormat="1" applyFont="1" applyBorder="1"/>
    <xf numFmtId="49" fontId="7" fillId="0" borderId="0" xfId="34" applyNumberFormat="1" applyFont="1"/>
    <xf numFmtId="2" fontId="7" fillId="0" borderId="0" xfId="34" applyNumberFormat="1" applyFont="1"/>
    <xf numFmtId="0" fontId="7" fillId="60" borderId="0" xfId="34" applyFont="1" applyFill="1"/>
    <xf numFmtId="2" fontId="7" fillId="60" borderId="101" xfId="34" applyNumberFormat="1" applyFont="1" applyFill="1" applyBorder="1"/>
    <xf numFmtId="49" fontId="7" fillId="0" borderId="104" xfId="34" applyNumberFormat="1" applyFont="1" applyBorder="1"/>
    <xf numFmtId="2" fontId="7" fillId="60" borderId="104" xfId="34" applyNumberFormat="1" applyFont="1" applyFill="1" applyBorder="1"/>
    <xf numFmtId="49" fontId="7" fillId="0" borderId="108" xfId="34" applyNumberFormat="1" applyFont="1" applyBorder="1"/>
    <xf numFmtId="2" fontId="7" fillId="0" borderId="109" xfId="34" applyNumberFormat="1" applyFont="1" applyBorder="1"/>
    <xf numFmtId="2" fontId="7" fillId="0" borderId="110" xfId="34" applyNumberFormat="1" applyFont="1" applyBorder="1"/>
    <xf numFmtId="2" fontId="7" fillId="55" borderId="111" xfId="34" applyNumberFormat="1" applyFont="1" applyFill="1" applyBorder="1"/>
    <xf numFmtId="2" fontId="7" fillId="60" borderId="111" xfId="34" applyNumberFormat="1" applyFont="1" applyFill="1" applyBorder="1"/>
    <xf numFmtId="2" fontId="7" fillId="53" borderId="101" xfId="34" applyNumberFormat="1" applyFont="1" applyFill="1" applyBorder="1"/>
    <xf numFmtId="49" fontId="29" fillId="56" borderId="101" xfId="34" applyNumberFormat="1" applyFont="1" applyFill="1" applyBorder="1"/>
    <xf numFmtId="2" fontId="29" fillId="56" borderId="101" xfId="34" applyNumberFormat="1" applyFont="1" applyFill="1" applyBorder="1"/>
    <xf numFmtId="2" fontId="29" fillId="60" borderId="107" xfId="34" applyNumberFormat="1" applyFont="1" applyFill="1" applyBorder="1"/>
    <xf numFmtId="49" fontId="29" fillId="0" borderId="0" xfId="34" applyNumberFormat="1" applyFont="1"/>
    <xf numFmtId="1" fontId="7" fillId="0" borderId="101" xfId="34" applyNumberFormat="1" applyFont="1" applyBorder="1" applyAlignment="1">
      <alignment horizontal="center"/>
    </xf>
    <xf numFmtId="167" fontId="7" fillId="0" borderId="101" xfId="34" applyNumberFormat="1" applyFont="1" applyBorder="1" applyAlignment="1">
      <alignment horizontal="center"/>
    </xf>
    <xf numFmtId="1" fontId="7" fillId="0" borderId="0" xfId="34" applyNumberFormat="1" applyFont="1"/>
    <xf numFmtId="1" fontId="7" fillId="53" borderId="101" xfId="34" applyNumberFormat="1" applyFont="1" applyFill="1" applyBorder="1"/>
    <xf numFmtId="0" fontId="20" fillId="54" borderId="0" xfId="34" applyFont="1" applyFill="1"/>
    <xf numFmtId="0" fontId="1" fillId="54" borderId="0" xfId="34" applyFill="1"/>
    <xf numFmtId="0" fontId="2" fillId="54" borderId="0" xfId="34" applyFont="1" applyFill="1"/>
    <xf numFmtId="0" fontId="2" fillId="0" borderId="112" xfId="34" applyFont="1" applyBorder="1"/>
    <xf numFmtId="0" fontId="7" fillId="0" borderId="113" xfId="34" applyFont="1" applyBorder="1" applyAlignment="1">
      <alignment horizontal="center"/>
    </xf>
    <xf numFmtId="0" fontId="7" fillId="0" borderId="114" xfId="34" applyFont="1" applyBorder="1" applyAlignment="1">
      <alignment horizontal="center"/>
    </xf>
    <xf numFmtId="0" fontId="1" fillId="0" borderId="115" xfId="34" applyBorder="1"/>
    <xf numFmtId="0" fontId="1" fillId="0" borderId="101" xfId="34" applyBorder="1" applyAlignment="1">
      <alignment horizontal="center"/>
    </xf>
    <xf numFmtId="0" fontId="1" fillId="0" borderId="116" xfId="34" applyBorder="1" applyAlignment="1">
      <alignment horizontal="center"/>
    </xf>
    <xf numFmtId="0" fontId="1" fillId="0" borderId="117" xfId="34" applyBorder="1"/>
    <xf numFmtId="0" fontId="1" fillId="0" borderId="102" xfId="34" applyBorder="1" applyAlignment="1">
      <alignment horizontal="center"/>
    </xf>
    <xf numFmtId="0" fontId="1" fillId="0" borderId="118" xfId="34" applyBorder="1" applyAlignment="1">
      <alignment horizontal="center"/>
    </xf>
    <xf numFmtId="1" fontId="7" fillId="0" borderId="111" xfId="34" applyNumberFormat="1" applyFont="1" applyBorder="1" applyAlignment="1">
      <alignment horizontal="center"/>
    </xf>
    <xf numFmtId="1" fontId="7" fillId="0" borderId="120" xfId="34" applyNumberFormat="1" applyFont="1" applyBorder="1" applyAlignment="1">
      <alignment horizontal="center"/>
    </xf>
    <xf numFmtId="1" fontId="1" fillId="0" borderId="101" xfId="34" applyNumberFormat="1" applyBorder="1" applyAlignment="1">
      <alignment horizontal="center"/>
    </xf>
    <xf numFmtId="1" fontId="1" fillId="0" borderId="104" xfId="34" applyNumberFormat="1" applyBorder="1" applyAlignment="1">
      <alignment horizontal="center"/>
    </xf>
    <xf numFmtId="1" fontId="1" fillId="0" borderId="102" xfId="34" applyNumberFormat="1" applyBorder="1" applyAlignment="1">
      <alignment horizontal="center"/>
    </xf>
    <xf numFmtId="1" fontId="7" fillId="0" borderId="121" xfId="34" applyNumberFormat="1" applyFont="1" applyBorder="1" applyAlignment="1">
      <alignment horizontal="center"/>
    </xf>
    <xf numFmtId="0" fontId="1" fillId="0" borderId="122" xfId="34" applyBorder="1"/>
    <xf numFmtId="0" fontId="20" fillId="0" borderId="0" xfId="34" applyFont="1"/>
    <xf numFmtId="0" fontId="2" fillId="0" borderId="98" xfId="34" applyFont="1" applyBorder="1"/>
    <xf numFmtId="0" fontId="1" fillId="0" borderId="99" xfId="34" applyBorder="1"/>
    <xf numFmtId="4" fontId="2" fillId="0" borderId="100" xfId="34" applyNumberFormat="1" applyFont="1" applyBorder="1"/>
    <xf numFmtId="0" fontId="1" fillId="0" borderId="98" xfId="34" applyBorder="1"/>
    <xf numFmtId="0" fontId="2" fillId="0" borderId="99" xfId="34" applyFont="1" applyBorder="1"/>
    <xf numFmtId="0" fontId="2" fillId="0" borderId="100" xfId="34" applyFont="1" applyBorder="1"/>
    <xf numFmtId="0" fontId="1" fillId="0" borderId="100" xfId="34" applyBorder="1"/>
    <xf numFmtId="3" fontId="1" fillId="0" borderId="100" xfId="34" applyNumberFormat="1" applyBorder="1"/>
    <xf numFmtId="3" fontId="1" fillId="0" borderId="0" xfId="34" applyNumberFormat="1"/>
    <xf numFmtId="0" fontId="1" fillId="0" borderId="101" xfId="34" applyBorder="1"/>
    <xf numFmtId="3" fontId="62" fillId="0" borderId="111" xfId="34" applyNumberFormat="1" applyFont="1" applyBorder="1" applyAlignment="1">
      <alignment horizontal="center"/>
    </xf>
    <xf numFmtId="0" fontId="1" fillId="0" borderId="123" xfId="34" applyBorder="1"/>
    <xf numFmtId="0" fontId="1" fillId="0" borderId="124" xfId="34" applyBorder="1"/>
    <xf numFmtId="0" fontId="1" fillId="0" borderId="125" xfId="34" applyBorder="1"/>
    <xf numFmtId="3" fontId="1" fillId="0" borderId="101" xfId="34" applyNumberFormat="1" applyBorder="1"/>
    <xf numFmtId="3" fontId="42" fillId="0" borderId="0" xfId="34" applyNumberFormat="1" applyFont="1"/>
    <xf numFmtId="0" fontId="2" fillId="0" borderId="0" xfId="34" applyFont="1"/>
    <xf numFmtId="3" fontId="2" fillId="0" borderId="0" xfId="34" applyNumberFormat="1" applyFont="1"/>
    <xf numFmtId="1" fontId="1" fillId="0" borderId="0" xfId="34" applyNumberFormat="1"/>
    <xf numFmtId="0" fontId="1" fillId="0" borderId="98" xfId="34" applyBorder="1" applyAlignment="1">
      <alignment horizontal="right"/>
    </xf>
    <xf numFmtId="14" fontId="1" fillId="0" borderId="98" xfId="34" applyNumberFormat="1" applyBorder="1"/>
    <xf numFmtId="0" fontId="1" fillId="58" borderId="101" xfId="34" applyFill="1" applyBorder="1" applyAlignment="1">
      <alignment horizontal="center"/>
    </xf>
    <xf numFmtId="0" fontId="1" fillId="58" borderId="98" xfId="34" applyFill="1" applyBorder="1"/>
    <xf numFmtId="14" fontId="1" fillId="58" borderId="98" xfId="34" applyNumberFormat="1" applyFill="1" applyBorder="1"/>
    <xf numFmtId="0" fontId="1" fillId="58" borderId="100" xfId="34" applyFill="1" applyBorder="1"/>
    <xf numFmtId="3" fontId="1" fillId="58" borderId="104" xfId="34" applyNumberFormat="1" applyFill="1" applyBorder="1"/>
    <xf numFmtId="0" fontId="1" fillId="0" borderId="126" xfId="34" applyBorder="1"/>
    <xf numFmtId="14" fontId="1" fillId="0" borderId="126" xfId="34" applyNumberFormat="1" applyBorder="1"/>
    <xf numFmtId="3" fontId="1" fillId="0" borderId="127" xfId="34" applyNumberFormat="1" applyBorder="1"/>
    <xf numFmtId="3" fontId="1" fillId="0" borderId="104" xfId="34" applyNumberFormat="1" applyBorder="1"/>
    <xf numFmtId="0" fontId="1" fillId="0" borderId="126" xfId="34" applyBorder="1" applyAlignment="1">
      <alignment horizontal="right"/>
    </xf>
    <xf numFmtId="0" fontId="1" fillId="0" borderId="127" xfId="34" applyBorder="1"/>
    <xf numFmtId="3" fontId="5" fillId="0" borderId="0" xfId="34" applyNumberFormat="1" applyFont="1"/>
    <xf numFmtId="0" fontId="1" fillId="0" borderId="100" xfId="34" applyBorder="1" applyAlignment="1">
      <alignment horizontal="left"/>
    </xf>
    <xf numFmtId="3" fontId="22" fillId="0" borderId="0" xfId="34" applyNumberFormat="1" applyFont="1"/>
    <xf numFmtId="0" fontId="22" fillId="0" borderId="126" xfId="34" applyFont="1" applyBorder="1"/>
    <xf numFmtId="14" fontId="22" fillId="0" borderId="126" xfId="34" applyNumberFormat="1" applyFont="1" applyBorder="1"/>
    <xf numFmtId="3" fontId="7" fillId="0" borderId="0" xfId="34" applyNumberFormat="1" applyFont="1"/>
    <xf numFmtId="0" fontId="1" fillId="0" borderId="128" xfId="34" applyBorder="1" applyAlignment="1">
      <alignment horizontal="center"/>
    </xf>
    <xf numFmtId="0" fontId="42" fillId="0" borderId="0" xfId="34" applyFont="1"/>
    <xf numFmtId="3" fontId="62" fillId="0" borderId="108" xfId="34" applyNumberFormat="1" applyFont="1" applyBorder="1"/>
    <xf numFmtId="0" fontId="1" fillId="0" borderId="129" xfId="34" applyBorder="1"/>
    <xf numFmtId="4" fontId="1" fillId="0" borderId="130" xfId="34" applyNumberFormat="1" applyBorder="1"/>
    <xf numFmtId="2" fontId="29" fillId="0" borderId="0" xfId="34" applyNumberFormat="1" applyFont="1"/>
    <xf numFmtId="37" fontId="1" fillId="0" borderId="0" xfId="34" applyNumberFormat="1"/>
    <xf numFmtId="49" fontId="29" fillId="0" borderId="101" xfId="34" applyNumberFormat="1" applyFont="1" applyBorder="1"/>
    <xf numFmtId="3" fontId="7" fillId="0" borderId="101" xfId="34" applyNumberFormat="1" applyFont="1" applyBorder="1"/>
    <xf numFmtId="165" fontId="7" fillId="0" borderId="101" xfId="34" applyNumberFormat="1" applyFont="1" applyBorder="1"/>
    <xf numFmtId="3" fontId="7" fillId="0" borderId="104" xfId="34" applyNumberFormat="1" applyFont="1" applyBorder="1"/>
    <xf numFmtId="165" fontId="7" fillId="0" borderId="104" xfId="34" applyNumberFormat="1" applyFont="1" applyBorder="1"/>
    <xf numFmtId="49" fontId="29" fillId="61" borderId="108" xfId="34" applyNumberFormat="1" applyFont="1" applyFill="1" applyBorder="1"/>
    <xf numFmtId="3" fontId="29" fillId="61" borderId="109" xfId="34" applyNumberFormat="1" applyFont="1" applyFill="1" applyBorder="1"/>
    <xf numFmtId="3" fontId="29" fillId="61" borderId="110" xfId="34" applyNumberFormat="1" applyFont="1" applyFill="1" applyBorder="1"/>
    <xf numFmtId="0" fontId="7" fillId="0" borderId="111" xfId="34" applyFont="1" applyBorder="1"/>
    <xf numFmtId="165" fontId="7" fillId="0" borderId="111" xfId="34" applyNumberFormat="1" applyFont="1" applyBorder="1"/>
    <xf numFmtId="165" fontId="7" fillId="0" borderId="130" xfId="34" applyNumberFormat="1" applyFont="1" applyBorder="1"/>
    <xf numFmtId="165" fontId="7" fillId="0" borderId="100" xfId="34" applyNumberFormat="1" applyFont="1" applyBorder="1"/>
    <xf numFmtId="3" fontId="7" fillId="0" borderId="101" xfId="34" quotePrefix="1" applyNumberFormat="1" applyFont="1" applyBorder="1"/>
    <xf numFmtId="0" fontId="29" fillId="61" borderId="117" xfId="34" applyFont="1" applyFill="1" applyBorder="1"/>
    <xf numFmtId="165" fontId="29" fillId="61" borderId="105" xfId="34" applyNumberFormat="1" applyFont="1" applyFill="1" applyBorder="1"/>
    <xf numFmtId="0" fontId="7" fillId="0" borderId="0" xfId="34" applyFont="1" applyAlignment="1">
      <alignment horizontal="right"/>
    </xf>
    <xf numFmtId="165" fontId="7" fillId="0" borderId="128" xfId="34" applyNumberFormat="1" applyFont="1" applyBorder="1"/>
    <xf numFmtId="0" fontId="29" fillId="61" borderId="104" xfId="34" applyFont="1" applyFill="1" applyBorder="1"/>
    <xf numFmtId="3" fontId="29" fillId="61" borderId="104" xfId="34" applyNumberFormat="1" applyFont="1" applyFill="1" applyBorder="1"/>
    <xf numFmtId="0" fontId="29" fillId="0" borderId="104" xfId="34" applyFont="1" applyBorder="1"/>
    <xf numFmtId="3" fontId="29" fillId="0" borderId="104" xfId="34" applyNumberFormat="1" applyFont="1" applyBorder="1"/>
    <xf numFmtId="0" fontId="7" fillId="0" borderId="104" xfId="34" applyFont="1" applyBorder="1"/>
    <xf numFmtId="0" fontId="29" fillId="58" borderId="108" xfId="34" applyFont="1" applyFill="1" applyBorder="1"/>
    <xf numFmtId="3" fontId="29" fillId="58" borderId="109" xfId="34" applyNumberFormat="1" applyFont="1" applyFill="1" applyBorder="1"/>
    <xf numFmtId="0" fontId="29" fillId="0" borderId="125" xfId="34" applyFont="1" applyBorder="1"/>
    <xf numFmtId="165" fontId="29" fillId="0" borderId="125" xfId="34" applyNumberFormat="1" applyFont="1" applyBorder="1"/>
    <xf numFmtId="2" fontId="7" fillId="0" borderId="131" xfId="34" applyNumberFormat="1" applyFont="1" applyBorder="1"/>
    <xf numFmtId="2" fontId="20" fillId="0" borderId="0" xfId="34" applyNumberFormat="1" applyFont="1"/>
    <xf numFmtId="49" fontId="7" fillId="0" borderId="132" xfId="34" applyNumberFormat="1" applyFont="1" applyBorder="1"/>
    <xf numFmtId="3" fontId="7" fillId="0" borderId="128" xfId="34" applyNumberFormat="1" applyFont="1" applyBorder="1"/>
    <xf numFmtId="3" fontId="7" fillId="0" borderId="100" xfId="34" applyNumberFormat="1" applyFont="1" applyBorder="1"/>
    <xf numFmtId="0" fontId="7" fillId="0" borderId="132" xfId="34" applyFont="1" applyBorder="1"/>
    <xf numFmtId="0" fontId="29" fillId="61" borderId="108" xfId="34" applyFont="1" applyFill="1" applyBorder="1"/>
    <xf numFmtId="165" fontId="29" fillId="61" borderId="109" xfId="34" applyNumberFormat="1" applyFont="1" applyFill="1" applyBorder="1"/>
    <xf numFmtId="165" fontId="29" fillId="61" borderId="101" xfId="34" applyNumberFormat="1" applyFont="1" applyFill="1" applyBorder="1"/>
    <xf numFmtId="0" fontId="29" fillId="61" borderId="101" xfId="34" applyFont="1" applyFill="1" applyBorder="1"/>
    <xf numFmtId="3" fontId="29" fillId="61" borderId="101" xfId="34" applyNumberFormat="1" applyFont="1" applyFill="1" applyBorder="1"/>
    <xf numFmtId="3" fontId="7" fillId="0" borderId="111" xfId="34" applyNumberFormat="1" applyFont="1" applyBorder="1"/>
    <xf numFmtId="3" fontId="29" fillId="0" borderId="111" xfId="34" applyNumberFormat="1" applyFont="1" applyBorder="1"/>
    <xf numFmtId="0" fontId="29" fillId="58" borderId="101" xfId="34" applyFont="1" applyFill="1" applyBorder="1"/>
    <xf numFmtId="3" fontId="29" fillId="58" borderId="101" xfId="34" applyNumberFormat="1" applyFont="1" applyFill="1" applyBorder="1"/>
    <xf numFmtId="0" fontId="1" fillId="0" borderId="133" xfId="34" applyBorder="1"/>
    <xf numFmtId="2" fontId="29" fillId="56" borderId="98" xfId="34" applyNumberFormat="1" applyFont="1" applyFill="1" applyBorder="1"/>
    <xf numFmtId="2" fontId="7" fillId="56" borderId="107" xfId="34" applyNumberFormat="1" applyFont="1" applyFill="1" applyBorder="1"/>
    <xf numFmtId="49" fontId="7" fillId="0" borderId="122" xfId="34" applyNumberFormat="1" applyFont="1" applyBorder="1"/>
    <xf numFmtId="2" fontId="7" fillId="0" borderId="122" xfId="34" applyNumberFormat="1" applyFont="1" applyBorder="1"/>
    <xf numFmtId="0" fontId="7" fillId="0" borderId="122" xfId="34" applyFont="1" applyBorder="1"/>
    <xf numFmtId="0" fontId="20" fillId="53" borderId="134" xfId="34" applyFont="1" applyFill="1" applyBorder="1" applyAlignment="1">
      <alignment horizontal="center"/>
    </xf>
    <xf numFmtId="0" fontId="2" fillId="0" borderId="126" xfId="34" applyFont="1" applyBorder="1"/>
    <xf numFmtId="0" fontId="1" fillId="0" borderId="135" xfId="34" applyBorder="1"/>
    <xf numFmtId="4" fontId="2" fillId="0" borderId="127" xfId="34" applyNumberFormat="1" applyFont="1" applyBorder="1"/>
    <xf numFmtId="0" fontId="33" fillId="0" borderId="98" xfId="34" applyFont="1" applyBorder="1"/>
    <xf numFmtId="0" fontId="34" fillId="0" borderId="99" xfId="34" applyFont="1" applyBorder="1"/>
    <xf numFmtId="0" fontId="34" fillId="0" borderId="100" xfId="34" applyFont="1" applyBorder="1"/>
    <xf numFmtId="0" fontId="1" fillId="0" borderId="136" xfId="34" applyBorder="1"/>
    <xf numFmtId="0" fontId="1" fillId="0" borderId="134" xfId="34" applyBorder="1"/>
    <xf numFmtId="0" fontId="1" fillId="0" borderId="137" xfId="34" applyBorder="1"/>
    <xf numFmtId="0" fontId="1" fillId="0" borderId="138" xfId="34" applyBorder="1"/>
    <xf numFmtId="4" fontId="1" fillId="0" borderId="100" xfId="34" applyNumberFormat="1" applyBorder="1"/>
    <xf numFmtId="0" fontId="1" fillId="0" borderId="139" xfId="34" applyBorder="1"/>
    <xf numFmtId="0" fontId="1" fillId="0" borderId="132" xfId="34" applyBorder="1"/>
    <xf numFmtId="0" fontId="1" fillId="0" borderId="140" xfId="34" applyBorder="1"/>
    <xf numFmtId="0" fontId="1" fillId="0" borderId="141" xfId="34" applyBorder="1"/>
    <xf numFmtId="0" fontId="1" fillId="0" borderId="142" xfId="34" applyBorder="1"/>
    <xf numFmtId="0" fontId="1" fillId="0" borderId="130" xfId="34" applyBorder="1"/>
    <xf numFmtId="3" fontId="1" fillId="0" borderId="130" xfId="34" applyNumberFormat="1" applyBorder="1"/>
    <xf numFmtId="4" fontId="1" fillId="0" borderId="0" xfId="34" applyNumberFormat="1"/>
    <xf numFmtId="3" fontId="7" fillId="61" borderId="109" xfId="34" applyNumberFormat="1" applyFont="1" applyFill="1" applyBorder="1"/>
    <xf numFmtId="165" fontId="7" fillId="61" borderId="110" xfId="34" applyNumberFormat="1" applyFont="1" applyFill="1" applyBorder="1"/>
    <xf numFmtId="165" fontId="29" fillId="61" borderId="110" xfId="34" applyNumberFormat="1" applyFont="1" applyFill="1" applyBorder="1"/>
    <xf numFmtId="165" fontId="7" fillId="0" borderId="127" xfId="34" applyNumberFormat="1" applyFont="1" applyBorder="1"/>
    <xf numFmtId="3" fontId="7" fillId="61" borderId="104" xfId="34" applyNumberFormat="1" applyFont="1" applyFill="1" applyBorder="1"/>
    <xf numFmtId="0" fontId="29" fillId="0" borderId="101" xfId="34" applyFont="1" applyBorder="1"/>
    <xf numFmtId="0" fontId="29" fillId="0" borderId="133" xfId="34" applyFont="1" applyBorder="1"/>
    <xf numFmtId="165" fontId="29" fillId="0" borderId="133" xfId="34" applyNumberFormat="1" applyFont="1" applyBorder="1"/>
    <xf numFmtId="0" fontId="20" fillId="61" borderId="0" xfId="34" applyFont="1" applyFill="1" applyAlignment="1">
      <alignment horizontal="center"/>
    </xf>
    <xf numFmtId="14" fontId="1" fillId="0" borderId="0" xfId="34" applyNumberFormat="1"/>
    <xf numFmtId="165" fontId="7" fillId="61" borderId="104" xfId="34" applyNumberFormat="1" applyFont="1" applyFill="1" applyBorder="1"/>
    <xf numFmtId="0" fontId="29" fillId="0" borderId="0" xfId="34" applyFont="1"/>
    <xf numFmtId="165" fontId="29" fillId="0" borderId="0" xfId="34" applyNumberFormat="1" applyFont="1"/>
    <xf numFmtId="0" fontId="2" fillId="61" borderId="101" xfId="34" applyFont="1" applyFill="1" applyBorder="1"/>
    <xf numFmtId="0" fontId="1" fillId="61" borderId="101" xfId="34" applyFill="1" applyBorder="1"/>
    <xf numFmtId="0" fontId="64" fillId="0" borderId="0" xfId="0" applyFont="1"/>
    <xf numFmtId="173" fontId="64" fillId="0" borderId="0" xfId="0" applyNumberFormat="1" applyFont="1"/>
    <xf numFmtId="0" fontId="64" fillId="58" borderId="101" xfId="0" applyFont="1" applyFill="1" applyBorder="1" applyAlignment="1">
      <alignment horizontal="center"/>
    </xf>
    <xf numFmtId="0" fontId="64" fillId="58" borderId="104" xfId="0" applyFont="1" applyFill="1" applyBorder="1" applyAlignment="1">
      <alignment horizontal="center"/>
    </xf>
    <xf numFmtId="173" fontId="64" fillId="58" borderId="104" xfId="0" applyNumberFormat="1" applyFont="1" applyFill="1" applyBorder="1" applyAlignment="1">
      <alignment horizontal="center"/>
    </xf>
    <xf numFmtId="0" fontId="64" fillId="0" borderId="101" xfId="0" applyFont="1" applyBorder="1"/>
    <xf numFmtId="0" fontId="64" fillId="0" borderId="112" xfId="0" applyFont="1" applyBorder="1"/>
    <xf numFmtId="0" fontId="64" fillId="0" borderId="113" xfId="0" applyFont="1" applyBorder="1"/>
    <xf numFmtId="17" fontId="64" fillId="0" borderId="101" xfId="0" applyNumberFormat="1" applyFont="1" applyBorder="1"/>
    <xf numFmtId="0" fontId="64" fillId="0" borderId="115" xfId="0" applyFont="1" applyBorder="1"/>
    <xf numFmtId="0" fontId="64" fillId="0" borderId="113" xfId="0" applyFont="1" applyBorder="1" applyAlignment="1">
      <alignment horizontal="left" vertical="center"/>
    </xf>
    <xf numFmtId="0" fontId="64" fillId="0" borderId="143" xfId="0" applyFont="1" applyBorder="1"/>
    <xf numFmtId="0" fontId="64" fillId="0" borderId="111" xfId="0" applyFont="1" applyBorder="1"/>
    <xf numFmtId="0" fontId="64" fillId="0" borderId="144" xfId="0" applyFont="1" applyBorder="1"/>
    <xf numFmtId="0" fontId="64" fillId="0" borderId="102" xfId="0" applyFont="1" applyBorder="1" applyAlignment="1">
      <alignment horizontal="left" vertical="center"/>
    </xf>
    <xf numFmtId="173" fontId="64" fillId="0" borderId="118" xfId="0" applyNumberFormat="1" applyFont="1" applyBorder="1"/>
    <xf numFmtId="0" fontId="64" fillId="0" borderId="119" xfId="0" applyFont="1" applyBorder="1"/>
    <xf numFmtId="0" fontId="64" fillId="52" borderId="101" xfId="0" applyFont="1" applyFill="1" applyBorder="1"/>
    <xf numFmtId="0" fontId="64" fillId="0" borderId="111" xfId="0" applyFont="1" applyBorder="1" applyAlignment="1">
      <alignment horizontal="left"/>
    </xf>
    <xf numFmtId="0" fontId="64" fillId="0" borderId="101" xfId="0" applyFont="1" applyBorder="1" applyAlignment="1">
      <alignment horizontal="left"/>
    </xf>
    <xf numFmtId="0" fontId="64" fillId="0" borderId="133" xfId="0" applyFont="1" applyBorder="1"/>
    <xf numFmtId="0" fontId="64" fillId="0" borderId="102" xfId="0" applyFont="1" applyBorder="1" applyAlignment="1">
      <alignment horizontal="left"/>
    </xf>
    <xf numFmtId="0" fontId="64" fillId="0" borderId="102" xfId="0" applyFont="1" applyBorder="1"/>
    <xf numFmtId="0" fontId="64" fillId="0" borderId="101" xfId="0" applyFont="1" applyBorder="1" applyAlignment="1">
      <alignment horizontal="left" vertical="center"/>
    </xf>
    <xf numFmtId="0" fontId="64" fillId="0" borderId="145" xfId="0" applyFont="1" applyBorder="1"/>
    <xf numFmtId="0" fontId="64" fillId="0" borderId="117" xfId="0" applyFont="1" applyBorder="1"/>
    <xf numFmtId="0" fontId="64" fillId="0" borderId="0" xfId="0" applyFont="1" applyAlignment="1">
      <alignment horizontal="left" vertical="center"/>
    </xf>
    <xf numFmtId="0" fontId="64" fillId="0" borderId="113" xfId="0" applyFont="1" applyBorder="1" applyAlignment="1">
      <alignment horizontal="left"/>
    </xf>
    <xf numFmtId="0" fontId="20" fillId="0" borderId="101" xfId="0" applyFont="1" applyBorder="1"/>
    <xf numFmtId="0" fontId="64" fillId="0" borderId="104" xfId="0" applyFont="1" applyBorder="1" applyAlignment="1">
      <alignment horizontal="center"/>
    </xf>
    <xf numFmtId="0" fontId="64" fillId="0" borderId="104" xfId="0" applyFont="1" applyBorder="1" applyAlignment="1">
      <alignment horizontal="left"/>
    </xf>
    <xf numFmtId="0" fontId="64" fillId="0" borderId="146" xfId="0" applyFont="1" applyBorder="1"/>
    <xf numFmtId="0" fontId="64" fillId="0" borderId="128" xfId="0" applyFont="1" applyBorder="1" applyAlignment="1">
      <alignment horizontal="left" vertical="center"/>
    </xf>
    <xf numFmtId="0" fontId="64" fillId="0" borderId="46" xfId="0" applyFont="1" applyBorder="1" applyAlignment="1">
      <alignment horizontal="left" vertical="center"/>
    </xf>
    <xf numFmtId="49" fontId="5" fillId="55" borderId="46" xfId="0" applyNumberFormat="1" applyFont="1" applyFill="1" applyBorder="1" applyAlignment="1">
      <alignment horizontal="center" vertical="center"/>
    </xf>
    <xf numFmtId="0" fontId="0" fillId="62" borderId="46" xfId="0" applyFill="1" applyBorder="1" applyAlignment="1">
      <alignment horizontal="center" vertical="center"/>
    </xf>
    <xf numFmtId="0" fontId="5" fillId="59" borderId="30" xfId="0" applyFont="1" applyFill="1" applyBorder="1" applyAlignment="1">
      <alignment horizontal="center" vertical="center"/>
    </xf>
    <xf numFmtId="49" fontId="5" fillId="60" borderId="44" xfId="0" applyNumberFormat="1" applyFont="1" applyFill="1" applyBorder="1" applyAlignment="1">
      <alignment horizontal="center" vertical="center"/>
    </xf>
    <xf numFmtId="49" fontId="5" fillId="59" borderId="46" xfId="0" applyNumberFormat="1" applyFont="1" applyFill="1" applyBorder="1" applyAlignment="1">
      <alignment horizontal="center" vertical="center"/>
    </xf>
    <xf numFmtId="49" fontId="5" fillId="60" borderId="46" xfId="0" applyNumberFormat="1" applyFont="1" applyFill="1" applyBorder="1" applyAlignment="1">
      <alignment horizontal="center" vertical="center"/>
    </xf>
    <xf numFmtId="49" fontId="5" fillId="63" borderId="46" xfId="0" applyNumberFormat="1" applyFont="1" applyFill="1" applyBorder="1" applyAlignment="1">
      <alignment horizontal="center" vertical="center"/>
    </xf>
    <xf numFmtId="0" fontId="65" fillId="0" borderId="0" xfId="33" applyFont="1"/>
    <xf numFmtId="0" fontId="1" fillId="0" borderId="0" xfId="33"/>
    <xf numFmtId="0" fontId="64" fillId="0" borderId="101" xfId="33" applyFont="1" applyBorder="1"/>
    <xf numFmtId="0" fontId="66" fillId="0" borderId="101" xfId="33" applyFont="1" applyBorder="1"/>
    <xf numFmtId="0" fontId="7" fillId="0" borderId="0" xfId="33" applyFont="1"/>
    <xf numFmtId="0" fontId="2" fillId="0" borderId="147" xfId="34" applyFont="1" applyBorder="1" applyAlignment="1">
      <alignment wrapText="1"/>
    </xf>
    <xf numFmtId="0" fontId="1" fillId="61" borderId="145" xfId="34" applyFill="1" applyBorder="1" applyAlignment="1">
      <alignment wrapText="1"/>
    </xf>
    <xf numFmtId="0" fontId="1" fillId="0" borderId="137" xfId="34" applyBorder="1" applyAlignment="1">
      <alignment wrapText="1"/>
    </xf>
    <xf numFmtId="0" fontId="1" fillId="0" borderId="148" xfId="34" applyBorder="1" applyAlignment="1">
      <alignment wrapText="1"/>
    </xf>
    <xf numFmtId="164" fontId="1" fillId="61" borderId="145" xfId="34" applyNumberFormat="1" applyFill="1" applyBorder="1" applyAlignment="1">
      <alignment wrapText="1"/>
    </xf>
    <xf numFmtId="164" fontId="1" fillId="0" borderId="137" xfId="34" applyNumberFormat="1" applyBorder="1" applyAlignment="1">
      <alignment wrapText="1"/>
    </xf>
    <xf numFmtId="0" fontId="1" fillId="0" borderId="148" xfId="34" applyBorder="1"/>
    <xf numFmtId="0" fontId="1" fillId="0" borderId="149" xfId="34" applyBorder="1"/>
    <xf numFmtId="0" fontId="1" fillId="0" borderId="150" xfId="34" applyBorder="1"/>
    <xf numFmtId="0" fontId="1" fillId="61" borderId="128" xfId="34" applyFill="1" applyBorder="1"/>
    <xf numFmtId="0" fontId="1" fillId="0" borderId="151" xfId="34" applyBorder="1"/>
    <xf numFmtId="0" fontId="1" fillId="0" borderId="150" xfId="34" applyBorder="1" applyAlignment="1">
      <alignment wrapText="1"/>
    </xf>
    <xf numFmtId="164" fontId="1" fillId="61" borderId="128" xfId="34" applyNumberFormat="1" applyFill="1" applyBorder="1"/>
    <xf numFmtId="164" fontId="1" fillId="0" borderId="139" xfId="34" applyNumberFormat="1" applyBorder="1"/>
    <xf numFmtId="0" fontId="1" fillId="0" borderId="139" xfId="34" applyBorder="1" applyAlignment="1">
      <alignment wrapText="1"/>
    </xf>
    <xf numFmtId="0" fontId="1" fillId="61" borderId="128" xfId="34" applyFill="1" applyBorder="1" applyAlignment="1">
      <alignment wrapText="1"/>
    </xf>
    <xf numFmtId="0" fontId="1" fillId="0" borderId="151" xfId="34" applyBorder="1" applyAlignment="1">
      <alignment wrapText="1"/>
    </xf>
    <xf numFmtId="0" fontId="1" fillId="60" borderId="150" xfId="34" applyFill="1" applyBorder="1" applyAlignment="1">
      <alignment wrapText="1"/>
    </xf>
    <xf numFmtId="164" fontId="1" fillId="61" borderId="128" xfId="34" applyNumberFormat="1" applyFill="1" applyBorder="1" applyAlignment="1">
      <alignment wrapText="1"/>
    </xf>
    <xf numFmtId="164" fontId="1" fillId="0" borderId="139" xfId="34" applyNumberFormat="1" applyBorder="1" applyAlignment="1">
      <alignment wrapText="1"/>
    </xf>
    <xf numFmtId="0" fontId="1" fillId="61" borderId="128" xfId="34" applyFill="1" applyBorder="1" applyAlignment="1">
      <alignment horizontal="center" wrapText="1"/>
    </xf>
    <xf numFmtId="0" fontId="1" fillId="0" borderId="139" xfId="34" applyBorder="1" applyAlignment="1">
      <alignment horizontal="center" wrapText="1"/>
    </xf>
    <xf numFmtId="164" fontId="1" fillId="61" borderId="128" xfId="34" applyNumberFormat="1" applyFill="1" applyBorder="1" applyAlignment="1">
      <alignment horizontal="center" wrapText="1"/>
    </xf>
    <xf numFmtId="0" fontId="1" fillId="0" borderId="128" xfId="34" applyBorder="1" applyAlignment="1">
      <alignment horizontal="center" wrapText="1"/>
    </xf>
    <xf numFmtId="0" fontId="1" fillId="61" borderId="139" xfId="34" applyFill="1" applyBorder="1" applyAlignment="1">
      <alignment horizontal="center" wrapText="1"/>
    </xf>
    <xf numFmtId="0" fontId="1" fillId="64" borderId="150" xfId="34" applyFill="1" applyBorder="1" applyAlignment="1">
      <alignment wrapText="1"/>
    </xf>
    <xf numFmtId="164" fontId="1" fillId="61" borderId="139" xfId="34" applyNumberFormat="1" applyFill="1" applyBorder="1" applyAlignment="1">
      <alignment horizontal="center" wrapText="1"/>
    </xf>
    <xf numFmtId="164" fontId="1" fillId="0" borderId="139" xfId="34" applyNumberFormat="1" applyBorder="1" applyAlignment="1">
      <alignment horizontal="center" wrapText="1"/>
    </xf>
    <xf numFmtId="0" fontId="1" fillId="0" borderId="151" xfId="34" applyBorder="1" applyAlignment="1">
      <alignment horizontal="center" wrapText="1"/>
    </xf>
    <xf numFmtId="0" fontId="1" fillId="0" borderId="112" xfId="34" applyBorder="1"/>
    <xf numFmtId="0" fontId="1" fillId="0" borderId="112" xfId="34" applyBorder="1" applyAlignment="1">
      <alignment horizontal="center"/>
    </xf>
    <xf numFmtId="164" fontId="1" fillId="61" borderId="113" xfId="34" applyNumberFormat="1" applyFill="1" applyBorder="1" applyAlignment="1">
      <alignment horizontal="center"/>
    </xf>
    <xf numFmtId="0" fontId="1" fillId="0" borderId="141" xfId="34" applyBorder="1" applyAlignment="1">
      <alignment horizontal="center"/>
    </xf>
    <xf numFmtId="4" fontId="1" fillId="0" borderId="114" xfId="34" applyNumberFormat="1" applyBorder="1" applyAlignment="1">
      <alignment horizontal="center"/>
    </xf>
    <xf numFmtId="0" fontId="1" fillId="58" borderId="112" xfId="34" applyFill="1" applyBorder="1" applyAlignment="1">
      <alignment horizontal="center"/>
    </xf>
    <xf numFmtId="1" fontId="1" fillId="61" borderId="113" xfId="34" applyNumberFormat="1" applyFill="1" applyBorder="1" applyAlignment="1">
      <alignment horizontal="center"/>
    </xf>
    <xf numFmtId="0" fontId="1" fillId="0" borderId="114" xfId="34" applyBorder="1" applyAlignment="1">
      <alignment horizontal="center"/>
    </xf>
    <xf numFmtId="3" fontId="1" fillId="0" borderId="141" xfId="34" applyNumberFormat="1" applyBorder="1" applyAlignment="1">
      <alignment horizontal="center"/>
    </xf>
    <xf numFmtId="0" fontId="1" fillId="0" borderId="113" xfId="34" applyBorder="1"/>
    <xf numFmtId="0" fontId="1" fillId="0" borderId="114" xfId="34" applyBorder="1"/>
    <xf numFmtId="0" fontId="1" fillId="0" borderId="115" xfId="34" applyBorder="1" applyAlignment="1">
      <alignment horizontal="center"/>
    </xf>
    <xf numFmtId="164" fontId="1" fillId="61" borderId="101" xfId="34" applyNumberFormat="1" applyFill="1" applyBorder="1" applyAlignment="1">
      <alignment horizontal="center"/>
    </xf>
    <xf numFmtId="4" fontId="1" fillId="0" borderId="116" xfId="34" applyNumberFormat="1" applyBorder="1" applyAlignment="1">
      <alignment horizontal="center"/>
    </xf>
    <xf numFmtId="0" fontId="1" fillId="58" borderId="115" xfId="34" applyFill="1" applyBorder="1" applyAlignment="1">
      <alignment horizontal="center"/>
    </xf>
    <xf numFmtId="1" fontId="1" fillId="61" borderId="101" xfId="34" applyNumberFormat="1" applyFill="1" applyBorder="1" applyAlignment="1">
      <alignment horizontal="center"/>
    </xf>
    <xf numFmtId="3" fontId="1" fillId="0" borderId="98" xfId="34" applyNumberFormat="1" applyBorder="1" applyAlignment="1">
      <alignment horizontal="center"/>
    </xf>
    <xf numFmtId="0" fontId="1" fillId="0" borderId="116" xfId="34" applyBorder="1"/>
    <xf numFmtId="167" fontId="1" fillId="0" borderId="116" xfId="34" applyNumberFormat="1" applyBorder="1" applyAlignment="1">
      <alignment horizontal="center"/>
    </xf>
    <xf numFmtId="167" fontId="1" fillId="0" borderId="98" xfId="34" applyNumberFormat="1" applyBorder="1" applyAlignment="1">
      <alignment horizontal="center"/>
    </xf>
    <xf numFmtId="166" fontId="1" fillId="0" borderId="116" xfId="34" applyNumberFormat="1" applyBorder="1" applyAlignment="1">
      <alignment horizontal="center"/>
    </xf>
    <xf numFmtId="0" fontId="1" fillId="56" borderId="98" xfId="34" applyFill="1" applyBorder="1" applyAlignment="1">
      <alignment horizontal="center"/>
    </xf>
    <xf numFmtId="4" fontId="1" fillId="56" borderId="116" xfId="34" applyNumberFormat="1" applyFill="1" applyBorder="1" applyAlignment="1">
      <alignment horizontal="center"/>
    </xf>
    <xf numFmtId="0" fontId="1" fillId="0" borderId="144" xfId="34" applyBorder="1"/>
    <xf numFmtId="0" fontId="1" fillId="0" borderId="152" xfId="34" applyBorder="1"/>
    <xf numFmtId="0" fontId="1" fillId="0" borderId="144" xfId="34" applyBorder="1" applyAlignment="1">
      <alignment horizontal="center"/>
    </xf>
    <xf numFmtId="0" fontId="1" fillId="0" borderId="118" xfId="34" applyBorder="1"/>
    <xf numFmtId="0" fontId="1" fillId="0" borderId="153" xfId="34" applyBorder="1"/>
    <xf numFmtId="164" fontId="1" fillId="0" borderId="122" xfId="34" applyNumberFormat="1" applyBorder="1"/>
    <xf numFmtId="164" fontId="1" fillId="61" borderId="122" xfId="34" applyNumberFormat="1" applyFill="1" applyBorder="1"/>
    <xf numFmtId="0" fontId="1" fillId="64" borderId="122" xfId="34" applyFill="1" applyBorder="1"/>
    <xf numFmtId="0" fontId="1" fillId="0" borderId="154" xfId="34" applyBorder="1"/>
    <xf numFmtId="3" fontId="1" fillId="0" borderId="122" xfId="34" applyNumberFormat="1" applyBorder="1"/>
    <xf numFmtId="167" fontId="1" fillId="0" borderId="154" xfId="34" applyNumberFormat="1" applyBorder="1"/>
    <xf numFmtId="167" fontId="1" fillId="0" borderId="0" xfId="34" applyNumberFormat="1"/>
    <xf numFmtId="0" fontId="2" fillId="53" borderId="0" xfId="34" applyFont="1" applyFill="1"/>
    <xf numFmtId="0" fontId="1" fillId="55" borderId="150" xfId="34" applyFill="1" applyBorder="1" applyAlignment="1">
      <alignment wrapText="1"/>
    </xf>
    <xf numFmtId="2" fontId="1" fillId="0" borderId="116" xfId="34" applyNumberFormat="1" applyBorder="1" applyAlignment="1">
      <alignment horizontal="center"/>
    </xf>
    <xf numFmtId="178" fontId="1" fillId="0" borderId="98" xfId="34" applyNumberFormat="1" applyBorder="1" applyAlignment="1">
      <alignment horizontal="center"/>
    </xf>
    <xf numFmtId="164" fontId="1" fillId="0" borderId="101" xfId="34" applyNumberFormat="1" applyBorder="1"/>
    <xf numFmtId="166" fontId="1" fillId="0" borderId="154" xfId="34" applyNumberFormat="1" applyBorder="1"/>
    <xf numFmtId="3" fontId="1" fillId="64" borderId="122" xfId="34" applyNumberFormat="1" applyFill="1" applyBorder="1"/>
    <xf numFmtId="0" fontId="0" fillId="63" borderId="46" xfId="0" applyFill="1" applyBorder="1" applyAlignment="1">
      <alignment horizontal="center" vertical="center"/>
    </xf>
    <xf numFmtId="0" fontId="0" fillId="51" borderId="46" xfId="0" applyFill="1" applyBorder="1"/>
    <xf numFmtId="0" fontId="17" fillId="52" borderId="46" xfId="0" applyFont="1" applyFill="1" applyBorder="1" applyAlignment="1">
      <alignment horizontal="center" vertical="center"/>
    </xf>
    <xf numFmtId="0" fontId="0" fillId="52" borderId="0" xfId="0" applyFill="1"/>
    <xf numFmtId="0" fontId="0" fillId="51" borderId="44" xfId="0" applyFill="1" applyBorder="1"/>
    <xf numFmtId="49" fontId="64" fillId="0" borderId="101" xfId="0" applyNumberFormat="1" applyFont="1" applyBorder="1"/>
    <xf numFmtId="49" fontId="64" fillId="0" borderId="116" xfId="0" applyNumberFormat="1" applyFont="1" applyBorder="1"/>
    <xf numFmtId="49" fontId="64" fillId="0" borderId="155" xfId="0" applyNumberFormat="1" applyFont="1" applyBorder="1"/>
    <xf numFmtId="49" fontId="64" fillId="0" borderId="114" xfId="0" applyNumberFormat="1" applyFont="1" applyBorder="1"/>
    <xf numFmtId="49" fontId="64" fillId="0" borderId="120" xfId="0" applyNumberFormat="1" applyFont="1" applyBorder="1" applyAlignment="1">
      <alignment horizontal="right"/>
    </xf>
    <xf numFmtId="49" fontId="64" fillId="0" borderId="118" xfId="0" applyNumberFormat="1" applyFont="1" applyBorder="1"/>
    <xf numFmtId="49" fontId="64" fillId="0" borderId="120" xfId="0" applyNumberFormat="1" applyFont="1" applyBorder="1"/>
    <xf numFmtId="49" fontId="64" fillId="0" borderId="138" xfId="0" applyNumberFormat="1" applyFont="1" applyBorder="1"/>
    <xf numFmtId="49" fontId="64" fillId="0" borderId="121" xfId="0" applyNumberFormat="1" applyFont="1" applyBorder="1"/>
    <xf numFmtId="0" fontId="0" fillId="0" borderId="101" xfId="0" applyBorder="1" applyAlignment="1" applyProtection="1">
      <alignment horizontal="center"/>
      <protection locked="0"/>
    </xf>
    <xf numFmtId="0" fontId="0" fillId="0" borderId="100" xfId="0" applyBorder="1" applyAlignment="1">
      <alignment horizontal="left" vertical="center"/>
    </xf>
    <xf numFmtId="0" fontId="0" fillId="65" borderId="46" xfId="0" applyFill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5" fillId="52" borderId="46" xfId="0" applyFont="1" applyFill="1" applyBorder="1" applyAlignment="1">
      <alignment horizontal="center" vertical="center"/>
    </xf>
    <xf numFmtId="0" fontId="5" fillId="50" borderId="34" xfId="0" applyFont="1" applyFill="1" applyBorder="1" applyAlignment="1">
      <alignment horizontal="center" vertical="center"/>
    </xf>
    <xf numFmtId="49" fontId="23" fillId="57" borderId="46" xfId="0" applyNumberFormat="1" applyFont="1" applyFill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5" fillId="53" borderId="49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/>
    </xf>
    <xf numFmtId="0" fontId="5" fillId="55" borderId="101" xfId="0" applyFont="1" applyFill="1" applyBorder="1" applyAlignment="1">
      <alignment horizontal="center"/>
    </xf>
    <xf numFmtId="0" fontId="18" fillId="0" borderId="101" xfId="0" applyFont="1" applyBorder="1" applyAlignment="1" applyProtection="1">
      <alignment horizontal="center"/>
      <protection locked="0"/>
    </xf>
    <xf numFmtId="0" fontId="7" fillId="51" borderId="46" xfId="0" applyFont="1" applyFill="1" applyBorder="1" applyAlignment="1">
      <alignment horizontal="center" vertical="center"/>
    </xf>
    <xf numFmtId="0" fontId="5" fillId="60" borderId="25" xfId="0" applyFont="1" applyFill="1" applyBorder="1" applyAlignment="1">
      <alignment horizontal="center" vertical="center"/>
    </xf>
    <xf numFmtId="0" fontId="5" fillId="60" borderId="11" xfId="0" applyFont="1" applyFill="1" applyBorder="1" applyAlignment="1">
      <alignment horizontal="center" vertical="center"/>
    </xf>
    <xf numFmtId="0" fontId="5" fillId="60" borderId="30" xfId="0" applyFont="1" applyFill="1" applyBorder="1" applyAlignment="1">
      <alignment horizontal="center" vertical="center"/>
    </xf>
    <xf numFmtId="0" fontId="5" fillId="50" borderId="20" xfId="0" applyFont="1" applyFill="1" applyBorder="1" applyAlignment="1">
      <alignment horizontal="center" vertical="center"/>
    </xf>
    <xf numFmtId="0" fontId="20" fillId="0" borderId="46" xfId="0" applyFont="1" applyBorder="1" applyAlignment="1">
      <alignment horizontal="left" vertical="center"/>
    </xf>
    <xf numFmtId="0" fontId="22" fillId="0" borderId="0" xfId="0" applyFont="1"/>
    <xf numFmtId="0" fontId="0" fillId="60" borderId="46" xfId="0" applyFill="1" applyBorder="1" applyAlignment="1">
      <alignment horizontal="center" vertical="center"/>
    </xf>
    <xf numFmtId="0" fontId="25" fillId="51" borderId="46" xfId="0" applyFont="1" applyFill="1" applyBorder="1" applyAlignment="1">
      <alignment horizontal="center" vertical="center"/>
    </xf>
    <xf numFmtId="0" fontId="25" fillId="51" borderId="30" xfId="0" applyFont="1" applyFill="1" applyBorder="1" applyAlignment="1">
      <alignment horizontal="center" vertical="center"/>
    </xf>
    <xf numFmtId="0" fontId="25" fillId="51" borderId="35" xfId="0" applyFont="1" applyFill="1" applyBorder="1" applyAlignment="1">
      <alignment horizontal="center" vertical="center"/>
    </xf>
    <xf numFmtId="0" fontId="5" fillId="52" borderId="15" xfId="0" applyFont="1" applyFill="1" applyBorder="1" applyAlignment="1">
      <alignment horizontal="center" vertical="center"/>
    </xf>
    <xf numFmtId="0" fontId="5" fillId="52" borderId="30" xfId="0" applyFont="1" applyFill="1" applyBorder="1" applyAlignment="1">
      <alignment horizontal="center" vertical="center"/>
    </xf>
    <xf numFmtId="0" fontId="5" fillId="59" borderId="101" xfId="0" applyFont="1" applyFill="1" applyBorder="1" applyAlignment="1">
      <alignment horizontal="center"/>
    </xf>
    <xf numFmtId="0" fontId="5" fillId="59" borderId="15" xfId="0" applyFont="1" applyFill="1" applyBorder="1" applyAlignment="1">
      <alignment horizontal="center" vertical="center"/>
    </xf>
    <xf numFmtId="0" fontId="5" fillId="59" borderId="41" xfId="0" applyFont="1" applyFill="1" applyBorder="1" applyAlignment="1">
      <alignment horizontal="center" vertical="center"/>
    </xf>
    <xf numFmtId="0" fontId="5" fillId="60" borderId="46" xfId="0" applyFont="1" applyFill="1" applyBorder="1" applyAlignment="1">
      <alignment horizontal="center" vertical="center"/>
    </xf>
    <xf numFmtId="49" fontId="5" fillId="52" borderId="46" xfId="0" applyNumberFormat="1" applyFont="1" applyFill="1" applyBorder="1" applyAlignment="1">
      <alignment horizontal="center" vertical="center"/>
    </xf>
    <xf numFmtId="0" fontId="5" fillId="26" borderId="78" xfId="0" applyFont="1" applyFill="1" applyBorder="1" applyAlignment="1">
      <alignment horizontal="center"/>
    </xf>
    <xf numFmtId="0" fontId="15" fillId="60" borderId="46" xfId="0" applyFont="1" applyFill="1" applyBorder="1" applyAlignment="1">
      <alignment horizontal="center" vertical="center"/>
    </xf>
    <xf numFmtId="0" fontId="5" fillId="59" borderId="11" xfId="0" applyFont="1" applyFill="1" applyBorder="1" applyAlignment="1">
      <alignment horizontal="center" vertical="center"/>
    </xf>
    <xf numFmtId="0" fontId="0" fillId="66" borderId="46" xfId="0" applyFill="1" applyBorder="1" applyAlignment="1">
      <alignment horizontal="center" vertical="center"/>
    </xf>
    <xf numFmtId="0" fontId="5" fillId="59" borderId="25" xfId="0" applyFont="1" applyFill="1" applyBorder="1" applyAlignment="1">
      <alignment horizontal="center" vertical="center"/>
    </xf>
    <xf numFmtId="0" fontId="5" fillId="52" borderId="59" xfId="0" applyFont="1" applyFill="1" applyBorder="1" applyAlignment="1">
      <alignment horizontal="center" vertical="center"/>
    </xf>
    <xf numFmtId="0" fontId="5" fillId="54" borderId="46" xfId="0" applyFont="1" applyFill="1" applyBorder="1" applyAlignment="1">
      <alignment horizontal="center" vertical="center"/>
    </xf>
    <xf numFmtId="0" fontId="5" fillId="59" borderId="49" xfId="0" applyFont="1" applyFill="1" applyBorder="1" applyAlignment="1">
      <alignment horizontal="center" vertical="center"/>
    </xf>
    <xf numFmtId="0" fontId="5" fillId="51" borderId="41" xfId="0" applyFont="1" applyFill="1" applyBorder="1" applyAlignment="1">
      <alignment horizontal="center" vertical="center"/>
    </xf>
    <xf numFmtId="0" fontId="0" fillId="57" borderId="0" xfId="0" applyFill="1"/>
    <xf numFmtId="0" fontId="13" fillId="0" borderId="44" xfId="0" applyFont="1" applyBorder="1" applyAlignment="1">
      <alignment horizontal="center"/>
    </xf>
    <xf numFmtId="0" fontId="5" fillId="50" borderId="11" xfId="0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/>
    </xf>
    <xf numFmtId="49" fontId="5" fillId="62" borderId="46" xfId="0" applyNumberFormat="1" applyFont="1" applyFill="1" applyBorder="1" applyAlignment="1">
      <alignment horizontal="center" vertical="center"/>
    </xf>
    <xf numFmtId="49" fontId="5" fillId="56" borderId="46" xfId="0" applyNumberFormat="1" applyFont="1" applyFill="1" applyBorder="1" applyAlignment="1">
      <alignment horizontal="center" vertical="center"/>
    </xf>
    <xf numFmtId="49" fontId="5" fillId="56" borderId="44" xfId="0" applyNumberFormat="1" applyFont="1" applyFill="1" applyBorder="1" applyAlignment="1">
      <alignment horizontal="center" vertical="center"/>
    </xf>
    <xf numFmtId="0" fontId="5" fillId="57" borderId="30" xfId="0" applyFont="1" applyFill="1" applyBorder="1" applyAlignment="1">
      <alignment horizontal="center" vertical="center"/>
    </xf>
    <xf numFmtId="49" fontId="5" fillId="0" borderId="75" xfId="0" applyNumberFormat="1" applyFont="1" applyBorder="1" applyAlignment="1">
      <alignment horizontal="center" vertical="center"/>
    </xf>
    <xf numFmtId="49" fontId="5" fillId="0" borderId="101" xfId="0" applyNumberFormat="1" applyFont="1" applyBorder="1" applyAlignment="1">
      <alignment horizontal="center" vertical="center"/>
    </xf>
    <xf numFmtId="49" fontId="5" fillId="53" borderId="46" xfId="0" applyNumberFormat="1" applyFont="1" applyFill="1" applyBorder="1" applyAlignment="1">
      <alignment horizontal="center" vertical="center"/>
    </xf>
    <xf numFmtId="0" fontId="5" fillId="65" borderId="46" xfId="0" applyFont="1" applyFill="1" applyBorder="1" applyAlignment="1">
      <alignment horizontal="center" vertical="center"/>
    </xf>
    <xf numFmtId="0" fontId="5" fillId="54" borderId="30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53" borderId="15" xfId="0" applyFont="1" applyFill="1" applyBorder="1" applyAlignment="1">
      <alignment horizontal="center" vertical="center"/>
    </xf>
    <xf numFmtId="0" fontId="5" fillId="50" borderId="101" xfId="0" applyFont="1" applyFill="1" applyBorder="1" applyAlignment="1">
      <alignment horizontal="center"/>
    </xf>
    <xf numFmtId="0" fontId="72" fillId="0" borderId="46" xfId="0" applyFont="1" applyBorder="1" applyAlignment="1">
      <alignment horizontal="center" vertical="center"/>
    </xf>
    <xf numFmtId="49" fontId="23" fillId="52" borderId="46" xfId="0" applyNumberFormat="1" applyFont="1" applyFill="1" applyBorder="1" applyAlignment="1">
      <alignment horizontal="center" vertical="center"/>
    </xf>
    <xf numFmtId="0" fontId="5" fillId="0" borderId="113" xfId="0" applyFont="1" applyBorder="1" applyAlignment="1">
      <alignment horizontal="left" vertical="center"/>
    </xf>
    <xf numFmtId="0" fontId="0" fillId="51" borderId="49" xfId="0" applyFill="1" applyBorder="1" applyAlignment="1">
      <alignment horizontal="center" vertical="center"/>
    </xf>
    <xf numFmtId="0" fontId="5" fillId="50" borderId="12" xfId="0" applyFont="1" applyFill="1" applyBorder="1" applyAlignment="1">
      <alignment horizontal="center" vertical="center"/>
    </xf>
    <xf numFmtId="0" fontId="23" fillId="52" borderId="156" xfId="0" applyFont="1" applyFill="1" applyBorder="1" applyAlignment="1">
      <alignment horizontal="center" vertical="center"/>
    </xf>
    <xf numFmtId="49" fontId="5" fillId="66" borderId="46" xfId="0" applyNumberFormat="1" applyFont="1" applyFill="1" applyBorder="1" applyAlignment="1">
      <alignment horizontal="center" vertical="center"/>
    </xf>
    <xf numFmtId="0" fontId="0" fillId="59" borderId="0" xfId="0" applyFill="1" applyAlignment="1">
      <alignment horizontal="center" vertical="center"/>
    </xf>
    <xf numFmtId="49" fontId="5" fillId="65" borderId="46" xfId="0" applyNumberFormat="1" applyFont="1" applyFill="1" applyBorder="1" applyAlignment="1">
      <alignment horizontal="center" vertical="center"/>
    </xf>
    <xf numFmtId="0" fontId="0" fillId="50" borderId="76" xfId="0" applyFill="1" applyBorder="1" applyAlignment="1">
      <alignment horizontal="center" vertical="center"/>
    </xf>
    <xf numFmtId="0" fontId="5" fillId="58" borderId="15" xfId="0" applyFont="1" applyFill="1" applyBorder="1" applyAlignment="1">
      <alignment horizontal="center" vertical="center"/>
    </xf>
    <xf numFmtId="0" fontId="5" fillId="0" borderId="156" xfId="0" applyFont="1" applyBorder="1" applyAlignment="1">
      <alignment horizontal="center" vertical="center"/>
    </xf>
    <xf numFmtId="0" fontId="23" fillId="59" borderId="11" xfId="0" applyFont="1" applyFill="1" applyBorder="1" applyAlignment="1">
      <alignment horizontal="center" vertical="center"/>
    </xf>
    <xf numFmtId="0" fontId="5" fillId="54" borderId="15" xfId="0" applyFont="1" applyFill="1" applyBorder="1" applyAlignment="1">
      <alignment horizontal="center" vertical="center"/>
    </xf>
    <xf numFmtId="0" fontId="25" fillId="50" borderId="46" xfId="0" applyFont="1" applyFill="1" applyBorder="1" applyAlignment="1">
      <alignment horizontal="center" vertical="center"/>
    </xf>
    <xf numFmtId="0" fontId="0" fillId="59" borderId="49" xfId="0" applyFill="1" applyBorder="1" applyAlignment="1">
      <alignment horizontal="center" vertical="center"/>
    </xf>
    <xf numFmtId="0" fontId="73" fillId="0" borderId="46" xfId="0" applyFont="1" applyBorder="1" applyAlignment="1">
      <alignment horizontal="center" vertical="center"/>
    </xf>
    <xf numFmtId="0" fontId="17" fillId="0" borderId="0" xfId="0" applyFont="1"/>
    <xf numFmtId="0" fontId="5" fillId="50" borderId="44" xfId="0" applyFont="1" applyFill="1" applyBorder="1" applyAlignment="1">
      <alignment horizontal="center" vertical="center"/>
    </xf>
    <xf numFmtId="0" fontId="25" fillId="53" borderId="11" xfId="0" applyFont="1" applyFill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58" borderId="46" xfId="0" applyNumberFormat="1" applyFont="1" applyFill="1" applyBorder="1" applyAlignment="1">
      <alignment horizontal="center" vertical="center"/>
    </xf>
    <xf numFmtId="0" fontId="0" fillId="67" borderId="46" xfId="0" applyFill="1" applyBorder="1" applyAlignment="1">
      <alignment horizontal="center" vertical="center"/>
    </xf>
    <xf numFmtId="0" fontId="5" fillId="68" borderId="46" xfId="0" applyFont="1" applyFill="1" applyBorder="1" applyAlignment="1">
      <alignment horizontal="center" vertical="center"/>
    </xf>
    <xf numFmtId="0" fontId="0" fillId="69" borderId="46" xfId="0" applyFill="1" applyBorder="1" applyAlignment="1">
      <alignment horizontal="center" vertical="center"/>
    </xf>
    <xf numFmtId="0" fontId="0" fillId="70" borderId="46" xfId="0" applyFill="1" applyBorder="1" applyAlignment="1">
      <alignment horizontal="center" vertical="center"/>
    </xf>
    <xf numFmtId="0" fontId="5" fillId="67" borderId="30" xfId="0" applyFont="1" applyFill="1" applyBorder="1" applyAlignment="1">
      <alignment horizontal="center" vertical="center"/>
    </xf>
    <xf numFmtId="0" fontId="5" fillId="67" borderId="46" xfId="0" applyFont="1" applyFill="1" applyBorder="1" applyAlignment="1">
      <alignment horizontal="center" vertical="center"/>
    </xf>
    <xf numFmtId="49" fontId="5" fillId="67" borderId="46" xfId="0" applyNumberFormat="1" applyFont="1" applyFill="1" applyBorder="1" applyAlignment="1">
      <alignment horizontal="center" vertical="center"/>
    </xf>
    <xf numFmtId="0" fontId="0" fillId="71" borderId="49" xfId="0" applyFill="1" applyBorder="1" applyAlignment="1">
      <alignment horizontal="center" vertical="center"/>
    </xf>
    <xf numFmtId="0" fontId="5" fillId="70" borderId="15" xfId="0" applyFont="1" applyFill="1" applyBorder="1" applyAlignment="1">
      <alignment horizontal="center" vertical="center"/>
    </xf>
    <xf numFmtId="49" fontId="5" fillId="72" borderId="46" xfId="0" applyNumberFormat="1" applyFont="1" applyFill="1" applyBorder="1" applyAlignment="1">
      <alignment horizontal="center" vertical="center"/>
    </xf>
    <xf numFmtId="0" fontId="5" fillId="67" borderId="11" xfId="0" applyFont="1" applyFill="1" applyBorder="1" applyAlignment="1">
      <alignment horizontal="center" vertical="center"/>
    </xf>
    <xf numFmtId="49" fontId="5" fillId="73" borderId="46" xfId="0" applyNumberFormat="1" applyFont="1" applyFill="1" applyBorder="1" applyAlignment="1">
      <alignment horizontal="center" vertical="center"/>
    </xf>
    <xf numFmtId="0" fontId="5" fillId="70" borderId="30" xfId="0" applyFont="1" applyFill="1" applyBorder="1" applyAlignment="1">
      <alignment horizontal="center" vertical="center"/>
    </xf>
    <xf numFmtId="0" fontId="5" fillId="70" borderId="46" xfId="0" applyFont="1" applyFill="1" applyBorder="1" applyAlignment="1">
      <alignment horizontal="center" vertical="center"/>
    </xf>
    <xf numFmtId="49" fontId="5" fillId="70" borderId="46" xfId="0" applyNumberFormat="1" applyFont="1" applyFill="1" applyBorder="1" applyAlignment="1">
      <alignment horizontal="center" vertical="center"/>
    </xf>
    <xf numFmtId="0" fontId="17" fillId="67" borderId="46" xfId="0" applyFont="1" applyFill="1" applyBorder="1" applyAlignment="1">
      <alignment horizontal="center" vertical="center"/>
    </xf>
    <xf numFmtId="0" fontId="5" fillId="74" borderId="30" xfId="0" applyFont="1" applyFill="1" applyBorder="1" applyAlignment="1">
      <alignment horizontal="center" vertical="center"/>
    </xf>
    <xf numFmtId="49" fontId="5" fillId="74" borderId="46" xfId="0" applyNumberFormat="1" applyFont="1" applyFill="1" applyBorder="1" applyAlignment="1">
      <alignment horizontal="center" vertical="center"/>
    </xf>
    <xf numFmtId="0" fontId="5" fillId="74" borderId="11" xfId="0" applyFont="1" applyFill="1" applyBorder="1" applyAlignment="1">
      <alignment horizontal="center" vertical="center"/>
    </xf>
    <xf numFmtId="0" fontId="5" fillId="73" borderId="15" xfId="0" applyFont="1" applyFill="1" applyBorder="1" applyAlignment="1">
      <alignment horizontal="center" vertical="center"/>
    </xf>
    <xf numFmtId="0" fontId="0" fillId="73" borderId="46" xfId="0" applyFill="1" applyBorder="1" applyAlignment="1">
      <alignment horizontal="center" vertical="center"/>
    </xf>
    <xf numFmtId="0" fontId="0" fillId="75" borderId="46" xfId="0" applyFill="1" applyBorder="1" applyAlignment="1">
      <alignment horizontal="center" vertical="center"/>
    </xf>
    <xf numFmtId="0" fontId="0" fillId="76" borderId="0" xfId="0" applyFill="1"/>
    <xf numFmtId="49" fontId="5" fillId="77" borderId="46" xfId="0" applyNumberFormat="1" applyFont="1" applyFill="1" applyBorder="1" applyAlignment="1">
      <alignment horizontal="center" vertical="center"/>
    </xf>
    <xf numFmtId="0" fontId="5" fillId="67" borderId="15" xfId="0" applyFont="1" applyFill="1" applyBorder="1" applyAlignment="1">
      <alignment horizontal="center" vertical="center"/>
    </xf>
    <xf numFmtId="0" fontId="5" fillId="78" borderId="46" xfId="0" applyFont="1" applyFill="1" applyBorder="1" applyAlignment="1">
      <alignment horizontal="center" vertical="center"/>
    </xf>
    <xf numFmtId="49" fontId="5" fillId="78" borderId="44" xfId="0" applyNumberFormat="1" applyFont="1" applyFill="1" applyBorder="1" applyAlignment="1">
      <alignment horizontal="center" vertical="center"/>
    </xf>
    <xf numFmtId="0" fontId="0" fillId="79" borderId="46" xfId="0" applyFill="1" applyBorder="1" applyAlignment="1">
      <alignment horizontal="center" vertical="center"/>
    </xf>
    <xf numFmtId="0" fontId="0" fillId="80" borderId="46" xfId="0" applyFill="1" applyBorder="1" applyAlignment="1">
      <alignment horizontal="center" vertical="center"/>
    </xf>
    <xf numFmtId="0" fontId="0" fillId="78" borderId="46" xfId="0" applyFill="1" applyBorder="1" applyAlignment="1">
      <alignment horizontal="center" vertical="center"/>
    </xf>
    <xf numFmtId="49" fontId="5" fillId="78" borderId="46" xfId="0" applyNumberFormat="1" applyFont="1" applyFill="1" applyBorder="1" applyAlignment="1">
      <alignment horizontal="center" vertical="center"/>
    </xf>
    <xf numFmtId="0" fontId="0" fillId="76" borderId="46" xfId="0" applyFill="1" applyBorder="1" applyAlignment="1">
      <alignment horizontal="center" vertical="center"/>
    </xf>
    <xf numFmtId="0" fontId="5" fillId="69" borderId="46" xfId="0" applyFont="1" applyFill="1" applyBorder="1" applyAlignment="1">
      <alignment horizontal="center"/>
    </xf>
    <xf numFmtId="0" fontId="5" fillId="80" borderId="15" xfId="0" applyFont="1" applyFill="1" applyBorder="1" applyAlignment="1">
      <alignment horizontal="center" vertical="center"/>
    </xf>
    <xf numFmtId="49" fontId="5" fillId="81" borderId="46" xfId="0" applyNumberFormat="1" applyFont="1" applyFill="1" applyBorder="1" applyAlignment="1">
      <alignment horizontal="center" vertical="center"/>
    </xf>
    <xf numFmtId="49" fontId="5" fillId="0" borderId="156" xfId="0" applyNumberFormat="1" applyFont="1" applyBorder="1" applyAlignment="1">
      <alignment horizontal="center" vertical="center"/>
    </xf>
    <xf numFmtId="0" fontId="0" fillId="0" borderId="116" xfId="34" applyFont="1" applyBorder="1"/>
    <xf numFmtId="0" fontId="0" fillId="82" borderId="46" xfId="0" applyFill="1" applyBorder="1" applyAlignment="1">
      <alignment horizontal="center" vertical="center"/>
    </xf>
    <xf numFmtId="49" fontId="5" fillId="68" borderId="46" xfId="0" applyNumberFormat="1" applyFont="1" applyFill="1" applyBorder="1" applyAlignment="1">
      <alignment horizontal="center" vertical="center"/>
    </xf>
    <xf numFmtId="0" fontId="0" fillId="68" borderId="46" xfId="0" applyFill="1" applyBorder="1" applyAlignment="1">
      <alignment horizontal="center" vertical="center"/>
    </xf>
    <xf numFmtId="49" fontId="5" fillId="75" borderId="46" xfId="0" applyNumberFormat="1" applyFont="1" applyFill="1" applyBorder="1" applyAlignment="1">
      <alignment horizontal="center" vertical="center"/>
    </xf>
    <xf numFmtId="0" fontId="5" fillId="79" borderId="15" xfId="0" applyFont="1" applyFill="1" applyBorder="1" applyAlignment="1">
      <alignment horizontal="center" vertical="center"/>
    </xf>
    <xf numFmtId="0" fontId="25" fillId="78" borderId="46" xfId="0" applyFont="1" applyFill="1" applyBorder="1" applyAlignment="1">
      <alignment horizontal="center" vertical="center"/>
    </xf>
    <xf numFmtId="0" fontId="74" fillId="0" borderId="0" xfId="0" applyFont="1"/>
    <xf numFmtId="0" fontId="75" fillId="67" borderId="46" xfId="0" applyFont="1" applyFill="1" applyBorder="1" applyAlignment="1">
      <alignment horizontal="center" vertical="center"/>
    </xf>
    <xf numFmtId="0" fontId="5" fillId="67" borderId="49" xfId="0" applyFont="1" applyFill="1" applyBorder="1" applyAlignment="1">
      <alignment horizontal="center" vertical="center"/>
    </xf>
    <xf numFmtId="49" fontId="5" fillId="79" borderId="46" xfId="0" applyNumberFormat="1" applyFont="1" applyFill="1" applyBorder="1" applyAlignment="1">
      <alignment horizontal="center" vertical="center"/>
    </xf>
    <xf numFmtId="49" fontId="5" fillId="79" borderId="44" xfId="0" applyNumberFormat="1" applyFont="1" applyFill="1" applyBorder="1" applyAlignment="1">
      <alignment horizontal="center" vertical="center"/>
    </xf>
    <xf numFmtId="0" fontId="5" fillId="67" borderId="46" xfId="0" applyFont="1" applyFill="1" applyBorder="1" applyAlignment="1">
      <alignment horizontal="center"/>
    </xf>
    <xf numFmtId="0" fontId="5" fillId="78" borderId="15" xfId="0" applyFont="1" applyFill="1" applyBorder="1" applyAlignment="1">
      <alignment horizontal="center" vertical="center"/>
    </xf>
    <xf numFmtId="0" fontId="5" fillId="80" borderId="46" xfId="0" applyFont="1" applyFill="1" applyBorder="1" applyAlignment="1">
      <alignment horizontal="center" vertical="center"/>
    </xf>
    <xf numFmtId="0" fontId="5" fillId="83" borderId="15" xfId="0" applyFont="1" applyFill="1" applyBorder="1" applyAlignment="1">
      <alignment horizontal="center" vertical="center"/>
    </xf>
    <xf numFmtId="49" fontId="5" fillId="76" borderId="44" xfId="0" applyNumberFormat="1" applyFont="1" applyFill="1" applyBorder="1" applyAlignment="1">
      <alignment horizontal="center" vertical="center"/>
    </xf>
    <xf numFmtId="49" fontId="5" fillId="76" borderId="46" xfId="0" applyNumberFormat="1" applyFont="1" applyFill="1" applyBorder="1" applyAlignment="1">
      <alignment horizontal="center" vertical="center"/>
    </xf>
    <xf numFmtId="0" fontId="5" fillId="85" borderId="46" xfId="0" applyFont="1" applyFill="1" applyBorder="1" applyAlignment="1">
      <alignment horizontal="center"/>
    </xf>
    <xf numFmtId="0" fontId="5" fillId="85" borderId="46" xfId="0" applyFont="1" applyFill="1" applyBorder="1" applyAlignment="1">
      <alignment horizontal="center" vertical="center"/>
    </xf>
    <xf numFmtId="0" fontId="5" fillId="76" borderId="46" xfId="0" applyFont="1" applyFill="1" applyBorder="1" applyAlignment="1">
      <alignment horizontal="center" vertical="center"/>
    </xf>
    <xf numFmtId="0" fontId="5" fillId="76" borderId="15" xfId="0" applyFont="1" applyFill="1" applyBorder="1" applyAlignment="1">
      <alignment horizontal="center" vertical="center"/>
    </xf>
    <xf numFmtId="0" fontId="5" fillId="74" borderId="15" xfId="0" applyFont="1" applyFill="1" applyBorder="1" applyAlignment="1">
      <alignment horizontal="center" vertical="center"/>
    </xf>
    <xf numFmtId="0" fontId="5" fillId="68" borderId="15" xfId="0" applyFont="1" applyFill="1" applyBorder="1" applyAlignment="1">
      <alignment horizontal="center" vertical="center"/>
    </xf>
    <xf numFmtId="0" fontId="25" fillId="70" borderId="46" xfId="0" applyFont="1" applyFill="1" applyBorder="1" applyAlignment="1">
      <alignment horizontal="center" vertical="center"/>
    </xf>
    <xf numFmtId="49" fontId="5" fillId="86" borderId="46" xfId="0" applyNumberFormat="1" applyFont="1" applyFill="1" applyBorder="1" applyAlignment="1">
      <alignment horizontal="center" vertical="center"/>
    </xf>
    <xf numFmtId="0" fontId="5" fillId="73" borderId="11" xfId="0" applyFont="1" applyFill="1" applyBorder="1" applyAlignment="1">
      <alignment horizontal="center" vertical="center"/>
    </xf>
    <xf numFmtId="0" fontId="0" fillId="67" borderId="15" xfId="0" applyFill="1" applyBorder="1" applyAlignment="1">
      <alignment horizontal="center" vertical="center"/>
    </xf>
    <xf numFmtId="0" fontId="25" fillId="70" borderId="30" xfId="0" applyFont="1" applyFill="1" applyBorder="1" applyAlignment="1">
      <alignment horizontal="center" vertical="center"/>
    </xf>
    <xf numFmtId="0" fontId="25" fillId="70" borderId="34" xfId="0" applyFont="1" applyFill="1" applyBorder="1" applyAlignment="1">
      <alignment horizontal="center" vertical="center"/>
    </xf>
    <xf numFmtId="0" fontId="25" fillId="74" borderId="30" xfId="0" applyFont="1" applyFill="1" applyBorder="1" applyAlignment="1">
      <alignment horizontal="center" vertical="center"/>
    </xf>
    <xf numFmtId="0" fontId="25" fillId="74" borderId="34" xfId="0" applyFont="1" applyFill="1" applyBorder="1" applyAlignment="1">
      <alignment horizontal="center" vertical="center"/>
    </xf>
    <xf numFmtId="0" fontId="25" fillId="80" borderId="30" xfId="0" applyFont="1" applyFill="1" applyBorder="1" applyAlignment="1">
      <alignment horizontal="center" vertical="center"/>
    </xf>
    <xf numFmtId="0" fontId="5" fillId="87" borderId="46" xfId="0" applyFont="1" applyFill="1" applyBorder="1" applyAlignment="1">
      <alignment horizontal="center"/>
    </xf>
    <xf numFmtId="0" fontId="5" fillId="73" borderId="46" xfId="0" applyFont="1" applyFill="1" applyBorder="1" applyAlignment="1">
      <alignment horizontal="center" vertical="center"/>
    </xf>
    <xf numFmtId="49" fontId="64" fillId="0" borderId="144" xfId="0" applyNumberFormat="1" applyFont="1" applyBorder="1"/>
    <xf numFmtId="49" fontId="5" fillId="88" borderId="46" xfId="0" applyNumberFormat="1" applyFont="1" applyFill="1" applyBorder="1" applyAlignment="1">
      <alignment horizontal="center" vertical="center"/>
    </xf>
    <xf numFmtId="49" fontId="5" fillId="0" borderId="41" xfId="0" applyNumberFormat="1" applyFont="1" applyBorder="1" applyAlignment="1">
      <alignment horizontal="center" vertical="center"/>
    </xf>
    <xf numFmtId="0" fontId="5" fillId="88" borderId="15" xfId="0" applyFont="1" applyFill="1" applyBorder="1" applyAlignment="1">
      <alignment horizontal="center" vertical="center"/>
    </xf>
    <xf numFmtId="0" fontId="0" fillId="0" borderId="156" xfId="0" applyBorder="1" applyAlignment="1">
      <alignment horizontal="center" vertical="center"/>
    </xf>
    <xf numFmtId="0" fontId="5" fillId="0" borderId="157" xfId="0" applyFont="1" applyBorder="1" applyAlignment="1">
      <alignment horizontal="center" vertical="center"/>
    </xf>
    <xf numFmtId="0" fontId="7" fillId="0" borderId="158" xfId="0" applyFont="1" applyBorder="1" applyAlignment="1">
      <alignment horizontal="center"/>
    </xf>
    <xf numFmtId="0" fontId="25" fillId="70" borderId="15" xfId="0" applyFont="1" applyFill="1" applyBorder="1" applyAlignment="1">
      <alignment horizontal="center" vertical="center"/>
    </xf>
    <xf numFmtId="0" fontId="25" fillId="70" borderId="20" xfId="0" applyFont="1" applyFill="1" applyBorder="1" applyAlignment="1">
      <alignment horizontal="center" vertical="center"/>
    </xf>
    <xf numFmtId="0" fontId="5" fillId="0" borderId="159" xfId="0" applyFont="1" applyBorder="1"/>
    <xf numFmtId="0" fontId="5" fillId="24" borderId="49" xfId="0" applyFont="1" applyFill="1" applyBorder="1" applyAlignment="1">
      <alignment horizontal="center" vertical="center"/>
    </xf>
    <xf numFmtId="0" fontId="0" fillId="0" borderId="159" xfId="0" applyBorder="1" applyAlignment="1">
      <alignment horizontal="left"/>
    </xf>
    <xf numFmtId="0" fontId="5" fillId="0" borderId="78" xfId="0" applyFont="1" applyBorder="1" applyAlignment="1">
      <alignment horizontal="left"/>
    </xf>
    <xf numFmtId="0" fontId="5" fillId="0" borderId="160" xfId="0" applyFont="1" applyBorder="1" applyAlignment="1">
      <alignment horizontal="left"/>
    </xf>
    <xf numFmtId="0" fontId="5" fillId="0" borderId="79" xfId="0" applyFont="1" applyBorder="1" applyAlignment="1">
      <alignment horizontal="center" vertical="center"/>
    </xf>
    <xf numFmtId="0" fontId="5" fillId="24" borderId="75" xfId="0" applyFont="1" applyFill="1" applyBorder="1" applyAlignment="1">
      <alignment horizontal="center"/>
    </xf>
    <xf numFmtId="0" fontId="5" fillId="74" borderId="46" xfId="0" applyFont="1" applyFill="1" applyBorder="1" applyAlignment="1">
      <alignment horizontal="center"/>
    </xf>
    <xf numFmtId="0" fontId="2" fillId="0" borderId="101" xfId="0" applyFont="1" applyBorder="1" applyAlignment="1">
      <alignment horizontal="center"/>
    </xf>
    <xf numFmtId="0" fontId="0" fillId="85" borderId="101" xfId="0" applyFill="1" applyBorder="1" applyAlignment="1">
      <alignment horizontal="center" vertical="center"/>
    </xf>
    <xf numFmtId="0" fontId="5" fillId="69" borderId="101" xfId="0" applyFont="1" applyFill="1" applyBorder="1" applyAlignment="1">
      <alignment horizontal="center" vertical="center"/>
    </xf>
    <xf numFmtId="0" fontId="0" fillId="69" borderId="101" xfId="0" applyFill="1" applyBorder="1" applyAlignment="1">
      <alignment horizontal="center" vertical="center"/>
    </xf>
    <xf numFmtId="0" fontId="0" fillId="74" borderId="0" xfId="0" applyFill="1"/>
    <xf numFmtId="0" fontId="0" fillId="74" borderId="101" xfId="0" applyFill="1" applyBorder="1" applyAlignment="1">
      <alignment horizontal="center" vertical="center"/>
    </xf>
    <xf numFmtId="0" fontId="5" fillId="70" borderId="49" xfId="0" applyFont="1" applyFill="1" applyBorder="1" applyAlignment="1">
      <alignment horizontal="center" vertical="center"/>
    </xf>
    <xf numFmtId="0" fontId="5" fillId="69" borderId="15" xfId="0" applyFont="1" applyFill="1" applyBorder="1" applyAlignment="1">
      <alignment horizontal="center" vertical="center"/>
    </xf>
    <xf numFmtId="49" fontId="5" fillId="80" borderId="46" xfId="0" applyNumberFormat="1" applyFont="1" applyFill="1" applyBorder="1" applyAlignment="1">
      <alignment horizontal="center" vertical="center"/>
    </xf>
    <xf numFmtId="0" fontId="0" fillId="80" borderId="21" xfId="0" applyFill="1" applyBorder="1"/>
    <xf numFmtId="0" fontId="0" fillId="70" borderId="76" xfId="0" applyFill="1" applyBorder="1" applyAlignment="1">
      <alignment horizontal="center" vertical="center"/>
    </xf>
    <xf numFmtId="0" fontId="5" fillId="67" borderId="44" xfId="0" applyFont="1" applyFill="1" applyBorder="1" applyAlignment="1">
      <alignment horizontal="center" vertical="center"/>
    </xf>
    <xf numFmtId="0" fontId="5" fillId="90" borderId="46" xfId="0" applyFont="1" applyFill="1" applyBorder="1" applyAlignment="1">
      <alignment horizontal="center"/>
    </xf>
    <xf numFmtId="0" fontId="5" fillId="91" borderId="46" xfId="0" applyFont="1" applyFill="1" applyBorder="1" applyAlignment="1">
      <alignment horizontal="center" vertical="center"/>
    </xf>
    <xf numFmtId="0" fontId="5" fillId="80" borderId="49" xfId="0" applyFont="1" applyFill="1" applyBorder="1" applyAlignment="1">
      <alignment horizontal="center" vertical="center"/>
    </xf>
    <xf numFmtId="0" fontId="0" fillId="80" borderId="15" xfId="0" applyFill="1" applyBorder="1" applyAlignment="1">
      <alignment horizontal="center" vertical="center"/>
    </xf>
    <xf numFmtId="49" fontId="5" fillId="70" borderId="44" xfId="0" applyNumberFormat="1" applyFont="1" applyFill="1" applyBorder="1" applyAlignment="1">
      <alignment horizontal="center" vertical="center"/>
    </xf>
    <xf numFmtId="0" fontId="5" fillId="85" borderId="15" xfId="0" applyFont="1" applyFill="1" applyBorder="1" applyAlignment="1">
      <alignment horizontal="center" vertical="center"/>
    </xf>
    <xf numFmtId="0" fontId="5" fillId="92" borderId="15" xfId="0" applyFont="1" applyFill="1" applyBorder="1" applyAlignment="1">
      <alignment horizontal="center" vertical="center"/>
    </xf>
    <xf numFmtId="0" fontId="25" fillId="92" borderId="30" xfId="0" applyFont="1" applyFill="1" applyBorder="1" applyAlignment="1">
      <alignment horizontal="center" vertical="center"/>
    </xf>
    <xf numFmtId="0" fontId="25" fillId="92" borderId="15" xfId="0" applyFont="1" applyFill="1" applyBorder="1" applyAlignment="1">
      <alignment horizontal="center" vertical="center"/>
    </xf>
    <xf numFmtId="0" fontId="25" fillId="92" borderId="41" xfId="0" applyFont="1" applyFill="1" applyBorder="1" applyAlignment="1">
      <alignment horizontal="center" vertical="center"/>
    </xf>
    <xf numFmtId="0" fontId="25" fillId="92" borderId="18" xfId="0" applyFont="1" applyFill="1" applyBorder="1" applyAlignment="1">
      <alignment horizontal="center" vertical="center"/>
    </xf>
    <xf numFmtId="0" fontId="0" fillId="54" borderId="15" xfId="0" applyFill="1" applyBorder="1" applyAlignment="1">
      <alignment horizontal="center" vertical="center"/>
    </xf>
    <xf numFmtId="0" fontId="25" fillId="68" borderId="30" xfId="0" applyFont="1" applyFill="1" applyBorder="1" applyAlignment="1">
      <alignment horizontal="center" vertical="center"/>
    </xf>
    <xf numFmtId="0" fontId="0" fillId="0" borderId="101" xfId="0" applyBorder="1" applyAlignment="1">
      <alignment horizontal="left"/>
    </xf>
    <xf numFmtId="0" fontId="18" fillId="74" borderId="46" xfId="0" applyFont="1" applyFill="1" applyBorder="1" applyAlignment="1" applyProtection="1">
      <alignment horizontal="center"/>
      <protection locked="0"/>
    </xf>
    <xf numFmtId="0" fontId="7" fillId="74" borderId="61" xfId="0" applyFont="1" applyFill="1" applyBorder="1" applyAlignment="1">
      <alignment horizontal="center" vertical="center"/>
    </xf>
    <xf numFmtId="0" fontId="7" fillId="74" borderId="51" xfId="0" applyFont="1" applyFill="1" applyBorder="1" applyAlignment="1">
      <alignment horizontal="center" vertical="center"/>
    </xf>
    <xf numFmtId="49" fontId="5" fillId="93" borderId="46" xfId="0" applyNumberFormat="1" applyFont="1" applyFill="1" applyBorder="1" applyAlignment="1">
      <alignment horizontal="center" vertical="center"/>
    </xf>
    <xf numFmtId="0" fontId="0" fillId="93" borderId="46" xfId="0" applyFill="1" applyBorder="1" applyAlignment="1">
      <alignment horizontal="center" vertical="center"/>
    </xf>
    <xf numFmtId="0" fontId="5" fillId="80" borderId="30" xfId="0" applyFont="1" applyFill="1" applyBorder="1" applyAlignment="1">
      <alignment horizontal="center" vertical="center"/>
    </xf>
    <xf numFmtId="49" fontId="5" fillId="92" borderId="46" xfId="0" applyNumberFormat="1" applyFont="1" applyFill="1" applyBorder="1" applyAlignment="1">
      <alignment horizontal="center" vertical="center"/>
    </xf>
    <xf numFmtId="49" fontId="5" fillId="95" borderId="46" xfId="0" applyNumberFormat="1" applyFont="1" applyFill="1" applyBorder="1" applyAlignment="1">
      <alignment horizontal="center" vertical="center"/>
    </xf>
    <xf numFmtId="49" fontId="5" fillId="96" borderId="46" xfId="0" applyNumberFormat="1" applyFont="1" applyFill="1" applyBorder="1" applyAlignment="1">
      <alignment horizontal="center" vertical="center"/>
    </xf>
    <xf numFmtId="0" fontId="5" fillId="96" borderId="46" xfId="0" applyFont="1" applyFill="1" applyBorder="1" applyAlignment="1">
      <alignment horizontal="center" vertical="center"/>
    </xf>
    <xf numFmtId="0" fontId="5" fillId="94" borderId="15" xfId="0" applyFont="1" applyFill="1" applyBorder="1" applyAlignment="1">
      <alignment horizontal="center" vertical="center"/>
    </xf>
    <xf numFmtId="0" fontId="5" fillId="95" borderId="25" xfId="0" applyFont="1" applyFill="1" applyBorder="1" applyAlignment="1">
      <alignment horizontal="center" vertical="center"/>
    </xf>
    <xf numFmtId="0" fontId="5" fillId="95" borderId="11" xfId="0" applyFont="1" applyFill="1" applyBorder="1" applyAlignment="1">
      <alignment horizontal="center" vertical="center"/>
    </xf>
    <xf numFmtId="0" fontId="5" fillId="96" borderId="25" xfId="0" applyFont="1" applyFill="1" applyBorder="1" applyAlignment="1">
      <alignment horizontal="center" vertical="center"/>
    </xf>
    <xf numFmtId="0" fontId="4" fillId="0" borderId="75" xfId="0" applyFont="1" applyBorder="1" applyAlignment="1">
      <alignment horizontal="center"/>
    </xf>
    <xf numFmtId="0" fontId="7" fillId="37" borderId="63" xfId="0" applyFont="1" applyFill="1" applyBorder="1" applyAlignment="1">
      <alignment horizontal="center" wrapText="1"/>
    </xf>
    <xf numFmtId="0" fontId="5" fillId="24" borderId="101" xfId="0" applyFont="1" applyFill="1" applyBorder="1" applyAlignment="1">
      <alignment horizontal="center"/>
    </xf>
    <xf numFmtId="0" fontId="0" fillId="67" borderId="46" xfId="0" applyFill="1" applyBorder="1" applyAlignment="1">
      <alignment horizontal="left" vertical="center"/>
    </xf>
    <xf numFmtId="0" fontId="5" fillId="95" borderId="46" xfId="0" applyFont="1" applyFill="1" applyBorder="1" applyAlignment="1">
      <alignment horizontal="center" vertical="center"/>
    </xf>
    <xf numFmtId="0" fontId="5" fillId="95" borderId="30" xfId="0" applyFont="1" applyFill="1" applyBorder="1" applyAlignment="1">
      <alignment horizontal="center" vertical="center"/>
    </xf>
    <xf numFmtId="0" fontId="25" fillId="70" borderId="25" xfId="0" applyFont="1" applyFill="1" applyBorder="1" applyAlignment="1">
      <alignment horizontal="center" vertical="center"/>
    </xf>
    <xf numFmtId="0" fontId="5" fillId="68" borderId="49" xfId="0" applyFont="1" applyFill="1" applyBorder="1" applyAlignment="1">
      <alignment horizontal="center" vertical="center"/>
    </xf>
    <xf numFmtId="0" fontId="25" fillId="85" borderId="15" xfId="0" applyFont="1" applyFill="1" applyBorder="1" applyAlignment="1">
      <alignment horizontal="center" vertical="center"/>
    </xf>
    <xf numFmtId="0" fontId="5" fillId="70" borderId="20" xfId="0" applyFont="1" applyFill="1" applyBorder="1" applyAlignment="1">
      <alignment horizontal="center" vertical="center"/>
    </xf>
    <xf numFmtId="0" fontId="5" fillId="91" borderId="15" xfId="0" applyFont="1" applyFill="1" applyBorder="1" applyAlignment="1">
      <alignment horizontal="center" vertical="center"/>
    </xf>
    <xf numFmtId="0" fontId="25" fillId="80" borderId="46" xfId="0" applyFont="1" applyFill="1" applyBorder="1" applyAlignment="1">
      <alignment horizontal="center" vertical="center"/>
    </xf>
    <xf numFmtId="0" fontId="0" fillId="95" borderId="46" xfId="0" applyFill="1" applyBorder="1" applyAlignment="1">
      <alignment horizontal="center" vertical="center"/>
    </xf>
    <xf numFmtId="0" fontId="5" fillId="70" borderId="76" xfId="0" applyFont="1" applyFill="1" applyBorder="1" applyAlignment="1">
      <alignment horizontal="center" vertical="center"/>
    </xf>
    <xf numFmtId="0" fontId="25" fillId="67" borderId="11" xfId="0" applyFont="1" applyFill="1" applyBorder="1" applyAlignment="1">
      <alignment horizontal="center" vertical="center"/>
    </xf>
    <xf numFmtId="0" fontId="5" fillId="82" borderId="15" xfId="0" applyFont="1" applyFill="1" applyBorder="1" applyAlignment="1">
      <alignment horizontal="center" vertical="center"/>
    </xf>
    <xf numFmtId="0" fontId="5" fillId="74" borderId="46" xfId="0" applyFont="1" applyFill="1" applyBorder="1" applyAlignment="1">
      <alignment horizontal="center" vertical="center"/>
    </xf>
    <xf numFmtId="0" fontId="0" fillId="89" borderId="46" xfId="0" applyFill="1" applyBorder="1" applyAlignment="1">
      <alignment horizontal="center" vertical="center"/>
    </xf>
    <xf numFmtId="49" fontId="5" fillId="82" borderId="46" xfId="0" applyNumberFormat="1" applyFont="1" applyFill="1" applyBorder="1" applyAlignment="1">
      <alignment horizontal="center" vertical="center"/>
    </xf>
    <xf numFmtId="0" fontId="5" fillId="82" borderId="46" xfId="0" applyFont="1" applyFill="1" applyBorder="1" applyAlignment="1">
      <alignment horizontal="center" vertical="center"/>
    </xf>
    <xf numFmtId="0" fontId="0" fillId="79" borderId="69" xfId="0" applyFill="1" applyBorder="1"/>
    <xf numFmtId="49" fontId="5" fillId="90" borderId="46" xfId="0" applyNumberFormat="1" applyFont="1" applyFill="1" applyBorder="1" applyAlignment="1">
      <alignment horizontal="center" vertical="center"/>
    </xf>
    <xf numFmtId="49" fontId="5" fillId="89" borderId="46" xfId="0" applyNumberFormat="1" applyFont="1" applyFill="1" applyBorder="1" applyAlignment="1">
      <alignment horizontal="center" vertical="center"/>
    </xf>
    <xf numFmtId="49" fontId="5" fillId="93" borderId="44" xfId="0" applyNumberFormat="1" applyFont="1" applyFill="1" applyBorder="1" applyAlignment="1">
      <alignment horizontal="center" vertical="center"/>
    </xf>
    <xf numFmtId="0" fontId="5" fillId="96" borderId="30" xfId="0" applyFont="1" applyFill="1" applyBorder="1" applyAlignment="1">
      <alignment horizontal="center" vertical="center"/>
    </xf>
    <xf numFmtId="49" fontId="5" fillId="97" borderId="46" xfId="0" applyNumberFormat="1" applyFont="1" applyFill="1" applyBorder="1" applyAlignment="1">
      <alignment horizontal="center" vertical="center"/>
    </xf>
    <xf numFmtId="0" fontId="5" fillId="70" borderId="11" xfId="0" applyFont="1" applyFill="1" applyBorder="1" applyAlignment="1">
      <alignment horizontal="center" vertical="center"/>
    </xf>
    <xf numFmtId="0" fontId="5" fillId="93" borderId="15" xfId="0" applyFont="1" applyFill="1" applyBorder="1" applyAlignment="1">
      <alignment horizontal="center" vertical="center"/>
    </xf>
    <xf numFmtId="0" fontId="5" fillId="68" borderId="11" xfId="0" applyFont="1" applyFill="1" applyBorder="1" applyAlignment="1">
      <alignment horizontal="center" vertical="center"/>
    </xf>
    <xf numFmtId="0" fontId="5" fillId="68" borderId="30" xfId="0" applyFont="1" applyFill="1" applyBorder="1" applyAlignment="1">
      <alignment horizontal="center" vertical="center"/>
    </xf>
    <xf numFmtId="0" fontId="0" fillId="0" borderId="150" xfId="34" applyFont="1" applyBorder="1"/>
    <xf numFmtId="0" fontId="1" fillId="0" borderId="155" xfId="34" applyBorder="1" applyAlignment="1">
      <alignment horizontal="center"/>
    </xf>
    <xf numFmtId="0" fontId="0" fillId="0" borderId="101" xfId="34" applyFont="1" applyBorder="1" applyAlignment="1">
      <alignment horizontal="center" vertical="center"/>
    </xf>
    <xf numFmtId="0" fontId="5" fillId="89" borderId="15" xfId="0" applyFont="1" applyFill="1" applyBorder="1" applyAlignment="1">
      <alignment horizontal="center" vertical="center"/>
    </xf>
    <xf numFmtId="49" fontId="5" fillId="80" borderId="44" xfId="0" applyNumberFormat="1" applyFont="1" applyFill="1" applyBorder="1" applyAlignment="1">
      <alignment horizontal="center" vertical="center"/>
    </xf>
    <xf numFmtId="0" fontId="5" fillId="70" borderId="34" xfId="0" applyFont="1" applyFill="1" applyBorder="1" applyAlignment="1">
      <alignment horizontal="center" vertical="center"/>
    </xf>
    <xf numFmtId="0" fontId="5" fillId="97" borderId="46" xfId="0" applyFont="1" applyFill="1" applyBorder="1" applyAlignment="1">
      <alignment horizontal="center" vertical="center"/>
    </xf>
    <xf numFmtId="49" fontId="5" fillId="91" borderId="46" xfId="0" applyNumberFormat="1" applyFont="1" applyFill="1" applyBorder="1" applyAlignment="1">
      <alignment horizontal="center" vertical="center"/>
    </xf>
    <xf numFmtId="3" fontId="1" fillId="0" borderId="99" xfId="34" applyNumberFormat="1" applyBorder="1"/>
    <xf numFmtId="3" fontId="1" fillId="0" borderId="135" xfId="34" applyNumberFormat="1" applyBorder="1"/>
    <xf numFmtId="0" fontId="7" fillId="0" borderId="139" xfId="34" applyFont="1" applyBorder="1"/>
    <xf numFmtId="0" fontId="7" fillId="0" borderId="162" xfId="0" applyFont="1" applyBorder="1" applyAlignment="1">
      <alignment horizontal="center" vertical="center"/>
    </xf>
    <xf numFmtId="0" fontId="7" fillId="0" borderId="163" xfId="0" applyFont="1" applyBorder="1" applyAlignment="1">
      <alignment horizontal="center" vertical="center"/>
    </xf>
    <xf numFmtId="3" fontId="0" fillId="0" borderId="0" xfId="34" applyNumberFormat="1" applyFont="1"/>
    <xf numFmtId="0" fontId="74" fillId="0" borderId="126" xfId="34" applyFont="1" applyBorder="1"/>
    <xf numFmtId="14" fontId="22" fillId="0" borderId="101" xfId="34" applyNumberFormat="1" applyFont="1" applyBorder="1"/>
    <xf numFmtId="0" fontId="74" fillId="0" borderId="98" xfId="34" applyFont="1" applyBorder="1" applyAlignment="1">
      <alignment horizontal="right"/>
    </xf>
    <xf numFmtId="0" fontId="0" fillId="0" borderId="98" xfId="34" applyFont="1" applyBorder="1"/>
    <xf numFmtId="0" fontId="5" fillId="79" borderId="11" xfId="0" applyFont="1" applyFill="1" applyBorder="1" applyAlignment="1">
      <alignment horizontal="center" vertical="center"/>
    </xf>
    <xf numFmtId="0" fontId="5" fillId="89" borderId="46" xfId="0" applyFont="1" applyFill="1" applyBorder="1" applyAlignment="1">
      <alignment horizontal="center" vertical="center"/>
    </xf>
    <xf numFmtId="0" fontId="64" fillId="0" borderId="0" xfId="0" applyFont="1" applyAlignment="1">
      <alignment horizontal="justify"/>
    </xf>
    <xf numFmtId="0" fontId="0" fillId="98" borderId="46" xfId="0" applyFill="1" applyBorder="1" applyAlignment="1">
      <alignment horizontal="center" vertical="center"/>
    </xf>
    <xf numFmtId="0" fontId="5" fillId="79" borderId="30" xfId="0" applyFont="1" applyFill="1" applyBorder="1" applyAlignment="1">
      <alignment horizontal="center" vertical="center"/>
    </xf>
    <xf numFmtId="0" fontId="5" fillId="96" borderId="15" xfId="0" applyFont="1" applyFill="1" applyBorder="1" applyAlignment="1">
      <alignment horizontal="center" vertical="center"/>
    </xf>
    <xf numFmtId="0" fontId="5" fillId="93" borderId="49" xfId="0" applyFont="1" applyFill="1" applyBorder="1" applyAlignment="1">
      <alignment horizontal="center" vertical="center"/>
    </xf>
    <xf numFmtId="165" fontId="7" fillId="0" borderId="132" xfId="34" applyNumberFormat="1" applyFont="1" applyBorder="1"/>
    <xf numFmtId="165" fontId="7" fillId="0" borderId="139" xfId="34" applyNumberFormat="1" applyFont="1" applyBorder="1"/>
    <xf numFmtId="0" fontId="5" fillId="79" borderId="46" xfId="0" applyFont="1" applyFill="1" applyBorder="1" applyAlignment="1">
      <alignment horizontal="center" vertical="center"/>
    </xf>
    <xf numFmtId="0" fontId="5" fillId="93" borderId="30" xfId="0" applyFont="1" applyFill="1" applyBorder="1" applyAlignment="1">
      <alignment horizontal="center" vertical="center"/>
    </xf>
    <xf numFmtId="49" fontId="5" fillId="99" borderId="46" xfId="0" applyNumberFormat="1" applyFont="1" applyFill="1" applyBorder="1" applyAlignment="1">
      <alignment horizontal="center" vertical="center"/>
    </xf>
    <xf numFmtId="0" fontId="0" fillId="99" borderId="46" xfId="0" applyFill="1" applyBorder="1" applyAlignment="1">
      <alignment horizontal="center" vertical="center"/>
    </xf>
    <xf numFmtId="0" fontId="5" fillId="78" borderId="25" xfId="0" applyFont="1" applyFill="1" applyBorder="1" applyAlignment="1">
      <alignment horizontal="center" vertical="center"/>
    </xf>
    <xf numFmtId="49" fontId="5" fillId="100" borderId="46" xfId="0" applyNumberFormat="1" applyFont="1" applyFill="1" applyBorder="1" applyAlignment="1">
      <alignment horizontal="center" vertical="center"/>
    </xf>
    <xf numFmtId="0" fontId="7" fillId="93" borderId="59" xfId="0" applyFont="1" applyFill="1" applyBorder="1" applyAlignment="1">
      <alignment horizontal="center" vertical="center"/>
    </xf>
    <xf numFmtId="0" fontId="7" fillId="93" borderId="34" xfId="0" applyFont="1" applyFill="1" applyBorder="1" applyAlignment="1">
      <alignment horizontal="center" vertical="center"/>
    </xf>
    <xf numFmtId="0" fontId="7" fillId="93" borderId="23" xfId="0" applyFont="1" applyFill="1" applyBorder="1" applyAlignment="1">
      <alignment horizontal="center" vertical="center"/>
    </xf>
    <xf numFmtId="0" fontId="7" fillId="93" borderId="51" xfId="0" applyFont="1" applyFill="1" applyBorder="1" applyAlignment="1">
      <alignment horizontal="center" vertical="center"/>
    </xf>
    <xf numFmtId="0" fontId="7" fillId="93" borderId="59" xfId="0" applyFont="1" applyFill="1" applyBorder="1" applyAlignment="1">
      <alignment horizontal="center" vertical="center" wrapText="1"/>
    </xf>
    <xf numFmtId="0" fontId="7" fillId="93" borderId="34" xfId="0" applyFont="1" applyFill="1" applyBorder="1" applyAlignment="1">
      <alignment horizontal="center" vertical="center" wrapText="1"/>
    </xf>
    <xf numFmtId="0" fontId="5" fillId="89" borderId="49" xfId="0" applyFont="1" applyFill="1" applyBorder="1" applyAlignment="1">
      <alignment horizontal="center" vertical="center"/>
    </xf>
    <xf numFmtId="49" fontId="5" fillId="75" borderId="44" xfId="0" applyNumberFormat="1" applyFont="1" applyFill="1" applyBorder="1" applyAlignment="1">
      <alignment horizontal="center" vertical="center"/>
    </xf>
    <xf numFmtId="0" fontId="5" fillId="93" borderId="46" xfId="0" applyFont="1" applyFill="1" applyBorder="1" applyAlignment="1">
      <alignment horizontal="center" vertical="center"/>
    </xf>
    <xf numFmtId="0" fontId="2" fillId="53" borderId="101" xfId="34" applyFont="1" applyFill="1" applyBorder="1"/>
    <xf numFmtId="167" fontId="1" fillId="0" borderId="115" xfId="34" applyNumberFormat="1" applyBorder="1"/>
    <xf numFmtId="0" fontId="1" fillId="0" borderId="108" xfId="34" applyBorder="1"/>
    <xf numFmtId="164" fontId="1" fillId="0" borderId="102" xfId="34" applyNumberFormat="1" applyBorder="1"/>
    <xf numFmtId="164" fontId="1" fillId="61" borderId="128" xfId="34" applyNumberFormat="1" applyFill="1" applyBorder="1" applyAlignment="1">
      <alignment horizontal="center"/>
    </xf>
    <xf numFmtId="0" fontId="1" fillId="0" borderId="46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0" fontId="1" fillId="0" borderId="101" xfId="0" applyFont="1" applyBorder="1" applyAlignment="1" applyProtection="1">
      <alignment horizontal="center"/>
      <protection locked="0"/>
    </xf>
    <xf numFmtId="0" fontId="1" fillId="0" borderId="101" xfId="0" applyFont="1" applyBorder="1" applyAlignment="1">
      <alignment horizontal="left" vertical="center"/>
    </xf>
    <xf numFmtId="0" fontId="1" fillId="0" borderId="101" xfId="0" applyFont="1" applyBorder="1" applyAlignment="1">
      <alignment horizontal="left"/>
    </xf>
    <xf numFmtId="0" fontId="1" fillId="0" borderId="0" xfId="0" applyFont="1"/>
    <xf numFmtId="0" fontId="1" fillId="0" borderId="46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59" borderId="46" xfId="0" applyFont="1" applyFill="1" applyBorder="1" applyAlignment="1">
      <alignment horizontal="center" vertical="center"/>
    </xf>
    <xf numFmtId="0" fontId="1" fillId="0" borderId="44" xfId="0" applyFont="1" applyBorder="1" applyAlignment="1">
      <alignment horizontal="left"/>
    </xf>
    <xf numFmtId="0" fontId="1" fillId="85" borderId="101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80" borderId="15" xfId="0" applyFont="1" applyFill="1" applyBorder="1" applyAlignment="1">
      <alignment horizontal="center" vertical="center"/>
    </xf>
    <xf numFmtId="0" fontId="1" fillId="51" borderId="15" xfId="0" applyFont="1" applyFill="1" applyBorder="1" applyAlignment="1">
      <alignment horizontal="center" vertical="center"/>
    </xf>
    <xf numFmtId="0" fontId="1" fillId="50" borderId="15" xfId="0" applyFont="1" applyFill="1" applyBorder="1" applyAlignment="1">
      <alignment horizontal="center" vertical="center"/>
    </xf>
    <xf numFmtId="0" fontId="1" fillId="78" borderId="15" xfId="0" applyFont="1" applyFill="1" applyBorder="1" applyAlignment="1">
      <alignment horizontal="center" vertical="center"/>
    </xf>
    <xf numFmtId="0" fontId="1" fillId="53" borderId="15" xfId="0" applyFont="1" applyFill="1" applyBorder="1" applyAlignment="1">
      <alignment horizontal="center" vertical="center"/>
    </xf>
    <xf numFmtId="0" fontId="1" fillId="73" borderId="15" xfId="0" applyFont="1" applyFill="1" applyBorder="1" applyAlignment="1">
      <alignment horizontal="center" vertical="center"/>
    </xf>
    <xf numFmtId="0" fontId="1" fillId="89" borderId="15" xfId="0" applyFont="1" applyFill="1" applyBorder="1" applyAlignment="1">
      <alignment horizontal="center" vertical="center"/>
    </xf>
    <xf numFmtId="0" fontId="1" fillId="70" borderId="15" xfId="0" applyFont="1" applyFill="1" applyBorder="1" applyAlignment="1">
      <alignment horizontal="center" vertical="center"/>
    </xf>
    <xf numFmtId="0" fontId="1" fillId="81" borderId="15" xfId="0" applyFont="1" applyFill="1" applyBorder="1" applyAlignment="1">
      <alignment horizontal="center" vertical="center"/>
    </xf>
    <xf numFmtId="0" fontId="1" fillId="54" borderId="15" xfId="0" applyFont="1" applyFill="1" applyBorder="1" applyAlignment="1">
      <alignment horizontal="center" vertical="center"/>
    </xf>
    <xf numFmtId="0" fontId="1" fillId="67" borderId="15" xfId="0" applyFont="1" applyFill="1" applyBorder="1" applyAlignment="1">
      <alignment horizontal="center" vertical="center"/>
    </xf>
    <xf numFmtId="0" fontId="1" fillId="84" borderId="15" xfId="0" applyFont="1" applyFill="1" applyBorder="1" applyAlignment="1">
      <alignment horizontal="center" vertical="center"/>
    </xf>
    <xf numFmtId="0" fontId="1" fillId="68" borderId="15" xfId="0" applyFont="1" applyFill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67" borderId="46" xfId="0" applyFont="1" applyFill="1" applyBorder="1" applyAlignment="1">
      <alignment horizontal="center" vertical="center"/>
    </xf>
    <xf numFmtId="0" fontId="1" fillId="70" borderId="46" xfId="0" applyFont="1" applyFill="1" applyBorder="1" applyAlignment="1">
      <alignment horizontal="center" vertical="center"/>
    </xf>
    <xf numFmtId="0" fontId="1" fillId="93" borderId="46" xfId="0" applyFont="1" applyFill="1" applyBorder="1" applyAlignment="1">
      <alignment horizontal="center" vertical="center"/>
    </xf>
    <xf numFmtId="0" fontId="1" fillId="89" borderId="46" xfId="0" applyFont="1" applyFill="1" applyBorder="1" applyAlignment="1">
      <alignment horizontal="center" vertical="center"/>
    </xf>
    <xf numFmtId="0" fontId="1" fillId="96" borderId="46" xfId="0" applyFont="1" applyFill="1" applyBorder="1" applyAlignment="1">
      <alignment horizontal="center" vertical="center"/>
    </xf>
    <xf numFmtId="0" fontId="1" fillId="80" borderId="46" xfId="0" applyFont="1" applyFill="1" applyBorder="1" applyAlignment="1">
      <alignment horizontal="center" vertical="center"/>
    </xf>
    <xf numFmtId="0" fontId="1" fillId="0" borderId="46" xfId="0" applyFont="1" applyBorder="1" applyAlignment="1">
      <alignment horizontal="left" vertical="center"/>
    </xf>
    <xf numFmtId="0" fontId="1" fillId="0" borderId="46" xfId="0" applyFont="1" applyBorder="1" applyAlignment="1">
      <alignment horizontal="left"/>
    </xf>
    <xf numFmtId="0" fontId="1" fillId="0" borderId="35" xfId="0" applyFont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34" applyFont="1"/>
    <xf numFmtId="0" fontId="1" fillId="0" borderId="119" xfId="34" applyBorder="1"/>
    <xf numFmtId="0" fontId="1" fillId="0" borderId="98" xfId="34" applyBorder="1" applyAlignment="1">
      <alignment horizontal="center"/>
    </xf>
    <xf numFmtId="0" fontId="1" fillId="0" borderId="100" xfId="34" applyBorder="1" applyAlignment="1">
      <alignment horizontal="center"/>
    </xf>
    <xf numFmtId="3" fontId="2" fillId="0" borderId="108" xfId="34" applyNumberFormat="1" applyFont="1" applyBorder="1"/>
    <xf numFmtId="0" fontId="22" fillId="0" borderId="100" xfId="34" applyFont="1" applyBorder="1"/>
    <xf numFmtId="0" fontId="22" fillId="0" borderId="101" xfId="34" applyFont="1" applyBorder="1" applyAlignment="1">
      <alignment horizontal="center"/>
    </xf>
    <xf numFmtId="0" fontId="22" fillId="0" borderId="98" xfId="34" applyFont="1" applyBorder="1"/>
    <xf numFmtId="14" fontId="22" fillId="0" borderId="98" xfId="34" applyNumberFormat="1" applyFont="1" applyBorder="1"/>
    <xf numFmtId="3" fontId="22" fillId="0" borderId="100" xfId="34" applyNumberFormat="1" applyFont="1" applyBorder="1"/>
    <xf numFmtId="0" fontId="1" fillId="0" borderId="0" xfId="34" applyAlignment="1">
      <alignment horizontal="center"/>
    </xf>
    <xf numFmtId="49" fontId="1" fillId="0" borderId="101" xfId="34" applyNumberFormat="1" applyBorder="1"/>
    <xf numFmtId="0" fontId="31" fillId="0" borderId="100" xfId="34" applyFont="1" applyBorder="1"/>
    <xf numFmtId="37" fontId="5" fillId="0" borderId="101" xfId="34" applyNumberFormat="1" applyFont="1" applyBorder="1" applyAlignment="1">
      <alignment horizontal="right"/>
    </xf>
    <xf numFmtId="0" fontId="17" fillId="0" borderId="101" xfId="34" applyFont="1" applyBorder="1" applyAlignment="1">
      <alignment horizontal="center"/>
    </xf>
    <xf numFmtId="3" fontId="42" fillId="0" borderId="101" xfId="34" applyNumberFormat="1" applyFont="1" applyBorder="1"/>
    <xf numFmtId="3" fontId="31" fillId="0" borderId="100" xfId="34" applyNumberFormat="1" applyFont="1" applyBorder="1"/>
    <xf numFmtId="0" fontId="31" fillId="0" borderId="101" xfId="34" applyFont="1" applyBorder="1" applyAlignment="1">
      <alignment horizontal="center"/>
    </xf>
    <xf numFmtId="49" fontId="1" fillId="0" borderId="0" xfId="34" applyNumberFormat="1"/>
    <xf numFmtId="3" fontId="2" fillId="0" borderId="111" xfId="34" applyNumberFormat="1" applyFont="1" applyBorder="1"/>
    <xf numFmtId="0" fontId="1" fillId="0" borderId="99" xfId="34" applyBorder="1" applyAlignment="1">
      <alignment horizontal="center"/>
    </xf>
    <xf numFmtId="3" fontId="2" fillId="0" borderId="98" xfId="34" applyNumberFormat="1" applyFont="1" applyBorder="1"/>
    <xf numFmtId="3" fontId="2" fillId="0" borderId="139" xfId="34" applyNumberFormat="1" applyFont="1" applyBorder="1"/>
    <xf numFmtId="3" fontId="2" fillId="0" borderId="123" xfId="34" applyNumberFormat="1" applyFont="1" applyBorder="1"/>
    <xf numFmtId="3" fontId="1" fillId="0" borderId="161" xfId="34" applyNumberFormat="1" applyBorder="1"/>
    <xf numFmtId="3" fontId="29" fillId="0" borderId="0" xfId="34" applyNumberFormat="1" applyFont="1"/>
    <xf numFmtId="0" fontId="22" fillId="0" borderId="98" xfId="34" applyFont="1" applyBorder="1" applyAlignment="1">
      <alignment horizontal="right"/>
    </xf>
    <xf numFmtId="0" fontId="22" fillId="58" borderId="98" xfId="34" applyFont="1" applyFill="1" applyBorder="1"/>
    <xf numFmtId="14" fontId="22" fillId="58" borderId="98" xfId="34" applyNumberFormat="1" applyFont="1" applyFill="1" applyBorder="1"/>
    <xf numFmtId="0" fontId="22" fillId="0" borderId="101" xfId="34" applyFont="1" applyBorder="1"/>
    <xf numFmtId="14" fontId="22" fillId="0" borderId="0" xfId="34" applyNumberFormat="1" applyFont="1"/>
    <xf numFmtId="0" fontId="64" fillId="0" borderId="0" xfId="33" applyFont="1"/>
    <xf numFmtId="0" fontId="27" fillId="0" borderId="0" xfId="33" applyFont="1"/>
    <xf numFmtId="0" fontId="64" fillId="0" borderId="101" xfId="33" applyFont="1" applyBorder="1" applyAlignment="1">
      <alignment horizontal="center"/>
    </xf>
    <xf numFmtId="0" fontId="0" fillId="0" borderId="46" xfId="0" applyBorder="1" applyAlignment="1">
      <alignment horizontal="center"/>
    </xf>
    <xf numFmtId="0" fontId="28" fillId="61" borderId="134" xfId="34" applyFont="1" applyFill="1" applyBorder="1" applyAlignment="1">
      <alignment horizontal="center"/>
    </xf>
    <xf numFmtId="0" fontId="28" fillId="54" borderId="0" xfId="34" applyFont="1" applyFill="1" applyAlignment="1">
      <alignment horizontal="center"/>
    </xf>
    <xf numFmtId="0" fontId="19" fillId="54" borderId="0" xfId="34" applyFont="1" applyFill="1" applyAlignment="1">
      <alignment horizontal="center"/>
    </xf>
    <xf numFmtId="0" fontId="19" fillId="54" borderId="134" xfId="34" applyFont="1" applyFill="1" applyBorder="1" applyAlignment="1">
      <alignment horizontal="center"/>
    </xf>
    <xf numFmtId="0" fontId="1" fillId="0" borderId="98" xfId="34" applyBorder="1" applyAlignment="1">
      <alignment horizontal="center"/>
    </xf>
    <xf numFmtId="0" fontId="1" fillId="0" borderId="99" xfId="34" applyBorder="1" applyAlignment="1">
      <alignment horizontal="center"/>
    </xf>
    <xf numFmtId="0" fontId="1" fillId="0" borderId="100" xfId="34" applyBorder="1" applyAlignment="1">
      <alignment horizontal="center"/>
    </xf>
    <xf numFmtId="0" fontId="28" fillId="56" borderId="134" xfId="34" applyFont="1" applyFill="1" applyBorder="1" applyAlignment="1">
      <alignment horizontal="center"/>
    </xf>
    <xf numFmtId="0" fontId="28" fillId="53" borderId="134" xfId="34" applyFont="1" applyFill="1" applyBorder="1" applyAlignment="1">
      <alignment horizontal="center"/>
    </xf>
    <xf numFmtId="0" fontId="28" fillId="40" borderId="69" xfId="0" applyFont="1" applyFill="1" applyBorder="1" applyAlignment="1">
      <alignment horizontal="center"/>
    </xf>
    <xf numFmtId="0" fontId="28" fillId="39" borderId="69" xfId="0" applyFont="1" applyFill="1" applyBorder="1" applyAlignment="1">
      <alignment horizontal="center"/>
    </xf>
    <xf numFmtId="0" fontId="28" fillId="45" borderId="0" xfId="0" applyFont="1" applyFill="1" applyAlignment="1">
      <alignment horizontal="center"/>
    </xf>
    <xf numFmtId="0" fontId="19" fillId="45" borderId="69" xfId="0" applyFont="1" applyFill="1" applyBorder="1" applyAlignment="1">
      <alignment horizontal="center"/>
    </xf>
    <xf numFmtId="0" fontId="0" fillId="0" borderId="46" xfId="0" applyBorder="1" applyAlignment="1">
      <alignment horizontal="center"/>
    </xf>
    <xf numFmtId="0" fontId="28" fillId="47" borderId="69" xfId="0" applyFont="1" applyFill="1" applyBorder="1" applyAlignment="1">
      <alignment horizontal="center"/>
    </xf>
    <xf numFmtId="0" fontId="19" fillId="0" borderId="21" xfId="0" applyFont="1" applyBorder="1" applyAlignment="1">
      <alignment horizontal="center"/>
    </xf>
  </cellXfs>
  <cellStyles count="44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Bemærk!" xfId="20" builtinId="10" customBuiltin="1"/>
    <cellStyle name="Beregning" xfId="21" builtinId="22" customBuiltin="1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ormal" xfId="0" builtinId="0"/>
    <cellStyle name="Normal_Tj PL  Juni-Sept " xfId="33" xr:uid="{00000000-0005-0000-0000-000021000000}"/>
    <cellStyle name="Normal_Vagtplan 2010 - 2011" xfId="34" xr:uid="{00000000-0005-0000-0000-000022000000}"/>
    <cellStyle name="Output" xfId="35" builtinId="21" customBuiltin="1"/>
    <cellStyle name="Overskrift 1" xfId="36" builtinId="16" customBuiltin="1"/>
    <cellStyle name="Overskrift 2" xfId="37" builtinId="17" customBuiltin="1"/>
    <cellStyle name="Overskrift 3" xfId="38" builtinId="18" customBuiltin="1"/>
    <cellStyle name="Overskrift 4" xfId="39" builtinId="19" customBuiltin="1"/>
    <cellStyle name="Sammenkædet celle" xfId="40" builtinId="24" customBuiltin="1"/>
    <cellStyle name="Titel" xfId="41" builtinId="15" customBuiltin="1"/>
    <cellStyle name="Total" xfId="42" builtinId="25" customBuiltin="1"/>
    <cellStyle name="Ugyldig" xfId="43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A7E8FF"/>
      <color rgb="FF99CC00"/>
      <color rgb="FF66CCFF"/>
      <color rgb="FFFF9900"/>
      <color rgb="FFFFCC99"/>
      <color rgb="FFFFFF99"/>
      <color rgb="FF0033CC"/>
      <color rgb="FFFF99CC"/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143" name="Oval 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2144" name="Oval 2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3167" name="Oval 1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168" name="Oval 2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4408" name="Line 1">
          <a:extLst>
            <a:ext uri="{FF2B5EF4-FFF2-40B4-BE49-F238E27FC236}">
              <a16:creationId xmlns:a16="http://schemas.microsoft.com/office/drawing/2014/main" id="{00000000-0008-0000-0300-00003811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4409" name="Line 2">
          <a:extLst>
            <a:ext uri="{FF2B5EF4-FFF2-40B4-BE49-F238E27FC236}">
              <a16:creationId xmlns:a16="http://schemas.microsoft.com/office/drawing/2014/main" id="{00000000-0008-0000-0300-00003911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410" name="AutoShape 3">
          <a:extLst>
            <a:ext uri="{FF2B5EF4-FFF2-40B4-BE49-F238E27FC236}">
              <a16:creationId xmlns:a16="http://schemas.microsoft.com/office/drawing/2014/main" id="{00000000-0008-0000-0300-00003A11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411" name="AutoShape 4">
          <a:extLst>
            <a:ext uri="{FF2B5EF4-FFF2-40B4-BE49-F238E27FC236}">
              <a16:creationId xmlns:a16="http://schemas.microsoft.com/office/drawing/2014/main" id="{00000000-0008-0000-0300-00003B11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1533525</xdr:colOff>
      <xdr:row>126</xdr:row>
      <xdr:rowOff>152400</xdr:rowOff>
    </xdr:from>
    <xdr:to>
      <xdr:col>33</xdr:col>
      <xdr:colOff>123825</xdr:colOff>
      <xdr:row>126</xdr:row>
      <xdr:rowOff>152400</xdr:rowOff>
    </xdr:to>
    <xdr:sp macro="" textlink="">
      <xdr:nvSpPr>
        <xdr:cNvPr id="4412" name="Line 18">
          <a:extLst>
            <a:ext uri="{FF2B5EF4-FFF2-40B4-BE49-F238E27FC236}">
              <a16:creationId xmlns:a16="http://schemas.microsoft.com/office/drawing/2014/main" id="{00000000-0008-0000-0300-00003C110000}"/>
            </a:ext>
          </a:extLst>
        </xdr:cNvPr>
        <xdr:cNvSpPr>
          <a:spLocks noChangeShapeType="1"/>
        </xdr:cNvSpPr>
      </xdr:nvSpPr>
      <xdr:spPr bwMode="auto">
        <a:xfrm>
          <a:off x="1905000" y="34499550"/>
          <a:ext cx="781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5498" name="Line 1">
          <a:extLst>
            <a:ext uri="{FF2B5EF4-FFF2-40B4-BE49-F238E27FC236}">
              <a16:creationId xmlns:a16="http://schemas.microsoft.com/office/drawing/2014/main" id="{00000000-0008-0000-0400-00007A15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5499" name="Line 2">
          <a:extLst>
            <a:ext uri="{FF2B5EF4-FFF2-40B4-BE49-F238E27FC236}">
              <a16:creationId xmlns:a16="http://schemas.microsoft.com/office/drawing/2014/main" id="{00000000-0008-0000-0400-00007B15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500" name="AutoShape 3">
          <a:extLst>
            <a:ext uri="{FF2B5EF4-FFF2-40B4-BE49-F238E27FC236}">
              <a16:creationId xmlns:a16="http://schemas.microsoft.com/office/drawing/2014/main" id="{00000000-0008-0000-0400-00007C15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501" name="AutoShape 4">
          <a:extLst>
            <a:ext uri="{FF2B5EF4-FFF2-40B4-BE49-F238E27FC236}">
              <a16:creationId xmlns:a16="http://schemas.microsoft.com/office/drawing/2014/main" id="{00000000-0008-0000-0400-00007D15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1495425</xdr:colOff>
      <xdr:row>126</xdr:row>
      <xdr:rowOff>95250</xdr:rowOff>
    </xdr:from>
    <xdr:to>
      <xdr:col>1</xdr:col>
      <xdr:colOff>1524000</xdr:colOff>
      <xdr:row>126</xdr:row>
      <xdr:rowOff>95250</xdr:rowOff>
    </xdr:to>
    <xdr:sp macro="" textlink="">
      <xdr:nvSpPr>
        <xdr:cNvPr id="5502" name="Line 7">
          <a:extLst>
            <a:ext uri="{FF2B5EF4-FFF2-40B4-BE49-F238E27FC236}">
              <a16:creationId xmlns:a16="http://schemas.microsoft.com/office/drawing/2014/main" id="{00000000-0008-0000-0400-00007E150000}"/>
            </a:ext>
          </a:extLst>
        </xdr:cNvPr>
        <xdr:cNvSpPr>
          <a:spLocks noChangeShapeType="1"/>
        </xdr:cNvSpPr>
      </xdr:nvSpPr>
      <xdr:spPr bwMode="auto">
        <a:xfrm flipH="1">
          <a:off x="1866900" y="3447097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126</xdr:row>
      <xdr:rowOff>142875</xdr:rowOff>
    </xdr:from>
    <xdr:to>
      <xdr:col>32</xdr:col>
      <xdr:colOff>114300</xdr:colOff>
      <xdr:row>126</xdr:row>
      <xdr:rowOff>171450</xdr:rowOff>
    </xdr:to>
    <xdr:sp macro="" textlink="">
      <xdr:nvSpPr>
        <xdr:cNvPr id="5503" name="Line 8">
          <a:extLst>
            <a:ext uri="{FF2B5EF4-FFF2-40B4-BE49-F238E27FC236}">
              <a16:creationId xmlns:a16="http://schemas.microsoft.com/office/drawing/2014/main" id="{00000000-0008-0000-0400-00007F150000}"/>
            </a:ext>
          </a:extLst>
        </xdr:cNvPr>
        <xdr:cNvSpPr>
          <a:spLocks noChangeShapeType="1"/>
        </xdr:cNvSpPr>
      </xdr:nvSpPr>
      <xdr:spPr bwMode="auto">
        <a:xfrm flipV="1">
          <a:off x="1914525" y="34518600"/>
          <a:ext cx="7543800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7154" name="Line 1">
          <a:extLst>
            <a:ext uri="{FF2B5EF4-FFF2-40B4-BE49-F238E27FC236}">
              <a16:creationId xmlns:a16="http://schemas.microsoft.com/office/drawing/2014/main" id="{00000000-0008-0000-0500-0000F21B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7155" name="Line 2">
          <a:extLst>
            <a:ext uri="{FF2B5EF4-FFF2-40B4-BE49-F238E27FC236}">
              <a16:creationId xmlns:a16="http://schemas.microsoft.com/office/drawing/2014/main" id="{00000000-0008-0000-0500-0000F31B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7156" name="AutoShape 3">
          <a:extLst>
            <a:ext uri="{FF2B5EF4-FFF2-40B4-BE49-F238E27FC236}">
              <a16:creationId xmlns:a16="http://schemas.microsoft.com/office/drawing/2014/main" id="{00000000-0008-0000-0500-0000F41B0000}"/>
            </a:ext>
          </a:extLst>
        </xdr:cNvPr>
        <xdr:cNvSpPr>
          <a:spLocks noChangeArrowheads="1"/>
        </xdr:cNvSpPr>
      </xdr:nvSpPr>
      <xdr:spPr bwMode="auto">
        <a:xfrm>
          <a:off x="441960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7157" name="AutoShape 4">
          <a:extLst>
            <a:ext uri="{FF2B5EF4-FFF2-40B4-BE49-F238E27FC236}">
              <a16:creationId xmlns:a16="http://schemas.microsoft.com/office/drawing/2014/main" id="{00000000-0008-0000-0500-0000F51B0000}"/>
            </a:ext>
          </a:extLst>
        </xdr:cNvPr>
        <xdr:cNvSpPr>
          <a:spLocks noChangeArrowheads="1"/>
        </xdr:cNvSpPr>
      </xdr:nvSpPr>
      <xdr:spPr bwMode="auto">
        <a:xfrm>
          <a:off x="441960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113</xdr:row>
      <xdr:rowOff>142875</xdr:rowOff>
    </xdr:from>
    <xdr:to>
      <xdr:col>33</xdr:col>
      <xdr:colOff>114300</xdr:colOff>
      <xdr:row>113</xdr:row>
      <xdr:rowOff>142875</xdr:rowOff>
    </xdr:to>
    <xdr:sp macro="" textlink="">
      <xdr:nvSpPr>
        <xdr:cNvPr id="7158" name="Line 32">
          <a:extLst>
            <a:ext uri="{FF2B5EF4-FFF2-40B4-BE49-F238E27FC236}">
              <a16:creationId xmlns:a16="http://schemas.microsoft.com/office/drawing/2014/main" id="{00000000-0008-0000-0500-0000F61B0000}"/>
            </a:ext>
          </a:extLst>
        </xdr:cNvPr>
        <xdr:cNvSpPr>
          <a:spLocks noChangeShapeType="1"/>
        </xdr:cNvSpPr>
      </xdr:nvSpPr>
      <xdr:spPr bwMode="auto">
        <a:xfrm>
          <a:off x="2162175" y="30899100"/>
          <a:ext cx="778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103</xdr:row>
      <xdr:rowOff>28575</xdr:rowOff>
    </xdr:from>
    <xdr:to>
      <xdr:col>27</xdr:col>
      <xdr:colOff>0</xdr:colOff>
      <xdr:row>104</xdr:row>
      <xdr:rowOff>9525</xdr:rowOff>
    </xdr:to>
    <xdr:sp macro="" textlink="">
      <xdr:nvSpPr>
        <xdr:cNvPr id="6255" name="Oval 111">
          <a:extLst>
            <a:ext uri="{FF2B5EF4-FFF2-40B4-BE49-F238E27FC236}">
              <a16:creationId xmlns:a16="http://schemas.microsoft.com/office/drawing/2014/main" id="{00000000-0008-0000-0500-00006F180000}"/>
            </a:ext>
          </a:extLst>
        </xdr:cNvPr>
        <xdr:cNvSpPr>
          <a:spLocks noChangeArrowheads="1"/>
        </xdr:cNvSpPr>
      </xdr:nvSpPr>
      <xdr:spPr bwMode="auto">
        <a:xfrm>
          <a:off x="8096250" y="28022550"/>
          <a:ext cx="247650" cy="2571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00</a:t>
          </a:r>
        </a:p>
      </xdr:txBody>
    </xdr:sp>
    <xdr:clientData/>
  </xdr:twoCellAnchor>
  <xdr:twoCellAnchor>
    <xdr:from>
      <xdr:col>26</xdr:col>
      <xdr:colOff>228600</xdr:colOff>
      <xdr:row>103</xdr:row>
      <xdr:rowOff>0</xdr:rowOff>
    </xdr:from>
    <xdr:to>
      <xdr:col>28</xdr:col>
      <xdr:colOff>28575</xdr:colOff>
      <xdr:row>104</xdr:row>
      <xdr:rowOff>9525</xdr:rowOff>
    </xdr:to>
    <xdr:sp macro="" textlink="">
      <xdr:nvSpPr>
        <xdr:cNvPr id="6256" name="Oval 112">
          <a:extLst>
            <a:ext uri="{FF2B5EF4-FFF2-40B4-BE49-F238E27FC236}">
              <a16:creationId xmlns:a16="http://schemas.microsoft.com/office/drawing/2014/main" id="{00000000-0008-0000-0500-000070180000}"/>
            </a:ext>
          </a:extLst>
        </xdr:cNvPr>
        <xdr:cNvSpPr>
          <a:spLocks noChangeArrowheads="1"/>
        </xdr:cNvSpPr>
      </xdr:nvSpPr>
      <xdr:spPr bwMode="auto">
        <a:xfrm>
          <a:off x="8324850" y="27993975"/>
          <a:ext cx="295275" cy="2857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10</a:t>
          </a:r>
        </a:p>
      </xdr:txBody>
    </xdr:sp>
    <xdr:clientData/>
  </xdr:twoCellAnchor>
  <xdr:twoCellAnchor>
    <xdr:from>
      <xdr:col>27</xdr:col>
      <xdr:colOff>228600</xdr:colOff>
      <xdr:row>103</xdr:row>
      <xdr:rowOff>9525</xdr:rowOff>
    </xdr:from>
    <xdr:to>
      <xdr:col>29</xdr:col>
      <xdr:colOff>9525</xdr:colOff>
      <xdr:row>103</xdr:row>
      <xdr:rowOff>238125</xdr:rowOff>
    </xdr:to>
    <xdr:sp macro="" textlink="">
      <xdr:nvSpPr>
        <xdr:cNvPr id="6257" name="Oval 113">
          <a:extLst>
            <a:ext uri="{FF2B5EF4-FFF2-40B4-BE49-F238E27FC236}">
              <a16:creationId xmlns:a16="http://schemas.microsoft.com/office/drawing/2014/main" id="{00000000-0008-0000-0500-000071180000}"/>
            </a:ext>
          </a:extLst>
        </xdr:cNvPr>
        <xdr:cNvSpPr>
          <a:spLocks noChangeArrowheads="1"/>
        </xdr:cNvSpPr>
      </xdr:nvSpPr>
      <xdr:spPr bwMode="auto">
        <a:xfrm>
          <a:off x="8572500" y="28003500"/>
          <a:ext cx="276225" cy="2286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10</a:t>
          </a:r>
        </a:p>
      </xdr:txBody>
    </xdr:sp>
    <xdr:clientData/>
  </xdr:twoCellAnchor>
  <xdr:twoCellAnchor>
    <xdr:from>
      <xdr:col>28</xdr:col>
      <xdr:colOff>228600</xdr:colOff>
      <xdr:row>103</xdr:row>
      <xdr:rowOff>28575</xdr:rowOff>
    </xdr:from>
    <xdr:to>
      <xdr:col>30</xdr:col>
      <xdr:colOff>28575</xdr:colOff>
      <xdr:row>103</xdr:row>
      <xdr:rowOff>238125</xdr:rowOff>
    </xdr:to>
    <xdr:sp macro="" textlink="">
      <xdr:nvSpPr>
        <xdr:cNvPr id="6258" name="Oval 114">
          <a:extLst>
            <a:ext uri="{FF2B5EF4-FFF2-40B4-BE49-F238E27FC236}">
              <a16:creationId xmlns:a16="http://schemas.microsoft.com/office/drawing/2014/main" id="{00000000-0008-0000-0500-000072180000}"/>
            </a:ext>
          </a:extLst>
        </xdr:cNvPr>
        <xdr:cNvSpPr>
          <a:spLocks noChangeArrowheads="1"/>
        </xdr:cNvSpPr>
      </xdr:nvSpPr>
      <xdr:spPr bwMode="auto">
        <a:xfrm>
          <a:off x="8820150" y="28022550"/>
          <a:ext cx="295275" cy="2095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10</a:t>
          </a:r>
        </a:p>
      </xdr:txBody>
    </xdr:sp>
    <xdr:clientData/>
  </xdr:twoCellAnchor>
  <xdr:twoCellAnchor>
    <xdr:from>
      <xdr:col>29</xdr:col>
      <xdr:colOff>228600</xdr:colOff>
      <xdr:row>103</xdr:row>
      <xdr:rowOff>28575</xdr:rowOff>
    </xdr:from>
    <xdr:to>
      <xdr:col>31</xdr:col>
      <xdr:colOff>38100</xdr:colOff>
      <xdr:row>103</xdr:row>
      <xdr:rowOff>257175</xdr:rowOff>
    </xdr:to>
    <xdr:sp macro="" textlink="">
      <xdr:nvSpPr>
        <xdr:cNvPr id="6259" name="Oval 115">
          <a:extLst>
            <a:ext uri="{FF2B5EF4-FFF2-40B4-BE49-F238E27FC236}">
              <a16:creationId xmlns:a16="http://schemas.microsoft.com/office/drawing/2014/main" id="{00000000-0008-0000-0500-000073180000}"/>
            </a:ext>
          </a:extLst>
        </xdr:cNvPr>
        <xdr:cNvSpPr>
          <a:spLocks noChangeArrowheads="1"/>
        </xdr:cNvSpPr>
      </xdr:nvSpPr>
      <xdr:spPr bwMode="auto">
        <a:xfrm>
          <a:off x="9067800" y="28022550"/>
          <a:ext cx="304800" cy="2286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10</a:t>
          </a:r>
        </a:p>
      </xdr:txBody>
    </xdr:sp>
    <xdr:clientData/>
  </xdr:twoCellAnchor>
  <xdr:twoCellAnchor>
    <xdr:from>
      <xdr:col>21</xdr:col>
      <xdr:colOff>0</xdr:colOff>
      <xdr:row>104</xdr:row>
      <xdr:rowOff>257175</xdr:rowOff>
    </xdr:from>
    <xdr:to>
      <xdr:col>22</xdr:col>
      <xdr:colOff>9525</xdr:colOff>
      <xdr:row>105</xdr:row>
      <xdr:rowOff>247650</xdr:rowOff>
    </xdr:to>
    <xdr:sp macro="" textlink="">
      <xdr:nvSpPr>
        <xdr:cNvPr id="6260" name="Oval 116">
          <a:extLst>
            <a:ext uri="{FF2B5EF4-FFF2-40B4-BE49-F238E27FC236}">
              <a16:creationId xmlns:a16="http://schemas.microsoft.com/office/drawing/2014/main" id="{00000000-0008-0000-0500-000074180000}"/>
            </a:ext>
          </a:extLst>
        </xdr:cNvPr>
        <xdr:cNvSpPr>
          <a:spLocks noChangeArrowheads="1"/>
        </xdr:cNvSpPr>
      </xdr:nvSpPr>
      <xdr:spPr bwMode="auto">
        <a:xfrm>
          <a:off x="6867525" y="28527375"/>
          <a:ext cx="257175" cy="266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H1</a:t>
          </a:r>
        </a:p>
      </xdr:txBody>
    </xdr:sp>
    <xdr:clientData/>
  </xdr:twoCellAnchor>
  <xdr:twoCellAnchor>
    <xdr:from>
      <xdr:col>22</xdr:col>
      <xdr:colOff>0</xdr:colOff>
      <xdr:row>104</xdr:row>
      <xdr:rowOff>257175</xdr:rowOff>
    </xdr:from>
    <xdr:to>
      <xdr:col>23</xdr:col>
      <xdr:colOff>9525</xdr:colOff>
      <xdr:row>105</xdr:row>
      <xdr:rowOff>247650</xdr:rowOff>
    </xdr:to>
    <xdr:sp macro="" textlink="">
      <xdr:nvSpPr>
        <xdr:cNvPr id="6261" name="Oval 117">
          <a:extLst>
            <a:ext uri="{FF2B5EF4-FFF2-40B4-BE49-F238E27FC236}">
              <a16:creationId xmlns:a16="http://schemas.microsoft.com/office/drawing/2014/main" id="{00000000-0008-0000-0500-000075180000}"/>
            </a:ext>
          </a:extLst>
        </xdr:cNvPr>
        <xdr:cNvSpPr>
          <a:spLocks noChangeArrowheads="1"/>
        </xdr:cNvSpPr>
      </xdr:nvSpPr>
      <xdr:spPr bwMode="auto">
        <a:xfrm>
          <a:off x="7115175" y="28527375"/>
          <a:ext cx="257175" cy="266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H1</a:t>
          </a:r>
        </a:p>
      </xdr:txBody>
    </xdr:sp>
    <xdr:clientData/>
  </xdr:twoCellAnchor>
  <xdr:twoCellAnchor>
    <xdr:from>
      <xdr:col>23</xdr:col>
      <xdr:colOff>0</xdr:colOff>
      <xdr:row>105</xdr:row>
      <xdr:rowOff>0</xdr:rowOff>
    </xdr:from>
    <xdr:to>
      <xdr:col>24</xdr:col>
      <xdr:colOff>9525</xdr:colOff>
      <xdr:row>105</xdr:row>
      <xdr:rowOff>266700</xdr:rowOff>
    </xdr:to>
    <xdr:sp macro="" textlink="">
      <xdr:nvSpPr>
        <xdr:cNvPr id="6262" name="Oval 118">
          <a:extLst>
            <a:ext uri="{FF2B5EF4-FFF2-40B4-BE49-F238E27FC236}">
              <a16:creationId xmlns:a16="http://schemas.microsoft.com/office/drawing/2014/main" id="{00000000-0008-0000-0500-000076180000}"/>
            </a:ext>
          </a:extLst>
        </xdr:cNvPr>
        <xdr:cNvSpPr>
          <a:spLocks noChangeArrowheads="1"/>
        </xdr:cNvSpPr>
      </xdr:nvSpPr>
      <xdr:spPr bwMode="auto">
        <a:xfrm>
          <a:off x="7362825" y="28546425"/>
          <a:ext cx="257175" cy="266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H1</a:t>
          </a:r>
        </a:p>
      </xdr:txBody>
    </xdr:sp>
    <xdr:clientData/>
  </xdr:twoCellAnchor>
  <xdr:twoCellAnchor>
    <xdr:from>
      <xdr:col>24</xdr:col>
      <xdr:colOff>9525</xdr:colOff>
      <xdr:row>105</xdr:row>
      <xdr:rowOff>0</xdr:rowOff>
    </xdr:from>
    <xdr:to>
      <xdr:col>25</xdr:col>
      <xdr:colOff>19050</xdr:colOff>
      <xdr:row>105</xdr:row>
      <xdr:rowOff>266700</xdr:rowOff>
    </xdr:to>
    <xdr:sp macro="" textlink="">
      <xdr:nvSpPr>
        <xdr:cNvPr id="6263" name="Oval 119">
          <a:extLst>
            <a:ext uri="{FF2B5EF4-FFF2-40B4-BE49-F238E27FC236}">
              <a16:creationId xmlns:a16="http://schemas.microsoft.com/office/drawing/2014/main" id="{00000000-0008-0000-0500-000077180000}"/>
            </a:ext>
          </a:extLst>
        </xdr:cNvPr>
        <xdr:cNvSpPr>
          <a:spLocks noChangeArrowheads="1"/>
        </xdr:cNvSpPr>
      </xdr:nvSpPr>
      <xdr:spPr bwMode="auto">
        <a:xfrm>
          <a:off x="7620000" y="28546425"/>
          <a:ext cx="257175" cy="266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HB</a:t>
          </a:r>
        </a:p>
      </xdr:txBody>
    </xdr:sp>
    <xdr:clientData/>
  </xdr:twoCellAnchor>
  <xdr:twoCellAnchor>
    <xdr:from>
      <xdr:col>25</xdr:col>
      <xdr:colOff>0</xdr:colOff>
      <xdr:row>105</xdr:row>
      <xdr:rowOff>0</xdr:rowOff>
    </xdr:from>
    <xdr:to>
      <xdr:col>26</xdr:col>
      <xdr:colOff>19050</xdr:colOff>
      <xdr:row>105</xdr:row>
      <xdr:rowOff>266700</xdr:rowOff>
    </xdr:to>
    <xdr:sp macro="" textlink="">
      <xdr:nvSpPr>
        <xdr:cNvPr id="6264" name="Oval 120">
          <a:extLst>
            <a:ext uri="{FF2B5EF4-FFF2-40B4-BE49-F238E27FC236}">
              <a16:creationId xmlns:a16="http://schemas.microsoft.com/office/drawing/2014/main" id="{00000000-0008-0000-0500-000078180000}"/>
            </a:ext>
          </a:extLst>
        </xdr:cNvPr>
        <xdr:cNvSpPr>
          <a:spLocks noChangeArrowheads="1"/>
        </xdr:cNvSpPr>
      </xdr:nvSpPr>
      <xdr:spPr bwMode="auto">
        <a:xfrm>
          <a:off x="7858125" y="28546425"/>
          <a:ext cx="257175" cy="266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HD</a:t>
          </a:r>
        </a:p>
      </xdr:txBody>
    </xdr:sp>
    <xdr:clientData/>
  </xdr:twoCellAnchor>
  <xdr:twoCellAnchor>
    <xdr:from>
      <xdr:col>26</xdr:col>
      <xdr:colOff>238125</xdr:colOff>
      <xdr:row>103</xdr:row>
      <xdr:rowOff>28575</xdr:rowOff>
    </xdr:from>
    <xdr:to>
      <xdr:col>28</xdr:col>
      <xdr:colOff>6113</xdr:colOff>
      <xdr:row>104</xdr:row>
      <xdr:rowOff>9525</xdr:rowOff>
    </xdr:to>
    <xdr:sp macro="" textlink="">
      <xdr:nvSpPr>
        <xdr:cNvPr id="2" name="Oval 11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8096250" y="28022550"/>
          <a:ext cx="247650" cy="2571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00</a:t>
          </a:r>
        </a:p>
      </xdr:txBody>
    </xdr:sp>
    <xdr:clientData/>
  </xdr:twoCellAnchor>
  <xdr:twoCellAnchor>
    <xdr:from>
      <xdr:col>28</xdr:col>
      <xdr:colOff>2417</xdr:colOff>
      <xdr:row>103</xdr:row>
      <xdr:rowOff>28575</xdr:rowOff>
    </xdr:from>
    <xdr:to>
      <xdr:col>29</xdr:col>
      <xdr:colOff>2417</xdr:colOff>
      <xdr:row>104</xdr:row>
      <xdr:rowOff>9525</xdr:rowOff>
    </xdr:to>
    <xdr:sp macro="" textlink="">
      <xdr:nvSpPr>
        <xdr:cNvPr id="3" name="Oval 11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8096250" y="28022550"/>
          <a:ext cx="247650" cy="2571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00</a:t>
          </a:r>
        </a:p>
      </xdr:txBody>
    </xdr:sp>
    <xdr:clientData/>
  </xdr:twoCellAnchor>
  <xdr:twoCellAnchor>
    <xdr:from>
      <xdr:col>28</xdr:col>
      <xdr:colOff>240542</xdr:colOff>
      <xdr:row>103</xdr:row>
      <xdr:rowOff>28575</xdr:rowOff>
    </xdr:from>
    <xdr:to>
      <xdr:col>29</xdr:col>
      <xdr:colOff>240542</xdr:colOff>
      <xdr:row>104</xdr:row>
      <xdr:rowOff>9525</xdr:rowOff>
    </xdr:to>
    <xdr:sp macro="" textlink="">
      <xdr:nvSpPr>
        <xdr:cNvPr id="4" name="Oval 11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8096250" y="28022550"/>
          <a:ext cx="247650" cy="2571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00</a:t>
          </a:r>
        </a:p>
      </xdr:txBody>
    </xdr:sp>
    <xdr:clientData/>
  </xdr:twoCellAnchor>
  <xdr:twoCellAnchor>
    <xdr:from>
      <xdr:col>29</xdr:col>
      <xdr:colOff>236988</xdr:colOff>
      <xdr:row>103</xdr:row>
      <xdr:rowOff>28575</xdr:rowOff>
    </xdr:from>
    <xdr:to>
      <xdr:col>31</xdr:col>
      <xdr:colOff>4975</xdr:colOff>
      <xdr:row>104</xdr:row>
      <xdr:rowOff>9525</xdr:rowOff>
    </xdr:to>
    <xdr:sp macro="" textlink="">
      <xdr:nvSpPr>
        <xdr:cNvPr id="5" name="Oval 11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8096250" y="28022550"/>
          <a:ext cx="247650" cy="2571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da-DK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  <a:r>
            <a:rPr lang="da-DK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00</a:t>
          </a:r>
        </a:p>
      </xdr:txBody>
    </xdr:sp>
    <xdr:clientData/>
  </xdr:twoCellAnchor>
  <xdr:twoCellAnchor>
    <xdr:from>
      <xdr:col>26</xdr:col>
      <xdr:colOff>0</xdr:colOff>
      <xdr:row>220</xdr:row>
      <xdr:rowOff>142875</xdr:rowOff>
    </xdr:from>
    <xdr:to>
      <xdr:col>33</xdr:col>
      <xdr:colOff>85725</xdr:colOff>
      <xdr:row>220</xdr:row>
      <xdr:rowOff>142875</xdr:rowOff>
    </xdr:to>
    <xdr:sp macro="" textlink="">
      <xdr:nvSpPr>
        <xdr:cNvPr id="23557" name="Line 689">
          <a:extLst>
            <a:ext uri="{FF2B5EF4-FFF2-40B4-BE49-F238E27FC236}">
              <a16:creationId xmlns:a16="http://schemas.microsoft.com/office/drawing/2014/main" id="{00000000-0008-0000-0500-0000055C0000}"/>
            </a:ext>
          </a:extLst>
        </xdr:cNvPr>
        <xdr:cNvSpPr>
          <a:spLocks noChangeShapeType="1"/>
        </xdr:cNvSpPr>
      </xdr:nvSpPr>
      <xdr:spPr bwMode="auto">
        <a:xfrm>
          <a:off x="8096250" y="60140850"/>
          <a:ext cx="1819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15549" name="Line 1">
          <a:extLst>
            <a:ext uri="{FF2B5EF4-FFF2-40B4-BE49-F238E27FC236}">
              <a16:creationId xmlns:a16="http://schemas.microsoft.com/office/drawing/2014/main" id="{00000000-0008-0000-0E00-0000BD3C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15550" name="Line 2">
          <a:extLst>
            <a:ext uri="{FF2B5EF4-FFF2-40B4-BE49-F238E27FC236}">
              <a16:creationId xmlns:a16="http://schemas.microsoft.com/office/drawing/2014/main" id="{00000000-0008-0000-0E00-0000BE3C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5551" name="AutoShape 3">
          <a:extLst>
            <a:ext uri="{FF2B5EF4-FFF2-40B4-BE49-F238E27FC236}">
              <a16:creationId xmlns:a16="http://schemas.microsoft.com/office/drawing/2014/main" id="{00000000-0008-0000-0E00-0000BF3C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5552" name="AutoShape 4">
          <a:extLst>
            <a:ext uri="{FF2B5EF4-FFF2-40B4-BE49-F238E27FC236}">
              <a16:creationId xmlns:a16="http://schemas.microsoft.com/office/drawing/2014/main" id="{00000000-0008-0000-0E00-0000C03C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95</xdr:row>
      <xdr:rowOff>227464</xdr:rowOff>
    </xdr:from>
    <xdr:to>
      <xdr:col>14</xdr:col>
      <xdr:colOff>14216</xdr:colOff>
      <xdr:row>96</xdr:row>
      <xdr:rowOff>241680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 bwMode="auto">
        <a:xfrm>
          <a:off x="4606119" y="25433173"/>
          <a:ext cx="255896" cy="284328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29</xdr:row>
      <xdr:rowOff>200025</xdr:rowOff>
    </xdr:from>
    <xdr:to>
      <xdr:col>1</xdr:col>
      <xdr:colOff>1457325</xdr:colOff>
      <xdr:row>29</xdr:row>
      <xdr:rowOff>200025</xdr:rowOff>
    </xdr:to>
    <xdr:sp macro="" textlink="">
      <xdr:nvSpPr>
        <xdr:cNvPr id="7576" name="Line 1">
          <a:extLst>
            <a:ext uri="{FF2B5EF4-FFF2-40B4-BE49-F238E27FC236}">
              <a16:creationId xmlns:a16="http://schemas.microsoft.com/office/drawing/2014/main" id="{00000000-0008-0000-0600-0000981D0000}"/>
            </a:ext>
          </a:extLst>
        </xdr:cNvPr>
        <xdr:cNvSpPr>
          <a:spLocks noChangeShapeType="1"/>
        </xdr:cNvSpPr>
      </xdr:nvSpPr>
      <xdr:spPr bwMode="auto">
        <a:xfrm>
          <a:off x="1409700" y="775335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7577" name="Line 2">
          <a:extLst>
            <a:ext uri="{FF2B5EF4-FFF2-40B4-BE49-F238E27FC236}">
              <a16:creationId xmlns:a16="http://schemas.microsoft.com/office/drawing/2014/main" id="{00000000-0008-0000-0600-0000991D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7578" name="AutoShape 3">
          <a:extLst>
            <a:ext uri="{FF2B5EF4-FFF2-40B4-BE49-F238E27FC236}">
              <a16:creationId xmlns:a16="http://schemas.microsoft.com/office/drawing/2014/main" id="{00000000-0008-0000-0600-00009A1D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7579" name="AutoShape 4">
          <a:extLst>
            <a:ext uri="{FF2B5EF4-FFF2-40B4-BE49-F238E27FC236}">
              <a16:creationId xmlns:a16="http://schemas.microsoft.com/office/drawing/2014/main" id="{00000000-0008-0000-0600-00009B1D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1504950</xdr:colOff>
      <xdr:row>121</xdr:row>
      <xdr:rowOff>114300</xdr:rowOff>
    </xdr:from>
    <xdr:to>
      <xdr:col>33</xdr:col>
      <xdr:colOff>38100</xdr:colOff>
      <xdr:row>121</xdr:row>
      <xdr:rowOff>123825</xdr:rowOff>
    </xdr:to>
    <xdr:sp macro="" textlink="">
      <xdr:nvSpPr>
        <xdr:cNvPr id="7580" name="Line 34">
          <a:extLst>
            <a:ext uri="{FF2B5EF4-FFF2-40B4-BE49-F238E27FC236}">
              <a16:creationId xmlns:a16="http://schemas.microsoft.com/office/drawing/2014/main" id="{00000000-0008-0000-0600-00009C1D0000}"/>
            </a:ext>
          </a:extLst>
        </xdr:cNvPr>
        <xdr:cNvSpPr>
          <a:spLocks noChangeShapeType="1"/>
        </xdr:cNvSpPr>
      </xdr:nvSpPr>
      <xdr:spPr bwMode="auto">
        <a:xfrm flipV="1">
          <a:off x="1876425" y="33080325"/>
          <a:ext cx="775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1524000</xdr:colOff>
      <xdr:row>216</xdr:row>
      <xdr:rowOff>123825</xdr:rowOff>
    </xdr:from>
    <xdr:to>
      <xdr:col>33</xdr:col>
      <xdr:colOff>28575</xdr:colOff>
      <xdr:row>216</xdr:row>
      <xdr:rowOff>142875</xdr:rowOff>
    </xdr:to>
    <xdr:sp macro="" textlink="">
      <xdr:nvSpPr>
        <xdr:cNvPr id="7581" name="Line 291">
          <a:extLst>
            <a:ext uri="{FF2B5EF4-FFF2-40B4-BE49-F238E27FC236}">
              <a16:creationId xmlns:a16="http://schemas.microsoft.com/office/drawing/2014/main" id="{00000000-0008-0000-0600-00009D1D0000}"/>
            </a:ext>
          </a:extLst>
        </xdr:cNvPr>
        <xdr:cNvSpPr>
          <a:spLocks noChangeShapeType="1"/>
        </xdr:cNvSpPr>
      </xdr:nvSpPr>
      <xdr:spPr bwMode="auto">
        <a:xfrm flipV="1">
          <a:off x="1895475" y="59016900"/>
          <a:ext cx="7724775" cy="1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8644" name="Line 1">
          <a:extLst>
            <a:ext uri="{FF2B5EF4-FFF2-40B4-BE49-F238E27FC236}">
              <a16:creationId xmlns:a16="http://schemas.microsoft.com/office/drawing/2014/main" id="{00000000-0008-0000-0700-0000C421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8645" name="Line 2">
          <a:extLst>
            <a:ext uri="{FF2B5EF4-FFF2-40B4-BE49-F238E27FC236}">
              <a16:creationId xmlns:a16="http://schemas.microsoft.com/office/drawing/2014/main" id="{00000000-0008-0000-0700-0000C521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8646" name="AutoShape 3">
          <a:extLst>
            <a:ext uri="{FF2B5EF4-FFF2-40B4-BE49-F238E27FC236}">
              <a16:creationId xmlns:a16="http://schemas.microsoft.com/office/drawing/2014/main" id="{00000000-0008-0000-0700-0000C621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8647" name="AutoShape 4">
          <a:extLst>
            <a:ext uri="{FF2B5EF4-FFF2-40B4-BE49-F238E27FC236}">
              <a16:creationId xmlns:a16="http://schemas.microsoft.com/office/drawing/2014/main" id="{00000000-0008-0000-0700-0000C721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1533525</xdr:colOff>
      <xdr:row>120</xdr:row>
      <xdr:rowOff>142875</xdr:rowOff>
    </xdr:from>
    <xdr:to>
      <xdr:col>32</xdr:col>
      <xdr:colOff>0</xdr:colOff>
      <xdr:row>120</xdr:row>
      <xdr:rowOff>152400</xdr:rowOff>
    </xdr:to>
    <xdr:sp macro="" textlink="">
      <xdr:nvSpPr>
        <xdr:cNvPr id="8648" name="Line 72">
          <a:extLst>
            <a:ext uri="{FF2B5EF4-FFF2-40B4-BE49-F238E27FC236}">
              <a16:creationId xmlns:a16="http://schemas.microsoft.com/office/drawing/2014/main" id="{00000000-0008-0000-0700-0000C8210000}"/>
            </a:ext>
          </a:extLst>
        </xdr:cNvPr>
        <xdr:cNvSpPr>
          <a:spLocks noChangeShapeType="1"/>
        </xdr:cNvSpPr>
      </xdr:nvSpPr>
      <xdr:spPr bwMode="auto">
        <a:xfrm flipV="1">
          <a:off x="1905000" y="32832675"/>
          <a:ext cx="74390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214</xdr:row>
      <xdr:rowOff>114300</xdr:rowOff>
    </xdr:from>
    <xdr:to>
      <xdr:col>4</xdr:col>
      <xdr:colOff>95250</xdr:colOff>
      <xdr:row>214</xdr:row>
      <xdr:rowOff>123825</xdr:rowOff>
    </xdr:to>
    <xdr:sp macro="" textlink="">
      <xdr:nvSpPr>
        <xdr:cNvPr id="8649" name="Line 242">
          <a:extLst>
            <a:ext uri="{FF2B5EF4-FFF2-40B4-BE49-F238E27FC236}">
              <a16:creationId xmlns:a16="http://schemas.microsoft.com/office/drawing/2014/main" id="{00000000-0008-0000-0700-0000C9210000}"/>
            </a:ext>
          </a:extLst>
        </xdr:cNvPr>
        <xdr:cNvSpPr>
          <a:spLocks noChangeShapeType="1"/>
        </xdr:cNvSpPr>
      </xdr:nvSpPr>
      <xdr:spPr bwMode="auto">
        <a:xfrm flipV="1">
          <a:off x="1924050" y="58473975"/>
          <a:ext cx="5810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9555" name="Line 1">
          <a:extLst>
            <a:ext uri="{FF2B5EF4-FFF2-40B4-BE49-F238E27FC236}">
              <a16:creationId xmlns:a16="http://schemas.microsoft.com/office/drawing/2014/main" id="{00000000-0008-0000-0800-00005325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9556" name="Line 2">
          <a:extLst>
            <a:ext uri="{FF2B5EF4-FFF2-40B4-BE49-F238E27FC236}">
              <a16:creationId xmlns:a16="http://schemas.microsoft.com/office/drawing/2014/main" id="{00000000-0008-0000-0800-00005425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9557" name="AutoShape 3">
          <a:extLst>
            <a:ext uri="{FF2B5EF4-FFF2-40B4-BE49-F238E27FC236}">
              <a16:creationId xmlns:a16="http://schemas.microsoft.com/office/drawing/2014/main" id="{00000000-0008-0000-0800-00005525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9558" name="AutoShape 4">
          <a:extLst>
            <a:ext uri="{FF2B5EF4-FFF2-40B4-BE49-F238E27FC236}">
              <a16:creationId xmlns:a16="http://schemas.microsoft.com/office/drawing/2014/main" id="{00000000-0008-0000-0800-00005625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1533525</xdr:colOff>
      <xdr:row>119</xdr:row>
      <xdr:rowOff>95250</xdr:rowOff>
    </xdr:from>
    <xdr:to>
      <xdr:col>33</xdr:col>
      <xdr:colOff>85725</xdr:colOff>
      <xdr:row>119</xdr:row>
      <xdr:rowOff>114300</xdr:rowOff>
    </xdr:to>
    <xdr:sp macro="" textlink="">
      <xdr:nvSpPr>
        <xdr:cNvPr id="9559" name="Line 161">
          <a:extLst>
            <a:ext uri="{FF2B5EF4-FFF2-40B4-BE49-F238E27FC236}">
              <a16:creationId xmlns:a16="http://schemas.microsoft.com/office/drawing/2014/main" id="{00000000-0008-0000-0800-000057250000}"/>
            </a:ext>
          </a:extLst>
        </xdr:cNvPr>
        <xdr:cNvSpPr>
          <a:spLocks noChangeShapeType="1"/>
        </xdr:cNvSpPr>
      </xdr:nvSpPr>
      <xdr:spPr bwMode="auto">
        <a:xfrm flipV="1">
          <a:off x="1905000" y="32508825"/>
          <a:ext cx="7772400" cy="1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10503" name="Line 1">
          <a:extLst>
            <a:ext uri="{FF2B5EF4-FFF2-40B4-BE49-F238E27FC236}">
              <a16:creationId xmlns:a16="http://schemas.microsoft.com/office/drawing/2014/main" id="{00000000-0008-0000-0900-00000729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10504" name="Line 2">
          <a:extLst>
            <a:ext uri="{FF2B5EF4-FFF2-40B4-BE49-F238E27FC236}">
              <a16:creationId xmlns:a16="http://schemas.microsoft.com/office/drawing/2014/main" id="{00000000-0008-0000-0900-00000829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0505" name="AutoShape 3">
          <a:extLst>
            <a:ext uri="{FF2B5EF4-FFF2-40B4-BE49-F238E27FC236}">
              <a16:creationId xmlns:a16="http://schemas.microsoft.com/office/drawing/2014/main" id="{00000000-0008-0000-0900-00000929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0506" name="AutoShape 4">
          <a:extLst>
            <a:ext uri="{FF2B5EF4-FFF2-40B4-BE49-F238E27FC236}">
              <a16:creationId xmlns:a16="http://schemas.microsoft.com/office/drawing/2014/main" id="{00000000-0008-0000-0900-00000A29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120</xdr:row>
      <xdr:rowOff>142875</xdr:rowOff>
    </xdr:from>
    <xdr:to>
      <xdr:col>18</xdr:col>
      <xdr:colOff>66675</xdr:colOff>
      <xdr:row>120</xdr:row>
      <xdr:rowOff>152400</xdr:rowOff>
    </xdr:to>
    <xdr:sp macro="" textlink="">
      <xdr:nvSpPr>
        <xdr:cNvPr id="10507" name="Line 130">
          <a:extLst>
            <a:ext uri="{FF2B5EF4-FFF2-40B4-BE49-F238E27FC236}">
              <a16:creationId xmlns:a16="http://schemas.microsoft.com/office/drawing/2014/main" id="{00000000-0008-0000-0900-00000B290000}"/>
            </a:ext>
          </a:extLst>
        </xdr:cNvPr>
        <xdr:cNvSpPr>
          <a:spLocks noChangeShapeType="1"/>
        </xdr:cNvSpPr>
      </xdr:nvSpPr>
      <xdr:spPr bwMode="auto">
        <a:xfrm flipV="1">
          <a:off x="1914525" y="32832675"/>
          <a:ext cx="40386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38</xdr:col>
      <xdr:colOff>369627</xdr:colOff>
      <xdr:row>110</xdr:row>
      <xdr:rowOff>199030</xdr:rowOff>
    </xdr:from>
    <xdr:ext cx="184731" cy="264560"/>
    <xdr:sp macro="" textlink="">
      <xdr:nvSpPr>
        <xdr:cNvPr id="7" name="Tekstbok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12155037" y="294564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da-DK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11468" name="Line 1">
          <a:extLst>
            <a:ext uri="{FF2B5EF4-FFF2-40B4-BE49-F238E27FC236}">
              <a16:creationId xmlns:a16="http://schemas.microsoft.com/office/drawing/2014/main" id="{00000000-0008-0000-0A00-0000CC2C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11469" name="Line 2">
          <a:extLst>
            <a:ext uri="{FF2B5EF4-FFF2-40B4-BE49-F238E27FC236}">
              <a16:creationId xmlns:a16="http://schemas.microsoft.com/office/drawing/2014/main" id="{00000000-0008-0000-0A00-0000CD2C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1470" name="AutoShape 3">
          <a:extLst>
            <a:ext uri="{FF2B5EF4-FFF2-40B4-BE49-F238E27FC236}">
              <a16:creationId xmlns:a16="http://schemas.microsoft.com/office/drawing/2014/main" id="{00000000-0008-0000-0A00-0000CE2C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1471" name="AutoShape 4">
          <a:extLst>
            <a:ext uri="{FF2B5EF4-FFF2-40B4-BE49-F238E27FC236}">
              <a16:creationId xmlns:a16="http://schemas.microsoft.com/office/drawing/2014/main" id="{00000000-0008-0000-0A00-0000CF2C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135</xdr:row>
      <xdr:rowOff>127947</xdr:rowOff>
    </xdr:from>
    <xdr:to>
      <xdr:col>20</xdr:col>
      <xdr:colOff>113731</xdr:colOff>
      <xdr:row>135</xdr:row>
      <xdr:rowOff>156380</xdr:rowOff>
    </xdr:to>
    <xdr:cxnSp macro="">
      <xdr:nvCxnSpPr>
        <xdr:cNvPr id="7" name="Lige forbindels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 bwMode="auto">
        <a:xfrm flipV="1">
          <a:off x="2885933" y="36138134"/>
          <a:ext cx="3511455" cy="2843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199030</xdr:colOff>
      <xdr:row>99</xdr:row>
      <xdr:rowOff>14216</xdr:rowOff>
    </xdr:from>
    <xdr:to>
      <xdr:col>10</xdr:col>
      <xdr:colOff>14217</xdr:colOff>
      <xdr:row>100</xdr:row>
      <xdr:rowOff>0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 bwMode="auto">
        <a:xfrm>
          <a:off x="3568321" y="26300373"/>
          <a:ext cx="298545" cy="255896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  <xdr:twoCellAnchor>
    <xdr:from>
      <xdr:col>9</xdr:col>
      <xdr:colOff>213246</xdr:colOff>
      <xdr:row>99</xdr:row>
      <xdr:rowOff>14216</xdr:rowOff>
    </xdr:from>
    <xdr:to>
      <xdr:col>11</xdr:col>
      <xdr:colOff>0</xdr:colOff>
      <xdr:row>99</xdr:row>
      <xdr:rowOff>241679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 bwMode="auto">
        <a:xfrm>
          <a:off x="3824216" y="26300373"/>
          <a:ext cx="270112" cy="227463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12479" name="Line 1">
          <a:extLst>
            <a:ext uri="{FF2B5EF4-FFF2-40B4-BE49-F238E27FC236}">
              <a16:creationId xmlns:a16="http://schemas.microsoft.com/office/drawing/2014/main" id="{00000000-0008-0000-0B00-0000BF3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12480" name="Line 2">
          <a:extLst>
            <a:ext uri="{FF2B5EF4-FFF2-40B4-BE49-F238E27FC236}">
              <a16:creationId xmlns:a16="http://schemas.microsoft.com/office/drawing/2014/main" id="{00000000-0008-0000-0B00-0000C03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2481" name="AutoShape 3">
          <a:extLst>
            <a:ext uri="{FF2B5EF4-FFF2-40B4-BE49-F238E27FC236}">
              <a16:creationId xmlns:a16="http://schemas.microsoft.com/office/drawing/2014/main" id="{00000000-0008-0000-0B00-0000C13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2482" name="AutoShape 4">
          <a:extLst>
            <a:ext uri="{FF2B5EF4-FFF2-40B4-BE49-F238E27FC236}">
              <a16:creationId xmlns:a16="http://schemas.microsoft.com/office/drawing/2014/main" id="{00000000-0008-0000-0B00-0000C23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13504" name="Line 1">
          <a:extLst>
            <a:ext uri="{FF2B5EF4-FFF2-40B4-BE49-F238E27FC236}">
              <a16:creationId xmlns:a16="http://schemas.microsoft.com/office/drawing/2014/main" id="{00000000-0008-0000-0C00-0000C034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13505" name="Line 2">
          <a:extLst>
            <a:ext uri="{FF2B5EF4-FFF2-40B4-BE49-F238E27FC236}">
              <a16:creationId xmlns:a16="http://schemas.microsoft.com/office/drawing/2014/main" id="{00000000-0008-0000-0C00-0000C134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3506" name="AutoShape 3">
          <a:extLst>
            <a:ext uri="{FF2B5EF4-FFF2-40B4-BE49-F238E27FC236}">
              <a16:creationId xmlns:a16="http://schemas.microsoft.com/office/drawing/2014/main" id="{00000000-0008-0000-0C00-0000C234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3507" name="AutoShape 4">
          <a:extLst>
            <a:ext uri="{FF2B5EF4-FFF2-40B4-BE49-F238E27FC236}">
              <a16:creationId xmlns:a16="http://schemas.microsoft.com/office/drawing/2014/main" id="{00000000-0008-0000-0C00-0000C334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213247</xdr:colOff>
      <xdr:row>97</xdr:row>
      <xdr:rowOff>0</xdr:rowOff>
    </xdr:from>
    <xdr:to>
      <xdr:col>8</xdr:col>
      <xdr:colOff>14217</xdr:colOff>
      <xdr:row>97</xdr:row>
      <xdr:rowOff>227463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 bwMode="auto">
        <a:xfrm>
          <a:off x="3099180" y="25745933"/>
          <a:ext cx="284328" cy="227463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  <xdr:twoCellAnchor>
    <xdr:from>
      <xdr:col>7</xdr:col>
      <xdr:colOff>213246</xdr:colOff>
      <xdr:row>97</xdr:row>
      <xdr:rowOff>28433</xdr:rowOff>
    </xdr:from>
    <xdr:to>
      <xdr:col>9</xdr:col>
      <xdr:colOff>28433</xdr:colOff>
      <xdr:row>97</xdr:row>
      <xdr:rowOff>241679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 bwMode="auto">
        <a:xfrm>
          <a:off x="3340858" y="25774366"/>
          <a:ext cx="298545" cy="213246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  <xdr:twoCellAnchor>
    <xdr:from>
      <xdr:col>11</xdr:col>
      <xdr:colOff>227463</xdr:colOff>
      <xdr:row>97</xdr:row>
      <xdr:rowOff>28433</xdr:rowOff>
    </xdr:from>
    <xdr:to>
      <xdr:col>13</xdr:col>
      <xdr:colOff>14216</xdr:colOff>
      <xdr:row>97</xdr:row>
      <xdr:rowOff>227463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 bwMode="auto">
        <a:xfrm>
          <a:off x="4321791" y="25774366"/>
          <a:ext cx="270112" cy="199030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HA</a:t>
          </a:r>
        </a:p>
      </xdr:txBody>
    </xdr:sp>
    <xdr:clientData/>
  </xdr:twoCellAnchor>
  <xdr:twoCellAnchor>
    <xdr:from>
      <xdr:col>12</xdr:col>
      <xdr:colOff>213248</xdr:colOff>
      <xdr:row>97</xdr:row>
      <xdr:rowOff>14216</xdr:rowOff>
    </xdr:from>
    <xdr:to>
      <xdr:col>14</xdr:col>
      <xdr:colOff>14217</xdr:colOff>
      <xdr:row>97</xdr:row>
      <xdr:rowOff>227463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 bwMode="auto">
        <a:xfrm>
          <a:off x="4549255" y="25760149"/>
          <a:ext cx="284328" cy="213247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HC</a:t>
          </a:r>
        </a:p>
      </xdr:txBody>
    </xdr:sp>
    <xdr:clientData/>
  </xdr:twoCellAnchor>
  <xdr:twoCellAnchor>
    <xdr:from>
      <xdr:col>28</xdr:col>
      <xdr:colOff>0</xdr:colOff>
      <xdr:row>99</xdr:row>
      <xdr:rowOff>42649</xdr:rowOff>
    </xdr:from>
    <xdr:to>
      <xdr:col>29</xdr:col>
      <xdr:colOff>14216</xdr:colOff>
      <xdr:row>99</xdr:row>
      <xdr:rowOff>241679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8217090" y="26328806"/>
          <a:ext cx="255895" cy="199030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  <xdr:twoCellAnchor>
    <xdr:from>
      <xdr:col>28</xdr:col>
      <xdr:colOff>227462</xdr:colOff>
      <xdr:row>99</xdr:row>
      <xdr:rowOff>28433</xdr:rowOff>
    </xdr:from>
    <xdr:to>
      <xdr:col>30</xdr:col>
      <xdr:colOff>0</xdr:colOff>
      <xdr:row>99</xdr:row>
      <xdr:rowOff>241679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 bwMode="auto">
        <a:xfrm>
          <a:off x="8444552" y="26314590"/>
          <a:ext cx="255896" cy="213246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  <xdr:twoCellAnchor>
    <xdr:from>
      <xdr:col>7</xdr:col>
      <xdr:colOff>28433</xdr:colOff>
      <xdr:row>190</xdr:row>
      <xdr:rowOff>127948</xdr:rowOff>
    </xdr:from>
    <xdr:to>
      <xdr:col>19</xdr:col>
      <xdr:colOff>56865</xdr:colOff>
      <xdr:row>190</xdr:row>
      <xdr:rowOff>142164</xdr:rowOff>
    </xdr:to>
    <xdr:cxnSp macro="">
      <xdr:nvCxnSpPr>
        <xdr:cNvPr id="13" name="Lige forbindels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CxnSpPr/>
      </xdr:nvCxnSpPr>
      <xdr:spPr bwMode="auto">
        <a:xfrm flipV="1">
          <a:off x="3156045" y="50994291"/>
          <a:ext cx="2942798" cy="1421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14525" name="Line 1">
          <a:extLst>
            <a:ext uri="{FF2B5EF4-FFF2-40B4-BE49-F238E27FC236}">
              <a16:creationId xmlns:a16="http://schemas.microsoft.com/office/drawing/2014/main" id="{00000000-0008-0000-0D00-0000BD38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14526" name="Line 2">
          <a:extLst>
            <a:ext uri="{FF2B5EF4-FFF2-40B4-BE49-F238E27FC236}">
              <a16:creationId xmlns:a16="http://schemas.microsoft.com/office/drawing/2014/main" id="{00000000-0008-0000-0D00-0000BE38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4527" name="AutoShape 3">
          <a:extLst>
            <a:ext uri="{FF2B5EF4-FFF2-40B4-BE49-F238E27FC236}">
              <a16:creationId xmlns:a16="http://schemas.microsoft.com/office/drawing/2014/main" id="{00000000-0008-0000-0D00-0000BF38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14528" name="AutoShape 4">
          <a:extLst>
            <a:ext uri="{FF2B5EF4-FFF2-40B4-BE49-F238E27FC236}">
              <a16:creationId xmlns:a16="http://schemas.microsoft.com/office/drawing/2014/main" id="{00000000-0008-0000-0D00-0000C038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227462</xdr:colOff>
      <xdr:row>99</xdr:row>
      <xdr:rowOff>14216</xdr:rowOff>
    </xdr:from>
    <xdr:to>
      <xdr:col>5</xdr:col>
      <xdr:colOff>28433</xdr:colOff>
      <xdr:row>99</xdr:row>
      <xdr:rowOff>241679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 bwMode="auto">
        <a:xfrm>
          <a:off x="2388358" y="26300373"/>
          <a:ext cx="284329" cy="227463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HA</a:t>
          </a:r>
        </a:p>
      </xdr:txBody>
    </xdr:sp>
    <xdr:clientData/>
  </xdr:twoCellAnchor>
  <xdr:twoCellAnchor>
    <xdr:from>
      <xdr:col>4</xdr:col>
      <xdr:colOff>227462</xdr:colOff>
      <xdr:row>99</xdr:row>
      <xdr:rowOff>28433</xdr:rowOff>
    </xdr:from>
    <xdr:to>
      <xdr:col>6</xdr:col>
      <xdr:colOff>28433</xdr:colOff>
      <xdr:row>99</xdr:row>
      <xdr:rowOff>241679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 bwMode="auto">
        <a:xfrm>
          <a:off x="2630037" y="26314590"/>
          <a:ext cx="284329" cy="213246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HC</a:t>
          </a:r>
        </a:p>
      </xdr:txBody>
    </xdr:sp>
    <xdr:clientData/>
  </xdr:twoCellAnchor>
  <xdr:twoCellAnchor>
    <xdr:from>
      <xdr:col>19</xdr:col>
      <xdr:colOff>213246</xdr:colOff>
      <xdr:row>98</xdr:row>
      <xdr:rowOff>14216</xdr:rowOff>
    </xdr:from>
    <xdr:to>
      <xdr:col>21</xdr:col>
      <xdr:colOff>14216</xdr:colOff>
      <xdr:row>98</xdr:row>
      <xdr:rowOff>241679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 bwMode="auto">
        <a:xfrm>
          <a:off x="6255224" y="26030261"/>
          <a:ext cx="284328" cy="227463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  <xdr:twoCellAnchor>
    <xdr:from>
      <xdr:col>20</xdr:col>
      <xdr:colOff>227462</xdr:colOff>
      <xdr:row>98</xdr:row>
      <xdr:rowOff>28433</xdr:rowOff>
    </xdr:from>
    <xdr:to>
      <xdr:col>22</xdr:col>
      <xdr:colOff>28433</xdr:colOff>
      <xdr:row>98</xdr:row>
      <xdr:rowOff>241679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 bwMode="auto">
        <a:xfrm>
          <a:off x="6511119" y="26044478"/>
          <a:ext cx="284329" cy="213246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H1</a:t>
          </a:r>
        </a:p>
      </xdr:txBody>
    </xdr:sp>
    <xdr:clientData/>
  </xdr:twoCellAnchor>
  <xdr:twoCellAnchor>
    <xdr:from>
      <xdr:col>24</xdr:col>
      <xdr:colOff>213246</xdr:colOff>
      <xdr:row>98</xdr:row>
      <xdr:rowOff>14216</xdr:rowOff>
    </xdr:from>
    <xdr:to>
      <xdr:col>26</xdr:col>
      <xdr:colOff>14217</xdr:colOff>
      <xdr:row>98</xdr:row>
      <xdr:rowOff>255895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 bwMode="auto">
        <a:xfrm>
          <a:off x="7463619" y="26030261"/>
          <a:ext cx="284329" cy="241679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HA</a:t>
          </a:r>
        </a:p>
      </xdr:txBody>
    </xdr:sp>
    <xdr:clientData/>
  </xdr:twoCellAnchor>
  <xdr:twoCellAnchor>
    <xdr:from>
      <xdr:col>25</xdr:col>
      <xdr:colOff>184814</xdr:colOff>
      <xdr:row>98</xdr:row>
      <xdr:rowOff>0</xdr:rowOff>
    </xdr:from>
    <xdr:to>
      <xdr:col>27</xdr:col>
      <xdr:colOff>42650</xdr:colOff>
      <xdr:row>98</xdr:row>
      <xdr:rowOff>241679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 bwMode="auto">
        <a:xfrm>
          <a:off x="7676866" y="26016045"/>
          <a:ext cx="341194" cy="241679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HC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/K&#248;benhavns%20Ejendomme/S&#230;rlige%20data/KEjd%20Betjentservice/Betjent/_Postservice,%20Skanning,%20HNG%20og%20trykkeri/Samlet%20kontrakt%20regnskab%20for%202010/Samlet%20kontrakt%20Regnskab%202012%20%20-%20postsamarbejdsaftaler.xls?8C6D9AC0" TargetMode="External"/><Relationship Id="rId1" Type="http://schemas.openxmlformats.org/officeDocument/2006/relationships/externalLinkPath" Target="file:///\\8C6D9AC0\Samlet%20kontrakt%20Regnskab%202012%20%20-%20postsamarbejdsaftal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Øvrige Kontrakter 2012"/>
      <sheetName val="Karsten Pøhl (ØKF)"/>
      <sheetName val="Koncern Service"/>
      <sheetName val="Ark2"/>
    </sheetNames>
    <sheetDataSet>
      <sheetData sheetId="0">
        <row r="42">
          <cell r="K42">
            <v>3533300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160"/>
  <sheetViews>
    <sheetView topLeftCell="A76" zoomScale="67" zoomScaleNormal="67" workbookViewId="0">
      <selection activeCell="AJ25" sqref="AJ25"/>
    </sheetView>
  </sheetViews>
  <sheetFormatPr defaultRowHeight="12.75" x14ac:dyDescent="0.2"/>
  <cols>
    <col min="1" max="1" width="23.85546875" customWidth="1"/>
    <col min="2" max="2" width="13" customWidth="1"/>
    <col min="3" max="3" width="10.85546875" customWidth="1"/>
    <col min="4" max="4" width="12.7109375" customWidth="1"/>
    <col min="5" max="5" width="11.85546875" customWidth="1"/>
    <col min="6" max="8" width="10.85546875" customWidth="1"/>
    <col min="9" max="9" width="13" customWidth="1"/>
    <col min="10" max="10" width="25" customWidth="1"/>
  </cols>
  <sheetData>
    <row r="1" spans="1:10" ht="20.100000000000001" customHeight="1" x14ac:dyDescent="0.35">
      <c r="A1" s="1" t="s">
        <v>0</v>
      </c>
      <c r="B1" s="1"/>
      <c r="D1" s="2"/>
      <c r="E1" s="2"/>
    </row>
    <row r="2" spans="1:10" ht="20.100000000000001" customHeight="1" x14ac:dyDescent="0.2">
      <c r="A2" s="3" t="s">
        <v>1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0" ht="20.100000000000001" customHeight="1" x14ac:dyDescent="0.2">
      <c r="A3" s="9"/>
      <c r="B3" s="10" t="s">
        <v>11</v>
      </c>
      <c r="C3" s="10" t="s">
        <v>11</v>
      </c>
      <c r="D3" s="10" t="s">
        <v>11</v>
      </c>
      <c r="E3" s="10" t="s">
        <v>11</v>
      </c>
      <c r="F3" s="11" t="s">
        <v>12</v>
      </c>
      <c r="G3" s="12"/>
      <c r="H3" s="13"/>
      <c r="I3" s="14"/>
      <c r="J3" s="15"/>
    </row>
    <row r="4" spans="1:10" ht="20.100000000000001" customHeight="1" x14ac:dyDescent="0.2">
      <c r="A4" s="16" t="s">
        <v>13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0" ht="20.100000000000001" customHeight="1" x14ac:dyDescent="0.2"/>
    <row r="6" spans="1:10" ht="20.100000000000001" customHeight="1" x14ac:dyDescent="0.35">
      <c r="A6" s="1" t="s">
        <v>14</v>
      </c>
      <c r="B6" s="1"/>
      <c r="D6" s="2"/>
      <c r="E6" s="2"/>
    </row>
    <row r="7" spans="1:10" ht="18" customHeight="1" x14ac:dyDescent="0.2">
      <c r="A7" s="23" t="s">
        <v>15</v>
      </c>
      <c r="B7" s="24" t="s">
        <v>2</v>
      </c>
      <c r="C7" s="25" t="s">
        <v>3</v>
      </c>
      <c r="D7" s="25" t="s">
        <v>4</v>
      </c>
      <c r="E7" s="25" t="s">
        <v>5</v>
      </c>
      <c r="F7" s="25" t="s">
        <v>6</v>
      </c>
      <c r="G7" s="25" t="s">
        <v>7</v>
      </c>
      <c r="H7" s="26" t="s">
        <v>8</v>
      </c>
      <c r="I7" s="27" t="s">
        <v>9</v>
      </c>
      <c r="J7" s="28" t="s">
        <v>10</v>
      </c>
    </row>
    <row r="8" spans="1:10" ht="18" customHeight="1" x14ac:dyDescent="0.2">
      <c r="A8" s="29"/>
      <c r="B8" s="30" t="s">
        <v>16</v>
      </c>
      <c r="C8" s="30" t="s">
        <v>17</v>
      </c>
      <c r="D8" s="31" t="s">
        <v>18</v>
      </c>
      <c r="E8" s="31" t="s">
        <v>18</v>
      </c>
      <c r="F8" s="31" t="s">
        <v>18</v>
      </c>
      <c r="G8" s="31" t="s">
        <v>19</v>
      </c>
      <c r="H8" s="31" t="s">
        <v>19</v>
      </c>
      <c r="I8" s="7"/>
      <c r="J8" s="32"/>
    </row>
    <row r="9" spans="1:10" ht="18" customHeight="1" x14ac:dyDescent="0.2">
      <c r="A9" s="33" t="s">
        <v>20</v>
      </c>
      <c r="B9" s="34">
        <v>7.4</v>
      </c>
      <c r="C9" s="17">
        <v>8</v>
      </c>
      <c r="D9" s="18">
        <v>8</v>
      </c>
      <c r="E9" s="18">
        <v>8</v>
      </c>
      <c r="F9" s="18">
        <v>8</v>
      </c>
      <c r="G9" s="18">
        <v>12</v>
      </c>
      <c r="H9" s="35">
        <v>12</v>
      </c>
      <c r="I9" s="36">
        <f>SUM(B9:H9)</f>
        <v>63.4</v>
      </c>
      <c r="J9" s="37"/>
    </row>
    <row r="10" spans="1:10" ht="18" customHeight="1" x14ac:dyDescent="0.2">
      <c r="A10" s="38"/>
      <c r="B10" s="10" t="s">
        <v>18</v>
      </c>
      <c r="C10" s="10" t="s">
        <v>18</v>
      </c>
      <c r="D10" s="30" t="s">
        <v>16</v>
      </c>
      <c r="E10" s="30" t="s">
        <v>16</v>
      </c>
      <c r="F10" s="30" t="s">
        <v>16</v>
      </c>
      <c r="G10" s="11"/>
      <c r="H10" s="39"/>
      <c r="I10" s="14"/>
      <c r="J10" s="40"/>
    </row>
    <row r="11" spans="1:10" ht="18" customHeight="1" x14ac:dyDescent="0.2">
      <c r="A11" s="16" t="s">
        <v>21</v>
      </c>
      <c r="B11" s="17">
        <v>8</v>
      </c>
      <c r="C11" s="18">
        <v>8</v>
      </c>
      <c r="D11" s="34">
        <v>7.4</v>
      </c>
      <c r="E11" s="34">
        <v>7.4</v>
      </c>
      <c r="F11" s="34">
        <v>7.4</v>
      </c>
      <c r="G11" s="18"/>
      <c r="H11" s="35"/>
      <c r="I11" s="36">
        <f>SUM(B11:H11)</f>
        <v>38.199999999999996</v>
      </c>
      <c r="J11" s="37"/>
    </row>
    <row r="12" spans="1:10" ht="18" customHeight="1" x14ac:dyDescent="0.2">
      <c r="A12" s="41"/>
      <c r="B12" s="30" t="s">
        <v>22</v>
      </c>
      <c r="C12" s="30" t="s">
        <v>22</v>
      </c>
      <c r="D12" s="30" t="s">
        <v>22</v>
      </c>
      <c r="E12" s="30" t="s">
        <v>22</v>
      </c>
      <c r="F12" s="30" t="s">
        <v>22</v>
      </c>
      <c r="G12" s="31"/>
      <c r="H12" s="42"/>
      <c r="I12" s="7"/>
      <c r="J12" s="32"/>
    </row>
    <row r="13" spans="1:10" ht="18" customHeight="1" x14ac:dyDescent="0.2">
      <c r="A13" s="16" t="s">
        <v>23</v>
      </c>
      <c r="B13" s="17">
        <v>8</v>
      </c>
      <c r="C13" s="18">
        <v>8</v>
      </c>
      <c r="D13" s="18">
        <v>8</v>
      </c>
      <c r="E13" s="18">
        <v>8</v>
      </c>
      <c r="F13" s="18">
        <v>8</v>
      </c>
      <c r="G13" s="18"/>
      <c r="H13" s="35"/>
      <c r="I13" s="36">
        <f>SUM(B13:H13)</f>
        <v>40</v>
      </c>
      <c r="J13" s="37"/>
    </row>
    <row r="14" spans="1:10" ht="18" customHeight="1" x14ac:dyDescent="0.2">
      <c r="A14" s="41"/>
      <c r="B14" s="30" t="s">
        <v>24</v>
      </c>
      <c r="C14" s="30" t="s">
        <v>24</v>
      </c>
      <c r="D14" s="30" t="s">
        <v>24</v>
      </c>
      <c r="E14" s="30" t="s">
        <v>24</v>
      </c>
      <c r="F14" s="43" t="s">
        <v>24</v>
      </c>
      <c r="G14" s="44" t="s">
        <v>25</v>
      </c>
      <c r="H14" s="45" t="s">
        <v>25</v>
      </c>
      <c r="I14" s="7"/>
      <c r="J14" s="46"/>
    </row>
    <row r="15" spans="1:10" ht="18" customHeight="1" x14ac:dyDescent="0.2">
      <c r="A15" s="47" t="s">
        <v>26</v>
      </c>
      <c r="B15" s="34">
        <v>8</v>
      </c>
      <c r="C15" s="34">
        <v>8</v>
      </c>
      <c r="D15" s="34">
        <v>8</v>
      </c>
      <c r="E15" s="34">
        <v>8</v>
      </c>
      <c r="F15" s="34">
        <v>8</v>
      </c>
      <c r="G15" s="34">
        <v>12</v>
      </c>
      <c r="H15" s="48">
        <v>12</v>
      </c>
      <c r="I15" s="36">
        <f>SUM(B15:H15)</f>
        <v>64</v>
      </c>
      <c r="J15" s="49"/>
    </row>
    <row r="16" spans="1:10" ht="18" customHeight="1" x14ac:dyDescent="0.2">
      <c r="A16" s="41"/>
      <c r="B16" s="30" t="s">
        <v>16</v>
      </c>
      <c r="C16" s="30" t="s">
        <v>16</v>
      </c>
      <c r="D16" s="30" t="s">
        <v>16</v>
      </c>
      <c r="E16" s="30" t="s">
        <v>16</v>
      </c>
      <c r="F16" s="30" t="s">
        <v>16</v>
      </c>
      <c r="G16" s="50"/>
      <c r="H16" s="51"/>
      <c r="I16" s="7"/>
      <c r="J16" s="46"/>
    </row>
    <row r="17" spans="1:14" ht="18" customHeight="1" x14ac:dyDescent="0.2">
      <c r="A17" s="47" t="s">
        <v>27</v>
      </c>
      <c r="B17" s="34">
        <v>7.4</v>
      </c>
      <c r="C17" s="34">
        <v>7.4</v>
      </c>
      <c r="D17" s="34">
        <v>7.4</v>
      </c>
      <c r="E17" s="34">
        <v>7.4</v>
      </c>
      <c r="F17" s="34">
        <v>7.4</v>
      </c>
      <c r="G17" s="52"/>
      <c r="H17" s="53"/>
      <c r="I17" s="36">
        <f>SUM(B17:H17)</f>
        <v>37</v>
      </c>
      <c r="J17" s="49"/>
    </row>
    <row r="18" spans="1:14" ht="18" customHeight="1" x14ac:dyDescent="0.2">
      <c r="A18" s="38"/>
      <c r="B18" s="10" t="s">
        <v>24</v>
      </c>
      <c r="C18" s="10" t="s">
        <v>24</v>
      </c>
      <c r="D18" s="10" t="s">
        <v>24</v>
      </c>
      <c r="E18" s="10" t="s">
        <v>24</v>
      </c>
      <c r="F18" s="10" t="s">
        <v>24</v>
      </c>
      <c r="G18" s="54"/>
      <c r="H18" s="55"/>
      <c r="I18" s="30" t="s">
        <v>28</v>
      </c>
      <c r="J18" s="56"/>
    </row>
    <row r="19" spans="1:14" ht="18" customHeight="1" x14ac:dyDescent="0.2">
      <c r="A19" s="47" t="s">
        <v>29</v>
      </c>
      <c r="B19" s="34">
        <v>8</v>
      </c>
      <c r="C19" s="34">
        <v>8</v>
      </c>
      <c r="D19" s="34">
        <v>8</v>
      </c>
      <c r="E19" s="34">
        <v>8</v>
      </c>
      <c r="F19" s="34">
        <v>8</v>
      </c>
      <c r="G19" s="52"/>
      <c r="H19" s="57"/>
      <c r="I19" s="36">
        <f>SUM(B19:H19)</f>
        <v>40</v>
      </c>
      <c r="J19" s="49"/>
    </row>
    <row r="20" spans="1:14" ht="18" customHeight="1" x14ac:dyDescent="0.2">
      <c r="A20" s="58" t="s">
        <v>30</v>
      </c>
      <c r="B20" s="58">
        <f t="shared" ref="B20:I20" si="0">SUM(B9,B11,B13,B15,B17,B19)</f>
        <v>46.8</v>
      </c>
      <c r="C20" s="58">
        <f t="shared" si="0"/>
        <v>47.4</v>
      </c>
      <c r="D20" s="58">
        <f t="shared" si="0"/>
        <v>46.8</v>
      </c>
      <c r="E20" s="58">
        <f t="shared" si="0"/>
        <v>46.8</v>
      </c>
      <c r="F20" s="58">
        <f t="shared" si="0"/>
        <v>46.8</v>
      </c>
      <c r="G20" s="58">
        <f t="shared" si="0"/>
        <v>24</v>
      </c>
      <c r="H20" s="58">
        <f t="shared" si="0"/>
        <v>24</v>
      </c>
      <c r="I20" s="58">
        <f t="shared" si="0"/>
        <v>282.60000000000002</v>
      </c>
      <c r="J20" s="59"/>
    </row>
    <row r="21" spans="1:14" ht="18" customHeight="1" x14ac:dyDescent="0.35">
      <c r="D21" s="2"/>
      <c r="E21" s="2"/>
    </row>
    <row r="22" spans="1:14" ht="18" customHeight="1" x14ac:dyDescent="0.35">
      <c r="A22" s="60" t="s">
        <v>31</v>
      </c>
      <c r="D22" s="2"/>
      <c r="E22" s="2"/>
    </row>
    <row r="23" spans="1:14" ht="18" customHeight="1" x14ac:dyDescent="0.2">
      <c r="A23" s="61" t="s">
        <v>32</v>
      </c>
      <c r="B23" s="62" t="s">
        <v>2</v>
      </c>
      <c r="C23" s="63" t="s">
        <v>3</v>
      </c>
      <c r="D23" s="63" t="s">
        <v>4</v>
      </c>
      <c r="E23" s="63" t="s">
        <v>5</v>
      </c>
      <c r="F23" s="63" t="s">
        <v>6</v>
      </c>
      <c r="G23" s="63" t="s">
        <v>7</v>
      </c>
      <c r="H23" s="64" t="s">
        <v>8</v>
      </c>
      <c r="I23" s="65" t="s">
        <v>9</v>
      </c>
      <c r="J23" s="66" t="s">
        <v>10</v>
      </c>
    </row>
    <row r="24" spans="1:14" ht="18" customHeight="1" x14ac:dyDescent="0.2">
      <c r="A24" s="41"/>
      <c r="B24" s="30" t="s">
        <v>33</v>
      </c>
      <c r="C24" s="30" t="s">
        <v>33</v>
      </c>
      <c r="D24" s="30" t="s">
        <v>33</v>
      </c>
      <c r="E24" s="30" t="s">
        <v>33</v>
      </c>
      <c r="F24" s="31" t="s">
        <v>34</v>
      </c>
      <c r="G24" s="31"/>
      <c r="H24" s="42"/>
      <c r="I24" s="7"/>
      <c r="J24" s="67"/>
    </row>
    <row r="25" spans="1:14" ht="18" customHeight="1" x14ac:dyDescent="0.2">
      <c r="A25" s="16" t="s">
        <v>35</v>
      </c>
      <c r="B25" s="17">
        <v>7.75</v>
      </c>
      <c r="C25" s="17">
        <v>7.75</v>
      </c>
      <c r="D25" s="17">
        <v>7.75</v>
      </c>
      <c r="E25" s="17">
        <v>7.75</v>
      </c>
      <c r="F25" s="18">
        <v>6</v>
      </c>
      <c r="G25" s="18"/>
      <c r="H25" s="35"/>
      <c r="I25" s="36">
        <f>SUM(B25:H25)</f>
        <v>37</v>
      </c>
      <c r="J25" s="68"/>
    </row>
    <row r="26" spans="1:14" ht="18" customHeight="1" x14ac:dyDescent="0.2">
      <c r="A26" s="41"/>
      <c r="B26" s="30" t="s">
        <v>33</v>
      </c>
      <c r="C26" s="30" t="s">
        <v>33</v>
      </c>
      <c r="D26" s="30" t="s">
        <v>33</v>
      </c>
      <c r="E26" s="30" t="s">
        <v>33</v>
      </c>
      <c r="F26" s="31" t="s">
        <v>34</v>
      </c>
      <c r="G26" s="31"/>
      <c r="H26" s="42"/>
      <c r="I26" s="7"/>
      <c r="J26" s="67"/>
    </row>
    <row r="27" spans="1:14" ht="18" customHeight="1" x14ac:dyDescent="0.2">
      <c r="A27" s="16" t="s">
        <v>36</v>
      </c>
      <c r="B27" s="17">
        <v>7.75</v>
      </c>
      <c r="C27" s="17">
        <v>7.75</v>
      </c>
      <c r="D27" s="17">
        <v>7.75</v>
      </c>
      <c r="E27" s="17">
        <v>7.75</v>
      </c>
      <c r="F27" s="18">
        <v>6</v>
      </c>
      <c r="G27" s="18"/>
      <c r="H27" s="35"/>
      <c r="I27" s="36">
        <f>SUM(B27:H27)</f>
        <v>37</v>
      </c>
      <c r="J27" s="68"/>
      <c r="L27" s="69"/>
      <c r="M27" s="69"/>
      <c r="N27" s="69"/>
    </row>
    <row r="28" spans="1:14" ht="18" customHeight="1" x14ac:dyDescent="0.2">
      <c r="A28" s="41"/>
      <c r="B28" s="30" t="s">
        <v>33</v>
      </c>
      <c r="C28" s="30" t="s">
        <v>33</v>
      </c>
      <c r="D28" s="30" t="s">
        <v>33</v>
      </c>
      <c r="E28" s="30" t="s">
        <v>33</v>
      </c>
      <c r="F28" s="31" t="s">
        <v>34</v>
      </c>
      <c r="G28" s="31"/>
      <c r="H28" s="42"/>
      <c r="I28" s="7"/>
      <c r="J28" s="67"/>
    </row>
    <row r="29" spans="1:14" ht="18" customHeight="1" x14ac:dyDescent="0.2">
      <c r="A29" s="16" t="s">
        <v>37</v>
      </c>
      <c r="B29" s="17">
        <v>7.75</v>
      </c>
      <c r="C29" s="17">
        <v>7.75</v>
      </c>
      <c r="D29" s="17">
        <v>7.75</v>
      </c>
      <c r="E29" s="17">
        <v>7.75</v>
      </c>
      <c r="F29" s="18">
        <v>6</v>
      </c>
      <c r="G29" s="18"/>
      <c r="H29" s="35"/>
      <c r="I29" s="36">
        <f>SUM(B29:H29)</f>
        <v>37</v>
      </c>
      <c r="J29" s="68"/>
    </row>
    <row r="30" spans="1:14" ht="18" customHeight="1" x14ac:dyDescent="0.2">
      <c r="A30" s="58" t="s">
        <v>30</v>
      </c>
      <c r="B30" s="58">
        <f t="shared" ref="B30:I30" si="1">SUM(B25,B27,B29)</f>
        <v>23.25</v>
      </c>
      <c r="C30" s="58">
        <f t="shared" si="1"/>
        <v>23.25</v>
      </c>
      <c r="D30" s="58">
        <f t="shared" si="1"/>
        <v>23.25</v>
      </c>
      <c r="E30" s="58">
        <f t="shared" si="1"/>
        <v>23.25</v>
      </c>
      <c r="F30" s="58">
        <f t="shared" si="1"/>
        <v>18</v>
      </c>
      <c r="G30" s="58">
        <f t="shared" si="1"/>
        <v>0</v>
      </c>
      <c r="H30" s="58">
        <f t="shared" si="1"/>
        <v>0</v>
      </c>
      <c r="I30" s="70">
        <f t="shared" si="1"/>
        <v>111</v>
      </c>
      <c r="J30" s="71"/>
    </row>
    <row r="31" spans="1:14" ht="18" customHeight="1" x14ac:dyDescent="0.2">
      <c r="A31" s="72"/>
      <c r="B31" s="72"/>
      <c r="C31" s="72"/>
      <c r="D31" s="72"/>
      <c r="E31" s="72"/>
      <c r="F31" s="72"/>
      <c r="G31" s="72"/>
      <c r="H31" s="72"/>
      <c r="I31" s="72"/>
      <c r="J31" s="73"/>
    </row>
    <row r="32" spans="1:14" ht="18" customHeight="1" x14ac:dyDescent="0.2">
      <c r="A32" s="72"/>
      <c r="B32" s="72"/>
      <c r="C32" s="72"/>
      <c r="D32" s="72"/>
      <c r="E32" s="72"/>
      <c r="F32" s="72"/>
      <c r="G32" s="72"/>
      <c r="H32" s="72"/>
      <c r="I32" s="72"/>
      <c r="J32" s="73"/>
    </row>
    <row r="33" spans="1:14" ht="18" customHeight="1" x14ac:dyDescent="0.2">
      <c r="A33" s="1" t="s">
        <v>38</v>
      </c>
      <c r="B33" s="72"/>
      <c r="C33" s="72"/>
      <c r="D33" s="72"/>
      <c r="E33" s="72"/>
      <c r="F33" s="72"/>
    </row>
    <row r="34" spans="1:14" ht="18" customHeight="1" x14ac:dyDescent="0.2">
      <c r="A34" s="3" t="s">
        <v>39</v>
      </c>
      <c r="B34" s="4" t="s">
        <v>2</v>
      </c>
      <c r="C34" s="5" t="s">
        <v>3</v>
      </c>
      <c r="D34" s="5" t="s">
        <v>4</v>
      </c>
      <c r="E34" s="5" t="s">
        <v>5</v>
      </c>
      <c r="F34" s="5" t="s">
        <v>6</v>
      </c>
      <c r="G34" s="5" t="s">
        <v>7</v>
      </c>
      <c r="H34" s="6" t="s">
        <v>8</v>
      </c>
      <c r="I34" s="7" t="s">
        <v>9</v>
      </c>
      <c r="J34" s="8" t="s">
        <v>10</v>
      </c>
    </row>
    <row r="35" spans="1:14" ht="18" customHeight="1" x14ac:dyDescent="0.2">
      <c r="A35" s="74" t="s">
        <v>40</v>
      </c>
      <c r="B35" s="75" t="s">
        <v>41</v>
      </c>
      <c r="C35" s="75" t="s">
        <v>41</v>
      </c>
      <c r="D35" s="76" t="s">
        <v>18</v>
      </c>
      <c r="E35" s="76" t="s">
        <v>18</v>
      </c>
      <c r="F35" s="76" t="s">
        <v>18</v>
      </c>
      <c r="G35" s="77" t="s">
        <v>19</v>
      </c>
      <c r="H35" s="78" t="s">
        <v>18</v>
      </c>
      <c r="I35" s="14"/>
      <c r="J35" s="40"/>
      <c r="L35" s="79" t="s">
        <v>42</v>
      </c>
      <c r="M35" s="79"/>
    </row>
    <row r="36" spans="1:14" ht="18" customHeight="1" x14ac:dyDescent="0.2">
      <c r="A36" s="80" t="s">
        <v>43</v>
      </c>
      <c r="B36" s="81">
        <v>7.75</v>
      </c>
      <c r="C36" s="81">
        <v>7.75</v>
      </c>
      <c r="D36" s="82">
        <v>8</v>
      </c>
      <c r="E36" s="82">
        <v>8</v>
      </c>
      <c r="F36" s="82">
        <v>8</v>
      </c>
      <c r="G36" s="83">
        <v>12</v>
      </c>
      <c r="H36" s="84">
        <v>8</v>
      </c>
      <c r="I36" s="36">
        <f>SUM(B36:H36)</f>
        <v>59.5</v>
      </c>
      <c r="J36" s="85"/>
      <c r="L36" s="86" t="s">
        <v>44</v>
      </c>
      <c r="M36" s="86"/>
    </row>
    <row r="37" spans="1:14" ht="18" customHeight="1" x14ac:dyDescent="0.2">
      <c r="A37" s="87"/>
      <c r="B37" s="30" t="s">
        <v>17</v>
      </c>
      <c r="C37" s="31" t="s">
        <v>34</v>
      </c>
      <c r="D37" s="88" t="s">
        <v>45</v>
      </c>
      <c r="E37" s="88" t="s">
        <v>45</v>
      </c>
      <c r="F37" s="88" t="s">
        <v>45</v>
      </c>
      <c r="G37" s="88" t="s">
        <v>46</v>
      </c>
      <c r="H37" s="89" t="s">
        <v>45</v>
      </c>
      <c r="I37" s="7"/>
      <c r="J37" s="32"/>
      <c r="L37" s="90" t="s">
        <v>47</v>
      </c>
      <c r="M37" s="90"/>
    </row>
    <row r="38" spans="1:14" ht="18" customHeight="1" x14ac:dyDescent="0.2">
      <c r="A38" s="80" t="s">
        <v>48</v>
      </c>
      <c r="B38" s="17">
        <v>8</v>
      </c>
      <c r="C38" s="18">
        <v>6</v>
      </c>
      <c r="D38" s="91">
        <v>7</v>
      </c>
      <c r="E38" s="91">
        <v>7</v>
      </c>
      <c r="F38" s="91">
        <v>7</v>
      </c>
      <c r="G38" s="91">
        <v>11</v>
      </c>
      <c r="H38" s="92">
        <v>7</v>
      </c>
      <c r="I38" s="36">
        <f>SUM(B38:H38)</f>
        <v>53</v>
      </c>
      <c r="J38" s="37"/>
    </row>
    <row r="39" spans="1:14" ht="18" customHeight="1" x14ac:dyDescent="0.2">
      <c r="A39" s="87"/>
      <c r="B39" s="30" t="s">
        <v>16</v>
      </c>
      <c r="C39" s="30" t="s">
        <v>16</v>
      </c>
      <c r="D39" s="88" t="s">
        <v>45</v>
      </c>
      <c r="E39" s="88" t="s">
        <v>45</v>
      </c>
      <c r="F39" s="88" t="s">
        <v>45</v>
      </c>
      <c r="G39" s="88" t="s">
        <v>46</v>
      </c>
      <c r="H39" s="89" t="s">
        <v>45</v>
      </c>
      <c r="I39" s="7"/>
      <c r="J39" s="32"/>
      <c r="L39" s="93" t="s">
        <v>49</v>
      </c>
      <c r="M39" s="93" t="s">
        <v>50</v>
      </c>
    </row>
    <row r="40" spans="1:14" ht="18" customHeight="1" x14ac:dyDescent="0.2">
      <c r="A40" s="80" t="s">
        <v>51</v>
      </c>
      <c r="B40" s="34">
        <v>7.4</v>
      </c>
      <c r="C40" s="34">
        <v>7.4</v>
      </c>
      <c r="D40" s="91">
        <v>7</v>
      </c>
      <c r="E40" s="91">
        <v>7</v>
      </c>
      <c r="F40" s="91">
        <v>7</v>
      </c>
      <c r="G40" s="91">
        <v>11</v>
      </c>
      <c r="H40" s="92">
        <v>7</v>
      </c>
      <c r="I40" s="36">
        <f>SUM(B40:H40)</f>
        <v>53.8</v>
      </c>
      <c r="J40" s="37"/>
    </row>
    <row r="41" spans="1:14" ht="18" customHeight="1" x14ac:dyDescent="0.2">
      <c r="A41" s="94" t="s">
        <v>52</v>
      </c>
      <c r="B41" s="88" t="s">
        <v>45</v>
      </c>
      <c r="C41" s="88" t="s">
        <v>45</v>
      </c>
      <c r="D41" s="30" t="s">
        <v>16</v>
      </c>
      <c r="E41" s="30" t="s">
        <v>16</v>
      </c>
      <c r="F41" s="30" t="s">
        <v>16</v>
      </c>
      <c r="G41" s="45"/>
      <c r="H41" s="51"/>
      <c r="I41" s="7"/>
      <c r="J41" s="46"/>
    </row>
    <row r="42" spans="1:14" ht="18" customHeight="1" x14ac:dyDescent="0.2">
      <c r="A42" s="80" t="s">
        <v>53</v>
      </c>
      <c r="B42" s="91">
        <v>7</v>
      </c>
      <c r="C42" s="91">
        <v>7</v>
      </c>
      <c r="D42" s="34">
        <v>7.4</v>
      </c>
      <c r="E42" s="34">
        <v>7.4</v>
      </c>
      <c r="F42" s="34">
        <v>7.4</v>
      </c>
      <c r="G42" s="52"/>
      <c r="H42" s="53"/>
      <c r="I42" s="36">
        <f>SUM(B42:H42)</f>
        <v>36.199999999999996</v>
      </c>
      <c r="J42" s="49"/>
    </row>
    <row r="43" spans="1:14" ht="18" customHeight="1" x14ac:dyDescent="0.2">
      <c r="A43" s="87"/>
      <c r="B43" s="76" t="s">
        <v>18</v>
      </c>
      <c r="C43" s="76" t="s">
        <v>18</v>
      </c>
      <c r="D43" s="30" t="s">
        <v>16</v>
      </c>
      <c r="E43" s="30" t="s">
        <v>16</v>
      </c>
      <c r="F43" s="30" t="s">
        <v>16</v>
      </c>
      <c r="G43" s="50"/>
      <c r="H43" s="51"/>
      <c r="I43" s="7"/>
      <c r="J43" s="46"/>
    </row>
    <row r="44" spans="1:14" ht="18" customHeight="1" x14ac:dyDescent="0.2">
      <c r="A44" s="95" t="s">
        <v>54</v>
      </c>
      <c r="B44" s="82">
        <v>8</v>
      </c>
      <c r="C44" s="82">
        <v>8</v>
      </c>
      <c r="D44" s="34">
        <v>7.4</v>
      </c>
      <c r="E44" s="34">
        <v>7.4</v>
      </c>
      <c r="F44" s="34">
        <v>7.4</v>
      </c>
      <c r="G44" s="52"/>
      <c r="H44" s="53"/>
      <c r="I44" s="36">
        <f>SUM(B44:H44)</f>
        <v>38.199999999999996</v>
      </c>
      <c r="J44" s="49"/>
      <c r="L44" s="96" t="s">
        <v>55</v>
      </c>
      <c r="M44" s="96"/>
      <c r="N44" s="96"/>
    </row>
    <row r="45" spans="1:14" ht="18" customHeight="1" x14ac:dyDescent="0.2">
      <c r="A45" s="97"/>
      <c r="B45" s="88" t="s">
        <v>45</v>
      </c>
      <c r="C45" s="88" t="s">
        <v>45</v>
      </c>
      <c r="D45" s="30" t="s">
        <v>16</v>
      </c>
      <c r="E45" s="30" t="s">
        <v>16</v>
      </c>
      <c r="F45" s="30" t="s">
        <v>16</v>
      </c>
      <c r="G45" s="54"/>
      <c r="H45" s="55"/>
      <c r="I45" s="14"/>
      <c r="J45" s="56"/>
      <c r="L45" s="98" t="s">
        <v>56</v>
      </c>
      <c r="M45" s="98"/>
      <c r="N45" s="98"/>
    </row>
    <row r="46" spans="1:14" ht="18" customHeight="1" x14ac:dyDescent="0.2">
      <c r="A46" s="95" t="s">
        <v>57</v>
      </c>
      <c r="B46" s="91">
        <v>7</v>
      </c>
      <c r="C46" s="91">
        <v>7</v>
      </c>
      <c r="D46" s="34">
        <v>7.4</v>
      </c>
      <c r="E46" s="34">
        <v>7.4</v>
      </c>
      <c r="F46" s="34">
        <v>7.4</v>
      </c>
      <c r="G46" s="52"/>
      <c r="H46" s="57"/>
      <c r="I46" s="36">
        <f>SUM(B46:H46)</f>
        <v>36.199999999999996</v>
      </c>
      <c r="J46" s="49"/>
      <c r="L46" s="99" t="s">
        <v>58</v>
      </c>
      <c r="M46" s="99"/>
      <c r="N46" s="99"/>
    </row>
    <row r="47" spans="1:14" ht="18" customHeight="1" x14ac:dyDescent="0.2">
      <c r="A47" s="94" t="s">
        <v>59</v>
      </c>
      <c r="B47" s="100" t="s">
        <v>17</v>
      </c>
      <c r="C47" s="100" t="s">
        <v>17</v>
      </c>
      <c r="D47" s="100" t="s">
        <v>17</v>
      </c>
      <c r="E47" s="100" t="s">
        <v>17</v>
      </c>
      <c r="F47" s="100" t="s">
        <v>34</v>
      </c>
      <c r="G47" s="31"/>
      <c r="H47" s="42"/>
      <c r="I47" s="7"/>
      <c r="J47" s="32"/>
      <c r="L47" s="101" t="s">
        <v>60</v>
      </c>
      <c r="M47" s="101"/>
      <c r="N47" s="101"/>
    </row>
    <row r="48" spans="1:14" ht="18" customHeight="1" x14ac:dyDescent="0.2">
      <c r="A48" s="95" t="s">
        <v>61</v>
      </c>
      <c r="B48" s="102">
        <v>8</v>
      </c>
      <c r="C48" s="102">
        <v>8</v>
      </c>
      <c r="D48" s="102">
        <v>8</v>
      </c>
      <c r="E48" s="102">
        <v>8</v>
      </c>
      <c r="F48" s="102">
        <v>6</v>
      </c>
      <c r="G48" s="18"/>
      <c r="H48" s="35"/>
      <c r="I48" s="36">
        <f>SUM(B48:H48)</f>
        <v>38</v>
      </c>
      <c r="J48" s="37"/>
    </row>
    <row r="49" spans="1:10" ht="18" customHeight="1" x14ac:dyDescent="0.2">
      <c r="A49" s="87"/>
      <c r="B49" s="103" t="s">
        <v>17</v>
      </c>
      <c r="C49" s="103" t="s">
        <v>17</v>
      </c>
      <c r="D49" s="103" t="s">
        <v>17</v>
      </c>
      <c r="E49" s="103" t="s">
        <v>17</v>
      </c>
      <c r="F49" s="103" t="s">
        <v>34</v>
      </c>
      <c r="G49" s="45"/>
      <c r="H49" s="51"/>
      <c r="I49" s="7"/>
      <c r="J49" s="46"/>
    </row>
    <row r="50" spans="1:10" ht="18" customHeight="1" x14ac:dyDescent="0.2">
      <c r="A50" s="80" t="s">
        <v>62</v>
      </c>
      <c r="B50" s="104">
        <v>8</v>
      </c>
      <c r="C50" s="104">
        <v>8</v>
      </c>
      <c r="D50" s="104">
        <v>8</v>
      </c>
      <c r="E50" s="104">
        <v>8</v>
      </c>
      <c r="F50" s="104">
        <v>6</v>
      </c>
      <c r="G50" s="52"/>
      <c r="H50" s="53"/>
      <c r="I50" s="36">
        <f>SUM(B50:H50)</f>
        <v>38</v>
      </c>
      <c r="J50" s="49"/>
    </row>
    <row r="51" spans="1:10" ht="18" customHeight="1" x14ac:dyDescent="0.2">
      <c r="A51" s="87"/>
      <c r="B51" s="103" t="s">
        <v>17</v>
      </c>
      <c r="C51" s="103" t="s">
        <v>17</v>
      </c>
      <c r="D51" s="103" t="s">
        <v>17</v>
      </c>
      <c r="E51" s="103" t="s">
        <v>17</v>
      </c>
      <c r="F51" s="103" t="s">
        <v>34</v>
      </c>
      <c r="G51" s="50"/>
      <c r="H51" s="51"/>
      <c r="I51" s="7"/>
      <c r="J51" s="46"/>
    </row>
    <row r="52" spans="1:10" ht="18" customHeight="1" x14ac:dyDescent="0.2">
      <c r="A52" s="80" t="s">
        <v>63</v>
      </c>
      <c r="B52" s="104">
        <v>8</v>
      </c>
      <c r="C52" s="104">
        <v>8</v>
      </c>
      <c r="D52" s="104">
        <v>8</v>
      </c>
      <c r="E52" s="104">
        <v>8</v>
      </c>
      <c r="F52" s="104">
        <v>6</v>
      </c>
      <c r="G52" s="52"/>
      <c r="H52" s="53"/>
      <c r="I52" s="36">
        <f>SUM(B52:H52)</f>
        <v>38</v>
      </c>
      <c r="J52" s="49"/>
    </row>
    <row r="53" spans="1:10" ht="18" customHeight="1" x14ac:dyDescent="0.2">
      <c r="A53" s="74" t="s">
        <v>64</v>
      </c>
      <c r="B53" s="105" t="s">
        <v>65</v>
      </c>
      <c r="C53" s="105" t="s">
        <v>65</v>
      </c>
      <c r="D53" s="105" t="s">
        <v>65</v>
      </c>
      <c r="E53" s="105" t="s">
        <v>65</v>
      </c>
      <c r="F53" s="105" t="s">
        <v>65</v>
      </c>
      <c r="G53" s="54" t="s">
        <v>25</v>
      </c>
      <c r="H53" s="106" t="s">
        <v>65</v>
      </c>
      <c r="I53" s="14"/>
      <c r="J53" s="56"/>
    </row>
    <row r="54" spans="1:10" ht="18" customHeight="1" x14ac:dyDescent="0.2">
      <c r="A54" s="80" t="s">
        <v>66</v>
      </c>
      <c r="B54" s="107">
        <v>7</v>
      </c>
      <c r="C54" s="107">
        <v>7</v>
      </c>
      <c r="D54" s="107">
        <v>7</v>
      </c>
      <c r="E54" s="107">
        <v>7</v>
      </c>
      <c r="F54" s="107">
        <v>7</v>
      </c>
      <c r="G54" s="34">
        <v>12</v>
      </c>
      <c r="H54" s="108">
        <v>7</v>
      </c>
      <c r="I54" s="36">
        <f>SUM(B54:H54)</f>
        <v>54</v>
      </c>
      <c r="J54" s="49"/>
    </row>
    <row r="55" spans="1:10" ht="18" customHeight="1" x14ac:dyDescent="0.2">
      <c r="A55" s="87"/>
      <c r="B55" s="109" t="s">
        <v>24</v>
      </c>
      <c r="C55" s="109" t="s">
        <v>24</v>
      </c>
      <c r="D55" s="109" t="s">
        <v>24</v>
      </c>
      <c r="E55" s="109" t="s">
        <v>24</v>
      </c>
      <c r="F55" s="109" t="s">
        <v>24</v>
      </c>
      <c r="G55" s="31" t="s">
        <v>67</v>
      </c>
      <c r="H55" s="110" t="s">
        <v>24</v>
      </c>
      <c r="I55" s="7"/>
      <c r="J55" s="32"/>
    </row>
    <row r="56" spans="1:10" ht="18" customHeight="1" x14ac:dyDescent="0.2">
      <c r="A56" s="111" t="s">
        <v>68</v>
      </c>
      <c r="B56" s="112">
        <v>8</v>
      </c>
      <c r="C56" s="112">
        <v>8</v>
      </c>
      <c r="D56" s="112">
        <v>8</v>
      </c>
      <c r="E56" s="112">
        <v>8</v>
      </c>
      <c r="F56" s="112">
        <v>8</v>
      </c>
      <c r="G56" s="18">
        <v>8</v>
      </c>
      <c r="H56" s="113">
        <v>8</v>
      </c>
      <c r="I56" s="36">
        <f>SUM(B56:H56)</f>
        <v>56</v>
      </c>
      <c r="J56" s="37"/>
    </row>
    <row r="57" spans="1:10" ht="18" customHeight="1" x14ac:dyDescent="0.2">
      <c r="A57" s="87"/>
      <c r="B57" s="105" t="s">
        <v>65</v>
      </c>
      <c r="C57" s="105" t="s">
        <v>65</v>
      </c>
      <c r="D57" s="105" t="s">
        <v>65</v>
      </c>
      <c r="E57" s="105" t="s">
        <v>65</v>
      </c>
      <c r="F57" s="105" t="s">
        <v>65</v>
      </c>
      <c r="G57" s="54" t="s">
        <v>25</v>
      </c>
      <c r="H57" s="106" t="s">
        <v>65</v>
      </c>
      <c r="I57" s="7"/>
      <c r="J57" s="46"/>
    </row>
    <row r="58" spans="1:10" ht="18" customHeight="1" x14ac:dyDescent="0.2">
      <c r="A58" s="80" t="s">
        <v>69</v>
      </c>
      <c r="B58" s="107">
        <v>7</v>
      </c>
      <c r="C58" s="107">
        <v>7</v>
      </c>
      <c r="D58" s="107">
        <v>7</v>
      </c>
      <c r="E58" s="107">
        <v>7</v>
      </c>
      <c r="F58" s="107">
        <v>7</v>
      </c>
      <c r="G58" s="34">
        <v>12</v>
      </c>
      <c r="H58" s="108">
        <v>7</v>
      </c>
      <c r="I58" s="36">
        <f>SUM(B58:H58)</f>
        <v>54</v>
      </c>
      <c r="J58" s="49"/>
    </row>
    <row r="59" spans="1:10" ht="18" customHeight="1" x14ac:dyDescent="0.2">
      <c r="A59" s="94" t="s">
        <v>70</v>
      </c>
      <c r="B59" s="30" t="s">
        <v>16</v>
      </c>
      <c r="C59" s="30" t="s">
        <v>16</v>
      </c>
      <c r="D59" s="103" t="s">
        <v>17</v>
      </c>
      <c r="E59" s="103" t="s">
        <v>17</v>
      </c>
      <c r="F59" s="103" t="s">
        <v>34</v>
      </c>
      <c r="G59" s="50"/>
      <c r="H59" s="51"/>
      <c r="I59" s="7"/>
      <c r="J59" s="46"/>
    </row>
    <row r="60" spans="1:10" ht="18" customHeight="1" x14ac:dyDescent="0.2">
      <c r="A60" s="95" t="s">
        <v>71</v>
      </c>
      <c r="B60" s="34">
        <v>7.4</v>
      </c>
      <c r="C60" s="34">
        <v>7.4</v>
      </c>
      <c r="D60" s="104">
        <v>8</v>
      </c>
      <c r="E60" s="104">
        <v>8</v>
      </c>
      <c r="F60" s="104">
        <v>6</v>
      </c>
      <c r="G60" s="52"/>
      <c r="H60" s="53"/>
      <c r="I60" s="36">
        <f>SUM(B60:H60)</f>
        <v>36.799999999999997</v>
      </c>
      <c r="J60" s="49"/>
    </row>
    <row r="61" spans="1:10" ht="18" customHeight="1" x14ac:dyDescent="0.2">
      <c r="A61" s="87"/>
      <c r="B61" s="30" t="s">
        <v>16</v>
      </c>
      <c r="C61" s="30" t="s">
        <v>16</v>
      </c>
      <c r="D61" s="114" t="s">
        <v>17</v>
      </c>
      <c r="E61" s="114" t="s">
        <v>17</v>
      </c>
      <c r="F61" s="114" t="s">
        <v>34</v>
      </c>
      <c r="G61" s="50"/>
      <c r="H61" s="51"/>
      <c r="I61" s="7"/>
      <c r="J61" s="46"/>
    </row>
    <row r="62" spans="1:10" ht="18" customHeight="1" x14ac:dyDescent="0.2">
      <c r="A62" s="115" t="s">
        <v>72</v>
      </c>
      <c r="B62" s="34">
        <v>7.4</v>
      </c>
      <c r="C62" s="34">
        <v>7.4</v>
      </c>
      <c r="D62" s="116">
        <v>8</v>
      </c>
      <c r="E62" s="116">
        <v>8</v>
      </c>
      <c r="F62" s="116">
        <v>6</v>
      </c>
      <c r="G62" s="52"/>
      <c r="H62" s="53"/>
      <c r="I62" s="36">
        <f>SUM(B62:H62)</f>
        <v>36.799999999999997</v>
      </c>
      <c r="J62" s="49"/>
    </row>
    <row r="63" spans="1:10" ht="18" customHeight="1" x14ac:dyDescent="0.2">
      <c r="A63" s="97"/>
      <c r="B63" s="30" t="s">
        <v>16</v>
      </c>
      <c r="C63" s="30" t="s">
        <v>16</v>
      </c>
      <c r="D63" s="75" t="s">
        <v>41</v>
      </c>
      <c r="E63" s="75" t="s">
        <v>41</v>
      </c>
      <c r="F63" s="75" t="s">
        <v>41</v>
      </c>
      <c r="G63" s="54"/>
      <c r="H63" s="55"/>
      <c r="I63" s="14"/>
      <c r="J63" s="56"/>
    </row>
    <row r="64" spans="1:10" ht="18" customHeight="1" x14ac:dyDescent="0.2">
      <c r="A64" s="80" t="s">
        <v>73</v>
      </c>
      <c r="B64" s="34">
        <v>7.4</v>
      </c>
      <c r="C64" s="34">
        <v>7.4</v>
      </c>
      <c r="D64" s="117">
        <v>7.75</v>
      </c>
      <c r="E64" s="117">
        <v>7.75</v>
      </c>
      <c r="F64" s="117">
        <v>7.75</v>
      </c>
      <c r="G64" s="52"/>
      <c r="H64" s="57"/>
      <c r="I64" s="36">
        <f>SUM(B64:H64)</f>
        <v>38.049999999999997</v>
      </c>
      <c r="J64" s="49"/>
    </row>
    <row r="65" spans="1:10" ht="18" customHeight="1" x14ac:dyDescent="0.2">
      <c r="A65" s="58" t="s">
        <v>30</v>
      </c>
      <c r="B65" s="58">
        <f t="shared" ref="B65:I65" si="2">SUM(B36,B38,B40,B42,B44,B46,B48,B50,B52,B54,B56,B58,B60,B62,B64)</f>
        <v>113.35000000000002</v>
      </c>
      <c r="C65" s="58">
        <f t="shared" si="2"/>
        <v>111.35000000000002</v>
      </c>
      <c r="D65" s="58">
        <f t="shared" si="2"/>
        <v>113.94999999999999</v>
      </c>
      <c r="E65" s="58">
        <f t="shared" si="2"/>
        <v>113.94999999999999</v>
      </c>
      <c r="F65" s="58">
        <f t="shared" si="2"/>
        <v>103.94999999999999</v>
      </c>
      <c r="G65" s="58">
        <f t="shared" si="2"/>
        <v>66</v>
      </c>
      <c r="H65" s="58">
        <f t="shared" si="2"/>
        <v>44</v>
      </c>
      <c r="I65" s="70">
        <f t="shared" si="2"/>
        <v>666.54999999999984</v>
      </c>
      <c r="J65" s="59"/>
    </row>
    <row r="66" spans="1:10" ht="18" customHeight="1" x14ac:dyDescent="0.2">
      <c r="A66" s="1" t="s">
        <v>74</v>
      </c>
      <c r="B66" s="72"/>
      <c r="C66" s="72"/>
      <c r="D66" s="72"/>
      <c r="E66" s="72"/>
      <c r="F66" s="72"/>
    </row>
    <row r="67" spans="1:10" ht="18" customHeight="1" x14ac:dyDescent="0.2">
      <c r="A67" s="61" t="s">
        <v>75</v>
      </c>
      <c r="B67" s="62" t="s">
        <v>2</v>
      </c>
      <c r="C67" s="63" t="s">
        <v>3</v>
      </c>
      <c r="D67" s="63" t="s">
        <v>4</v>
      </c>
      <c r="E67" s="63" t="s">
        <v>5</v>
      </c>
      <c r="F67" s="63" t="s">
        <v>6</v>
      </c>
      <c r="G67" s="63" t="s">
        <v>7</v>
      </c>
      <c r="H67" s="64" t="s">
        <v>8</v>
      </c>
      <c r="I67" s="65" t="s">
        <v>9</v>
      </c>
      <c r="J67" s="66" t="s">
        <v>10</v>
      </c>
    </row>
    <row r="68" spans="1:10" ht="18" customHeight="1" x14ac:dyDescent="0.2">
      <c r="A68" s="41" t="s">
        <v>76</v>
      </c>
      <c r="B68" s="118" t="s">
        <v>77</v>
      </c>
      <c r="C68" s="118" t="s">
        <v>77</v>
      </c>
      <c r="D68" s="118" t="s">
        <v>77</v>
      </c>
      <c r="E68" s="118" t="s">
        <v>77</v>
      </c>
      <c r="F68" s="118" t="s">
        <v>77</v>
      </c>
      <c r="G68" s="5"/>
      <c r="H68" s="119"/>
      <c r="I68" s="118"/>
      <c r="J68" s="32"/>
    </row>
    <row r="69" spans="1:10" ht="18" customHeight="1" x14ac:dyDescent="0.2">
      <c r="A69" s="120"/>
      <c r="B69" s="17">
        <v>7</v>
      </c>
      <c r="C69" s="17">
        <v>7</v>
      </c>
      <c r="D69" s="17">
        <v>7</v>
      </c>
      <c r="E69" s="17">
        <v>7</v>
      </c>
      <c r="F69" s="18">
        <v>7</v>
      </c>
      <c r="G69" s="19"/>
      <c r="H69" s="20"/>
      <c r="I69" s="36">
        <f>SUM(B69:H69)</f>
        <v>35</v>
      </c>
      <c r="J69" s="37"/>
    </row>
    <row r="70" spans="1:10" ht="18" customHeight="1" x14ac:dyDescent="0.2">
      <c r="A70" s="38" t="s">
        <v>78</v>
      </c>
      <c r="B70" s="121" t="s">
        <v>79</v>
      </c>
      <c r="C70" s="121" t="s">
        <v>79</v>
      </c>
      <c r="D70" s="121" t="s">
        <v>79</v>
      </c>
      <c r="E70" s="121" t="s">
        <v>79</v>
      </c>
      <c r="F70" s="121" t="s">
        <v>80</v>
      </c>
      <c r="G70" s="12"/>
      <c r="H70" s="13"/>
      <c r="I70" s="122"/>
      <c r="J70" s="40"/>
    </row>
    <row r="71" spans="1:10" ht="18" customHeight="1" x14ac:dyDescent="0.2">
      <c r="A71" s="123"/>
      <c r="B71" s="124">
        <v>7</v>
      </c>
      <c r="C71" s="124">
        <v>7</v>
      </c>
      <c r="D71" s="124">
        <v>7</v>
      </c>
      <c r="E71" s="124">
        <v>7</v>
      </c>
      <c r="F71" s="125">
        <v>6</v>
      </c>
      <c r="G71" s="126"/>
      <c r="H71" s="127"/>
      <c r="I71" s="36">
        <f>SUM(B71:H71)</f>
        <v>34</v>
      </c>
      <c r="J71" s="85"/>
    </row>
    <row r="72" spans="1:10" ht="18" customHeight="1" x14ac:dyDescent="0.2">
      <c r="A72" s="41" t="s">
        <v>81</v>
      </c>
      <c r="B72" s="118" t="s">
        <v>82</v>
      </c>
      <c r="C72" s="118" t="s">
        <v>82</v>
      </c>
      <c r="D72" s="118" t="s">
        <v>82</v>
      </c>
      <c r="E72" s="118" t="s">
        <v>83</v>
      </c>
      <c r="F72" s="118" t="s">
        <v>84</v>
      </c>
      <c r="G72" s="118"/>
      <c r="H72" s="118" t="s">
        <v>22</v>
      </c>
      <c r="I72" s="118"/>
      <c r="J72" s="32"/>
    </row>
    <row r="73" spans="1:10" ht="18" customHeight="1" x14ac:dyDescent="0.2">
      <c r="A73" s="16"/>
      <c r="B73" s="17">
        <v>6.5</v>
      </c>
      <c r="C73" s="17">
        <v>6.5</v>
      </c>
      <c r="D73" s="17">
        <v>6.5</v>
      </c>
      <c r="E73" s="18">
        <v>5.5</v>
      </c>
      <c r="F73" s="18">
        <v>7.25</v>
      </c>
      <c r="G73" s="18"/>
      <c r="H73" s="35">
        <v>8</v>
      </c>
      <c r="I73" s="36">
        <f>SUM(B73:H73)</f>
        <v>40.25</v>
      </c>
      <c r="J73" s="37"/>
    </row>
    <row r="74" spans="1:10" ht="18" customHeight="1" x14ac:dyDescent="0.2">
      <c r="A74" s="58" t="s">
        <v>30</v>
      </c>
      <c r="B74" s="58">
        <f t="shared" ref="B74:I74" si="3">SUM(B69,B71,B73)</f>
        <v>20.5</v>
      </c>
      <c r="C74" s="58">
        <f t="shared" si="3"/>
        <v>20.5</v>
      </c>
      <c r="D74" s="58">
        <f t="shared" si="3"/>
        <v>20.5</v>
      </c>
      <c r="E74" s="58">
        <f t="shared" si="3"/>
        <v>19.5</v>
      </c>
      <c r="F74" s="58">
        <f t="shared" si="3"/>
        <v>20.25</v>
      </c>
      <c r="G74" s="58">
        <f t="shared" si="3"/>
        <v>0</v>
      </c>
      <c r="H74" s="58">
        <f t="shared" si="3"/>
        <v>8</v>
      </c>
      <c r="I74" s="70">
        <f t="shared" si="3"/>
        <v>109.25</v>
      </c>
      <c r="J74" s="71"/>
    </row>
    <row r="75" spans="1:10" ht="18" customHeight="1" x14ac:dyDescent="0.2">
      <c r="A75" s="1" t="s">
        <v>85</v>
      </c>
      <c r="B75" s="72"/>
      <c r="C75" s="72"/>
      <c r="D75" s="72"/>
      <c r="E75" s="72"/>
      <c r="F75" s="72"/>
    </row>
    <row r="76" spans="1:10" ht="18" customHeight="1" x14ac:dyDescent="0.2">
      <c r="A76" s="61" t="s">
        <v>86</v>
      </c>
      <c r="B76" s="62" t="s">
        <v>2</v>
      </c>
      <c r="C76" s="63" t="s">
        <v>3</v>
      </c>
      <c r="D76" s="63" t="s">
        <v>4</v>
      </c>
      <c r="E76" s="63" t="s">
        <v>5</v>
      </c>
      <c r="F76" s="63" t="s">
        <v>6</v>
      </c>
      <c r="G76" s="63" t="s">
        <v>7</v>
      </c>
      <c r="H76" s="64" t="s">
        <v>8</v>
      </c>
      <c r="I76" s="65" t="s">
        <v>9</v>
      </c>
      <c r="J76" s="66" t="s">
        <v>10</v>
      </c>
    </row>
    <row r="77" spans="1:10" ht="18" customHeight="1" x14ac:dyDescent="0.2">
      <c r="A77" s="38" t="s">
        <v>87</v>
      </c>
      <c r="B77" s="121" t="s">
        <v>88</v>
      </c>
      <c r="C77" s="128" t="s">
        <v>88</v>
      </c>
      <c r="D77" s="122" t="s">
        <v>88</v>
      </c>
      <c r="E77" s="128" t="s">
        <v>88</v>
      </c>
      <c r="F77" s="121" t="s">
        <v>89</v>
      </c>
      <c r="G77" s="12"/>
      <c r="H77" s="13"/>
      <c r="I77" s="122"/>
      <c r="J77" s="40" t="s">
        <v>90</v>
      </c>
    </row>
    <row r="78" spans="1:10" ht="18" customHeight="1" x14ac:dyDescent="0.2">
      <c r="A78" s="123"/>
      <c r="B78" s="124">
        <v>8</v>
      </c>
      <c r="C78" s="124">
        <v>8</v>
      </c>
      <c r="D78" s="124">
        <v>8</v>
      </c>
      <c r="E78" s="124">
        <v>8</v>
      </c>
      <c r="F78" s="125">
        <v>7</v>
      </c>
      <c r="G78" s="126"/>
      <c r="H78" s="127"/>
      <c r="I78" s="36">
        <f>SUM(B78:H78)</f>
        <v>39</v>
      </c>
      <c r="J78" s="85"/>
    </row>
    <row r="79" spans="1:10" ht="18" customHeight="1" x14ac:dyDescent="0.2">
      <c r="A79" s="41" t="s">
        <v>91</v>
      </c>
      <c r="B79" s="118" t="s">
        <v>92</v>
      </c>
      <c r="C79" s="118" t="s">
        <v>92</v>
      </c>
      <c r="D79" s="118" t="s">
        <v>92</v>
      </c>
      <c r="E79" s="118" t="s">
        <v>92</v>
      </c>
      <c r="F79" s="118" t="s">
        <v>93</v>
      </c>
      <c r="G79" s="5"/>
      <c r="H79" s="119"/>
      <c r="I79" s="118"/>
      <c r="J79" s="32"/>
    </row>
    <row r="80" spans="1:10" ht="18" customHeight="1" x14ac:dyDescent="0.2">
      <c r="A80" s="123"/>
      <c r="B80" s="124">
        <v>6.5</v>
      </c>
      <c r="C80" s="124">
        <v>6.5</v>
      </c>
      <c r="D80" s="124">
        <v>6.5</v>
      </c>
      <c r="E80" s="124">
        <v>6.5</v>
      </c>
      <c r="F80" s="125">
        <v>7</v>
      </c>
      <c r="G80" s="126"/>
      <c r="H80" s="127"/>
      <c r="I80" s="36">
        <f>SUM(B80:H80)</f>
        <v>33</v>
      </c>
      <c r="J80" s="85"/>
    </row>
    <row r="81" spans="1:10" ht="18" customHeight="1" x14ac:dyDescent="0.2">
      <c r="A81" s="41" t="s">
        <v>94</v>
      </c>
      <c r="B81" s="30" t="s">
        <v>95</v>
      </c>
      <c r="C81" s="118" t="s">
        <v>96</v>
      </c>
      <c r="D81" s="118" t="s">
        <v>95</v>
      </c>
      <c r="E81" s="118" t="s">
        <v>95</v>
      </c>
      <c r="F81" s="118" t="s">
        <v>97</v>
      </c>
      <c r="G81" s="118" t="s">
        <v>98</v>
      </c>
      <c r="H81" s="31"/>
      <c r="I81" s="118"/>
      <c r="J81" s="32" t="s">
        <v>99</v>
      </c>
    </row>
    <row r="82" spans="1:10" ht="18" customHeight="1" x14ac:dyDescent="0.2">
      <c r="A82" s="16"/>
      <c r="B82" s="17">
        <v>7</v>
      </c>
      <c r="C82" s="18">
        <v>4</v>
      </c>
      <c r="D82" s="18">
        <v>7</v>
      </c>
      <c r="E82" s="18">
        <v>7</v>
      </c>
      <c r="F82" s="18">
        <v>6.25</v>
      </c>
      <c r="G82" s="18">
        <v>6.5</v>
      </c>
      <c r="H82" s="35"/>
      <c r="I82" s="36">
        <f>SUM(B82:H82)</f>
        <v>37.75</v>
      </c>
      <c r="J82" s="37"/>
    </row>
    <row r="83" spans="1:10" ht="18" customHeight="1" x14ac:dyDescent="0.2">
      <c r="A83" s="129" t="s">
        <v>100</v>
      </c>
      <c r="B83" s="1786" t="s">
        <v>88</v>
      </c>
      <c r="C83" s="130" t="s">
        <v>88</v>
      </c>
      <c r="D83" s="122" t="s">
        <v>88</v>
      </c>
      <c r="E83" s="128" t="s">
        <v>88</v>
      </c>
      <c r="F83" s="128" t="s">
        <v>89</v>
      </c>
      <c r="G83" s="45"/>
      <c r="H83" s="51"/>
      <c r="I83" s="118"/>
      <c r="J83" s="40" t="s">
        <v>90</v>
      </c>
    </row>
    <row r="84" spans="1:10" ht="18" customHeight="1" x14ac:dyDescent="0.2">
      <c r="A84" s="47"/>
      <c r="B84" s="34">
        <v>8</v>
      </c>
      <c r="C84" s="34">
        <v>8</v>
      </c>
      <c r="D84" s="34">
        <v>8</v>
      </c>
      <c r="E84" s="34">
        <v>8</v>
      </c>
      <c r="F84" s="34">
        <v>7</v>
      </c>
      <c r="G84" s="52"/>
      <c r="H84" s="53"/>
      <c r="I84" s="36">
        <f>SUM(B84:H84)</f>
        <v>39</v>
      </c>
      <c r="J84" s="49"/>
    </row>
    <row r="85" spans="1:10" ht="18" customHeight="1" x14ac:dyDescent="0.2">
      <c r="A85" s="129" t="s">
        <v>101</v>
      </c>
      <c r="B85" s="122" t="s">
        <v>92</v>
      </c>
      <c r="C85" s="128" t="s">
        <v>92</v>
      </c>
      <c r="D85" s="128" t="s">
        <v>92</v>
      </c>
      <c r="E85" s="1786" t="s">
        <v>92</v>
      </c>
      <c r="F85" s="128" t="s">
        <v>93</v>
      </c>
      <c r="G85" s="50"/>
      <c r="H85" s="51"/>
      <c r="I85" s="118"/>
      <c r="J85" s="46"/>
    </row>
    <row r="86" spans="1:10" ht="18" customHeight="1" x14ac:dyDescent="0.2">
      <c r="A86" s="131"/>
      <c r="B86" s="132">
        <v>6.5</v>
      </c>
      <c r="C86" s="132">
        <v>6.5</v>
      </c>
      <c r="D86" s="132">
        <v>6.5</v>
      </c>
      <c r="E86" s="132">
        <v>6.5</v>
      </c>
      <c r="F86" s="132">
        <v>7</v>
      </c>
      <c r="G86" s="133"/>
      <c r="H86" s="134"/>
      <c r="I86" s="36">
        <f>SUM(B86:H86)</f>
        <v>33</v>
      </c>
      <c r="J86" s="135"/>
    </row>
    <row r="87" spans="1:10" ht="18" customHeight="1" x14ac:dyDescent="0.2">
      <c r="A87" s="136" t="s">
        <v>102</v>
      </c>
      <c r="B87" s="118" t="s">
        <v>77</v>
      </c>
      <c r="C87" s="30" t="s">
        <v>77</v>
      </c>
      <c r="D87" s="118" t="s">
        <v>77</v>
      </c>
      <c r="E87" s="118" t="s">
        <v>77</v>
      </c>
      <c r="F87" s="30" t="s">
        <v>16</v>
      </c>
      <c r="G87" s="118"/>
      <c r="H87" s="30" t="s">
        <v>22</v>
      </c>
      <c r="I87" s="118"/>
      <c r="J87" s="46"/>
    </row>
    <row r="88" spans="1:10" ht="18" customHeight="1" x14ac:dyDescent="0.2">
      <c r="A88" s="16"/>
      <c r="B88" s="17">
        <v>7</v>
      </c>
      <c r="C88" s="17">
        <v>7</v>
      </c>
      <c r="D88" s="17">
        <v>7</v>
      </c>
      <c r="E88" s="17">
        <v>7</v>
      </c>
      <c r="F88" s="34">
        <v>7.4</v>
      </c>
      <c r="G88" s="137"/>
      <c r="H88" s="36">
        <v>8</v>
      </c>
      <c r="I88" s="36">
        <f>SUM(B88:H88)</f>
        <v>43.4</v>
      </c>
      <c r="J88" s="49"/>
    </row>
    <row r="89" spans="1:10" ht="18" customHeight="1" x14ac:dyDescent="0.2">
      <c r="A89" s="58" t="s">
        <v>30</v>
      </c>
      <c r="B89" s="58">
        <f t="shared" ref="B89:I89" si="4">SUM(B78,B80,B82,B84,B86,B88)</f>
        <v>43</v>
      </c>
      <c r="C89" s="58">
        <f t="shared" si="4"/>
        <v>40</v>
      </c>
      <c r="D89" s="58">
        <f t="shared" si="4"/>
        <v>43</v>
      </c>
      <c r="E89" s="58">
        <f t="shared" si="4"/>
        <v>43</v>
      </c>
      <c r="F89" s="58">
        <f t="shared" si="4"/>
        <v>41.65</v>
      </c>
      <c r="G89" s="58">
        <f t="shared" si="4"/>
        <v>6.5</v>
      </c>
      <c r="H89" s="58">
        <f t="shared" si="4"/>
        <v>8</v>
      </c>
      <c r="I89" s="70">
        <f t="shared" si="4"/>
        <v>225.15</v>
      </c>
      <c r="J89" s="59"/>
    </row>
    <row r="90" spans="1:10" ht="18" customHeight="1" x14ac:dyDescent="0.2">
      <c r="A90" s="1" t="s">
        <v>103</v>
      </c>
      <c r="B90" s="72"/>
      <c r="C90" s="72"/>
      <c r="D90" s="72"/>
      <c r="E90" s="72"/>
      <c r="F90" s="72"/>
    </row>
    <row r="91" spans="1:10" ht="18" customHeight="1" x14ac:dyDescent="0.2">
      <c r="A91" s="61" t="s">
        <v>104</v>
      </c>
      <c r="B91" s="62" t="s">
        <v>2</v>
      </c>
      <c r="C91" s="63" t="s">
        <v>3</v>
      </c>
      <c r="D91" s="63" t="s">
        <v>4</v>
      </c>
      <c r="E91" s="63" t="s">
        <v>5</v>
      </c>
      <c r="F91" s="63" t="s">
        <v>6</v>
      </c>
      <c r="G91" s="63" t="s">
        <v>7</v>
      </c>
      <c r="H91" s="64" t="s">
        <v>8</v>
      </c>
      <c r="I91" s="65" t="s">
        <v>9</v>
      </c>
      <c r="J91" s="66" t="s">
        <v>10</v>
      </c>
    </row>
    <row r="92" spans="1:10" ht="18" customHeight="1" x14ac:dyDescent="0.2">
      <c r="A92" s="41" t="s">
        <v>105</v>
      </c>
      <c r="B92" s="118" t="s">
        <v>89</v>
      </c>
      <c r="C92" s="118" t="s">
        <v>89</v>
      </c>
      <c r="D92" s="118" t="s">
        <v>89</v>
      </c>
      <c r="E92" s="118" t="s">
        <v>89</v>
      </c>
      <c r="F92" s="118" t="s">
        <v>77</v>
      </c>
      <c r="G92" s="5"/>
      <c r="H92" s="119"/>
      <c r="I92" s="118"/>
      <c r="J92" s="32"/>
    </row>
    <row r="93" spans="1:10" ht="18" customHeight="1" x14ac:dyDescent="0.2">
      <c r="A93" s="120"/>
      <c r="B93" s="17">
        <v>7.5</v>
      </c>
      <c r="C93" s="17">
        <v>7.5</v>
      </c>
      <c r="D93" s="17">
        <v>7.5</v>
      </c>
      <c r="E93" s="17">
        <v>7.5</v>
      </c>
      <c r="F93" s="18">
        <v>7</v>
      </c>
      <c r="G93" s="19"/>
      <c r="H93" s="20"/>
      <c r="I93" s="36">
        <f>SUM(B93:H93)</f>
        <v>37</v>
      </c>
      <c r="J93" s="37"/>
    </row>
    <row r="94" spans="1:10" ht="18" customHeight="1" x14ac:dyDescent="0.2">
      <c r="A94" s="129" t="s">
        <v>106</v>
      </c>
      <c r="B94" s="128" t="s">
        <v>107</v>
      </c>
      <c r="C94" s="128" t="s">
        <v>107</v>
      </c>
      <c r="D94" s="128" t="s">
        <v>107</v>
      </c>
      <c r="E94" s="128" t="s">
        <v>107</v>
      </c>
      <c r="F94" s="128" t="s">
        <v>80</v>
      </c>
      <c r="G94" s="12"/>
      <c r="H94" s="13"/>
      <c r="I94" s="122"/>
      <c r="J94" s="40"/>
    </row>
    <row r="95" spans="1:10" ht="18" customHeight="1" x14ac:dyDescent="0.2">
      <c r="A95" s="123"/>
      <c r="B95" s="124">
        <v>7.5</v>
      </c>
      <c r="C95" s="124">
        <v>7.5</v>
      </c>
      <c r="D95" s="124">
        <v>7.5</v>
      </c>
      <c r="E95" s="124">
        <v>7.5</v>
      </c>
      <c r="F95" s="125">
        <v>6</v>
      </c>
      <c r="G95" s="126"/>
      <c r="H95" s="127"/>
      <c r="I95" s="36">
        <f>SUM(B95:H95)</f>
        <v>36</v>
      </c>
      <c r="J95" s="85"/>
    </row>
    <row r="96" spans="1:10" ht="18" customHeight="1" x14ac:dyDescent="0.2">
      <c r="A96" s="29" t="s">
        <v>108</v>
      </c>
      <c r="B96" s="118" t="s">
        <v>109</v>
      </c>
      <c r="C96" s="118" t="s">
        <v>109</v>
      </c>
      <c r="D96" s="118" t="s">
        <v>109</v>
      </c>
      <c r="E96" s="118" t="s">
        <v>109</v>
      </c>
      <c r="F96" s="118" t="s">
        <v>110</v>
      </c>
      <c r="G96" s="118"/>
      <c r="H96" s="118"/>
      <c r="I96" s="118"/>
      <c r="J96" s="32"/>
    </row>
    <row r="97" spans="1:10" ht="18" customHeight="1" x14ac:dyDescent="0.2">
      <c r="A97" s="16"/>
      <c r="B97" s="17">
        <v>7.5</v>
      </c>
      <c r="C97" s="17">
        <v>7.5</v>
      </c>
      <c r="D97" s="17">
        <v>7.5</v>
      </c>
      <c r="E97" s="17">
        <v>7.5</v>
      </c>
      <c r="F97" s="18">
        <v>6</v>
      </c>
      <c r="G97" s="18"/>
      <c r="H97" s="35"/>
      <c r="I97" s="36">
        <f>SUM(B97:H97)</f>
        <v>36</v>
      </c>
      <c r="J97" s="37"/>
    </row>
    <row r="98" spans="1:10" ht="18" customHeight="1" x14ac:dyDescent="0.2">
      <c r="A98" s="58" t="s">
        <v>30</v>
      </c>
      <c r="B98" s="58">
        <f t="shared" ref="B98:I98" si="5">SUM(B93,B95,B97)</f>
        <v>22.5</v>
      </c>
      <c r="C98" s="58">
        <f t="shared" si="5"/>
        <v>22.5</v>
      </c>
      <c r="D98" s="58">
        <f t="shared" si="5"/>
        <v>22.5</v>
      </c>
      <c r="E98" s="58">
        <f t="shared" si="5"/>
        <v>22.5</v>
      </c>
      <c r="F98" s="58">
        <f t="shared" si="5"/>
        <v>19</v>
      </c>
      <c r="G98" s="58">
        <f t="shared" si="5"/>
        <v>0</v>
      </c>
      <c r="H98" s="58">
        <f t="shared" si="5"/>
        <v>0</v>
      </c>
      <c r="I98" s="70">
        <f t="shared" si="5"/>
        <v>109</v>
      </c>
      <c r="J98" s="71"/>
    </row>
    <row r="99" spans="1:10" ht="18" customHeight="1" x14ac:dyDescent="0.2">
      <c r="A99" s="1" t="s">
        <v>111</v>
      </c>
      <c r="B99" s="72"/>
      <c r="C99" s="72"/>
      <c r="D99" s="72"/>
      <c r="E99" s="72"/>
      <c r="F99" s="72"/>
    </row>
    <row r="100" spans="1:10" ht="18" customHeight="1" x14ac:dyDescent="0.2">
      <c r="A100" s="23" t="s">
        <v>32</v>
      </c>
      <c r="B100" s="24" t="s">
        <v>2</v>
      </c>
      <c r="C100" s="25" t="s">
        <v>3</v>
      </c>
      <c r="D100" s="25" t="s">
        <v>4</v>
      </c>
      <c r="E100" s="25" t="s">
        <v>5</v>
      </c>
      <c r="F100" s="25" t="s">
        <v>6</v>
      </c>
      <c r="G100" s="25" t="s">
        <v>7</v>
      </c>
      <c r="H100" s="26" t="s">
        <v>8</v>
      </c>
      <c r="I100" s="27" t="s">
        <v>9</v>
      </c>
      <c r="J100" s="28" t="s">
        <v>10</v>
      </c>
    </row>
    <row r="101" spans="1:10" ht="18" customHeight="1" x14ac:dyDescent="0.2">
      <c r="A101" s="3"/>
      <c r="B101" s="30" t="s">
        <v>33</v>
      </c>
      <c r="C101" s="30" t="s">
        <v>33</v>
      </c>
      <c r="D101" s="30" t="s">
        <v>33</v>
      </c>
      <c r="E101" s="30" t="s">
        <v>33</v>
      </c>
      <c r="F101" s="30" t="s">
        <v>34</v>
      </c>
      <c r="G101" s="5"/>
      <c r="H101" s="119"/>
      <c r="I101" s="7"/>
      <c r="J101" s="8"/>
    </row>
    <row r="102" spans="1:10" ht="18" customHeight="1" x14ac:dyDescent="0.2">
      <c r="A102" s="16" t="s">
        <v>112</v>
      </c>
      <c r="B102" s="17">
        <v>7.75</v>
      </c>
      <c r="C102" s="17">
        <v>7.75</v>
      </c>
      <c r="D102" s="17">
        <v>7.75</v>
      </c>
      <c r="E102" s="17">
        <v>7.75</v>
      </c>
      <c r="F102" s="17">
        <v>6</v>
      </c>
      <c r="G102" s="19"/>
      <c r="H102" s="20"/>
      <c r="I102" s="21">
        <f>SUM(B102:H102)</f>
        <v>37</v>
      </c>
      <c r="J102" s="22"/>
    </row>
    <row r="103" spans="1:10" ht="18" customHeight="1" x14ac:dyDescent="0.2"/>
    <row r="104" spans="1:10" ht="18" customHeight="1" x14ac:dyDescent="0.2">
      <c r="A104" s="1" t="s">
        <v>113</v>
      </c>
      <c r="B104" s="72"/>
      <c r="C104" s="72"/>
      <c r="D104" s="72"/>
      <c r="E104" s="72"/>
      <c r="F104" s="72"/>
    </row>
    <row r="105" spans="1:10" ht="18" customHeight="1" x14ac:dyDescent="0.2">
      <c r="A105" s="23" t="s">
        <v>114</v>
      </c>
      <c r="B105" s="24" t="s">
        <v>2</v>
      </c>
      <c r="C105" s="25" t="s">
        <v>3</v>
      </c>
      <c r="D105" s="25" t="s">
        <v>4</v>
      </c>
      <c r="E105" s="25" t="s">
        <v>5</v>
      </c>
      <c r="F105" s="25" t="s">
        <v>6</v>
      </c>
      <c r="G105" s="25" t="s">
        <v>7</v>
      </c>
      <c r="H105" s="26" t="s">
        <v>8</v>
      </c>
      <c r="I105" s="27" t="s">
        <v>9</v>
      </c>
      <c r="J105" s="28" t="s">
        <v>10</v>
      </c>
    </row>
    <row r="106" spans="1:10" ht="18" customHeight="1" x14ac:dyDescent="0.2">
      <c r="A106" s="3"/>
      <c r="B106" s="30" t="s">
        <v>115</v>
      </c>
      <c r="C106" s="30" t="s">
        <v>115</v>
      </c>
      <c r="D106" s="30" t="s">
        <v>22</v>
      </c>
      <c r="E106" s="30" t="s">
        <v>22</v>
      </c>
      <c r="F106" s="30" t="s">
        <v>116</v>
      </c>
      <c r="G106" s="31"/>
      <c r="H106" s="42"/>
      <c r="I106" s="7"/>
      <c r="J106" s="32"/>
    </row>
    <row r="107" spans="1:10" ht="18" customHeight="1" x14ac:dyDescent="0.2">
      <c r="A107" s="16" t="s">
        <v>117</v>
      </c>
      <c r="B107" s="17">
        <v>7.5</v>
      </c>
      <c r="C107" s="18">
        <v>7.5</v>
      </c>
      <c r="D107" s="18">
        <v>8</v>
      </c>
      <c r="E107" s="18">
        <v>8</v>
      </c>
      <c r="F107" s="18">
        <v>6</v>
      </c>
      <c r="G107" s="18"/>
      <c r="H107" s="35"/>
      <c r="I107" s="21">
        <f>SUM(B107:H107)</f>
        <v>37</v>
      </c>
      <c r="J107" s="37"/>
    </row>
    <row r="108" spans="1:10" ht="18" customHeight="1" x14ac:dyDescent="0.2"/>
    <row r="109" spans="1:10" ht="18" customHeight="1" x14ac:dyDescent="0.2">
      <c r="A109" s="1" t="s">
        <v>118</v>
      </c>
      <c r="B109" s="72"/>
      <c r="C109" s="72"/>
      <c r="D109" s="72"/>
      <c r="E109" s="72"/>
      <c r="F109" s="72"/>
    </row>
    <row r="110" spans="1:10" ht="18" customHeight="1" x14ac:dyDescent="0.2">
      <c r="A110" s="23" t="s">
        <v>32</v>
      </c>
      <c r="B110" s="24" t="s">
        <v>2</v>
      </c>
      <c r="C110" s="25" t="s">
        <v>3</v>
      </c>
      <c r="D110" s="25" t="s">
        <v>4</v>
      </c>
      <c r="E110" s="25" t="s">
        <v>5</v>
      </c>
      <c r="F110" s="25" t="s">
        <v>6</v>
      </c>
      <c r="G110" s="25" t="s">
        <v>7</v>
      </c>
      <c r="H110" s="26" t="s">
        <v>8</v>
      </c>
      <c r="I110" s="27" t="s">
        <v>9</v>
      </c>
      <c r="J110" s="28" t="s">
        <v>10</v>
      </c>
    </row>
    <row r="111" spans="1:10" ht="18" customHeight="1" x14ac:dyDescent="0.2">
      <c r="A111" s="41"/>
      <c r="B111" s="30" t="s">
        <v>33</v>
      </c>
      <c r="C111" s="30" t="s">
        <v>33</v>
      </c>
      <c r="D111" s="30" t="s">
        <v>33</v>
      </c>
      <c r="E111" s="30" t="s">
        <v>33</v>
      </c>
      <c r="F111" s="30" t="s">
        <v>34</v>
      </c>
      <c r="G111" s="31"/>
      <c r="H111" s="42"/>
      <c r="I111" s="7"/>
      <c r="J111" s="32"/>
    </row>
    <row r="112" spans="1:10" ht="18" customHeight="1" x14ac:dyDescent="0.2">
      <c r="A112" s="16" t="s">
        <v>119</v>
      </c>
      <c r="B112" s="17">
        <v>7.75</v>
      </c>
      <c r="C112" s="17">
        <v>7.75</v>
      </c>
      <c r="D112" s="17">
        <v>7.75</v>
      </c>
      <c r="E112" s="17">
        <v>7.75</v>
      </c>
      <c r="F112" s="17">
        <v>6</v>
      </c>
      <c r="G112" s="18"/>
      <c r="H112" s="35"/>
      <c r="I112" s="36">
        <f>SUM(B112:H112)</f>
        <v>37</v>
      </c>
      <c r="J112" s="37"/>
    </row>
    <row r="113" spans="1:10" ht="18" customHeight="1" x14ac:dyDescent="0.2">
      <c r="A113" s="41"/>
      <c r="B113" s="30" t="s">
        <v>33</v>
      </c>
      <c r="C113" s="30" t="s">
        <v>33</v>
      </c>
      <c r="D113" s="30" t="s">
        <v>33</v>
      </c>
      <c r="E113" s="30" t="s">
        <v>33</v>
      </c>
      <c r="F113" s="30" t="s">
        <v>34</v>
      </c>
      <c r="G113" s="31"/>
      <c r="H113" s="42"/>
      <c r="I113" s="7"/>
      <c r="J113" s="32"/>
    </row>
    <row r="114" spans="1:10" ht="18" customHeight="1" x14ac:dyDescent="0.2">
      <c r="A114" s="16" t="s">
        <v>120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8"/>
      <c r="H114" s="35"/>
      <c r="I114" s="36">
        <f>SUM(B114:H114)</f>
        <v>37</v>
      </c>
      <c r="J114" s="37"/>
    </row>
    <row r="115" spans="1:10" ht="18" customHeight="1" x14ac:dyDescent="0.2">
      <c r="A115" s="41"/>
      <c r="B115" s="30" t="s">
        <v>33</v>
      </c>
      <c r="C115" s="30" t="s">
        <v>33</v>
      </c>
      <c r="D115" s="30" t="s">
        <v>33</v>
      </c>
      <c r="E115" s="30" t="s">
        <v>33</v>
      </c>
      <c r="F115" s="30" t="s">
        <v>34</v>
      </c>
      <c r="G115" s="31"/>
      <c r="H115" s="42"/>
      <c r="I115" s="7"/>
      <c r="J115" s="32"/>
    </row>
    <row r="116" spans="1:10" ht="18" customHeight="1" x14ac:dyDescent="0.2">
      <c r="A116" s="16" t="s">
        <v>121</v>
      </c>
      <c r="B116" s="17">
        <v>7.75</v>
      </c>
      <c r="C116" s="17">
        <v>7.75</v>
      </c>
      <c r="D116" s="17">
        <v>7.75</v>
      </c>
      <c r="E116" s="17">
        <v>7.75</v>
      </c>
      <c r="F116" s="17">
        <v>6</v>
      </c>
      <c r="G116" s="18"/>
      <c r="H116" s="35"/>
      <c r="I116" s="36">
        <f>SUM(B116:H116)</f>
        <v>37</v>
      </c>
      <c r="J116" s="37"/>
    </row>
    <row r="117" spans="1:10" ht="18" customHeight="1" x14ac:dyDescent="0.2">
      <c r="A117" s="58" t="s">
        <v>30</v>
      </c>
      <c r="B117" s="58">
        <f t="shared" ref="B117:I117" si="6">SUM(B112,B114,B116)</f>
        <v>23.25</v>
      </c>
      <c r="C117" s="58">
        <f t="shared" si="6"/>
        <v>23.25</v>
      </c>
      <c r="D117" s="58">
        <f t="shared" si="6"/>
        <v>23.25</v>
      </c>
      <c r="E117" s="58">
        <f t="shared" si="6"/>
        <v>23.25</v>
      </c>
      <c r="F117" s="58">
        <f t="shared" si="6"/>
        <v>18</v>
      </c>
      <c r="G117" s="58">
        <f t="shared" si="6"/>
        <v>0</v>
      </c>
      <c r="H117" s="58">
        <f t="shared" si="6"/>
        <v>0</v>
      </c>
      <c r="I117" s="70">
        <f t="shared" si="6"/>
        <v>111</v>
      </c>
      <c r="J117" s="71"/>
    </row>
    <row r="118" spans="1:10" ht="18" customHeight="1" x14ac:dyDescent="0.2">
      <c r="A118" s="72"/>
      <c r="B118" s="72"/>
      <c r="C118" s="72"/>
      <c r="D118" s="72"/>
      <c r="E118" s="72"/>
      <c r="F118" s="72"/>
      <c r="G118" s="138"/>
      <c r="H118" s="138"/>
      <c r="I118" s="72"/>
      <c r="J118" s="73"/>
    </row>
    <row r="119" spans="1:10" ht="18" customHeight="1" x14ac:dyDescent="0.2">
      <c r="A119" s="1" t="s">
        <v>122</v>
      </c>
      <c r="B119" s="72"/>
      <c r="C119" s="72"/>
      <c r="D119" s="72"/>
      <c r="E119" s="72"/>
      <c r="F119" s="72"/>
    </row>
    <row r="120" spans="1:10" ht="18" customHeight="1" x14ac:dyDescent="0.2">
      <c r="A120" s="23" t="s">
        <v>123</v>
      </c>
      <c r="B120" s="24" t="s">
        <v>2</v>
      </c>
      <c r="C120" s="25" t="s">
        <v>3</v>
      </c>
      <c r="D120" s="25" t="s">
        <v>4</v>
      </c>
      <c r="E120" s="25" t="s">
        <v>5</v>
      </c>
      <c r="F120" s="25" t="s">
        <v>6</v>
      </c>
      <c r="G120" s="25" t="s">
        <v>7</v>
      </c>
      <c r="H120" s="26" t="s">
        <v>8</v>
      </c>
      <c r="I120" s="27" t="s">
        <v>9</v>
      </c>
      <c r="J120" s="28" t="s">
        <v>10</v>
      </c>
    </row>
    <row r="121" spans="1:10" ht="18" customHeight="1" x14ac:dyDescent="0.2">
      <c r="A121" s="29" t="s">
        <v>28</v>
      </c>
      <c r="B121" s="30" t="s">
        <v>124</v>
      </c>
      <c r="C121" s="30" t="s">
        <v>124</v>
      </c>
      <c r="D121" s="30" t="s">
        <v>124</v>
      </c>
      <c r="E121" s="30" t="s">
        <v>124</v>
      </c>
      <c r="F121" s="31" t="s">
        <v>125</v>
      </c>
      <c r="G121" s="31"/>
      <c r="H121" s="31"/>
      <c r="I121" s="7"/>
      <c r="J121" s="32"/>
    </row>
    <row r="122" spans="1:10" ht="18" customHeight="1" x14ac:dyDescent="0.2">
      <c r="A122" s="33" t="s">
        <v>126</v>
      </c>
      <c r="B122" s="34">
        <v>7.75</v>
      </c>
      <c r="C122" s="34">
        <v>7.75</v>
      </c>
      <c r="D122" s="34">
        <v>7.75</v>
      </c>
      <c r="E122" s="34">
        <v>7.75</v>
      </c>
      <c r="F122" s="139">
        <v>6</v>
      </c>
      <c r="G122" s="139"/>
      <c r="H122" s="139"/>
      <c r="I122" s="140">
        <f>SUM(B122:H122)</f>
        <v>37</v>
      </c>
      <c r="J122" s="141"/>
    </row>
    <row r="123" spans="1:10" ht="18" customHeight="1" x14ac:dyDescent="0.2">
      <c r="A123" s="142"/>
      <c r="B123" s="124"/>
      <c r="C123" s="124"/>
      <c r="D123" s="124"/>
      <c r="E123" s="124"/>
      <c r="F123" s="125"/>
      <c r="G123" s="125"/>
      <c r="H123" s="138"/>
      <c r="I123" s="143"/>
      <c r="J123" s="144"/>
    </row>
    <row r="124" spans="1:10" ht="18" customHeight="1" x14ac:dyDescent="0.2">
      <c r="A124" s="145" t="s">
        <v>127</v>
      </c>
      <c r="B124" s="124"/>
      <c r="C124" s="124"/>
      <c r="D124" s="124"/>
      <c r="E124" s="124"/>
      <c r="F124" s="125"/>
      <c r="G124" s="125"/>
      <c r="H124" s="138"/>
      <c r="I124" s="143"/>
      <c r="J124" s="144"/>
    </row>
    <row r="125" spans="1:10" ht="18" customHeight="1" x14ac:dyDescent="0.2">
      <c r="A125" s="61" t="s">
        <v>128</v>
      </c>
      <c r="B125" s="62" t="s">
        <v>2</v>
      </c>
      <c r="C125" s="63" t="s">
        <v>3</v>
      </c>
      <c r="D125" s="63" t="s">
        <v>4</v>
      </c>
      <c r="E125" s="63" t="s">
        <v>5</v>
      </c>
      <c r="F125" s="63" t="s">
        <v>6</v>
      </c>
      <c r="G125" s="63" t="s">
        <v>7</v>
      </c>
      <c r="H125" s="64" t="s">
        <v>8</v>
      </c>
      <c r="I125" s="65" t="s">
        <v>9</v>
      </c>
      <c r="J125" s="66" t="s">
        <v>10</v>
      </c>
    </row>
    <row r="126" spans="1:10" ht="18" customHeight="1" x14ac:dyDescent="0.2">
      <c r="A126" s="146" t="s">
        <v>28</v>
      </c>
      <c r="B126" s="10" t="s">
        <v>129</v>
      </c>
      <c r="C126" s="10" t="s">
        <v>129</v>
      </c>
      <c r="D126" s="10" t="s">
        <v>129</v>
      </c>
      <c r="E126" s="10" t="s">
        <v>129</v>
      </c>
      <c r="F126" s="11" t="s">
        <v>89</v>
      </c>
      <c r="G126" s="11"/>
      <c r="H126" s="11"/>
      <c r="I126" s="14"/>
      <c r="J126" s="40"/>
    </row>
    <row r="127" spans="1:10" ht="18" customHeight="1" x14ac:dyDescent="0.2">
      <c r="A127" s="33" t="s">
        <v>130</v>
      </c>
      <c r="B127" s="34">
        <v>7.5</v>
      </c>
      <c r="C127" s="34">
        <v>7.5</v>
      </c>
      <c r="D127" s="34">
        <v>7.5</v>
      </c>
      <c r="E127" s="34">
        <v>7.5</v>
      </c>
      <c r="F127" s="139">
        <v>7</v>
      </c>
      <c r="G127" s="139"/>
      <c r="H127" s="139"/>
      <c r="I127" s="147">
        <f>SUM(B127:H127)</f>
        <v>37</v>
      </c>
      <c r="J127" s="37" t="s">
        <v>99</v>
      </c>
    </row>
    <row r="128" spans="1:10" ht="18" customHeight="1" x14ac:dyDescent="0.2">
      <c r="A128" s="72"/>
      <c r="B128" s="72"/>
      <c r="C128" s="72"/>
      <c r="D128" s="72"/>
      <c r="E128" s="72"/>
      <c r="F128" s="138"/>
      <c r="G128" s="138"/>
      <c r="H128" s="138"/>
      <c r="I128" s="72"/>
      <c r="J128" s="73"/>
    </row>
    <row r="129" spans="1:10" ht="18" customHeight="1" x14ac:dyDescent="0.2">
      <c r="A129" s="72"/>
      <c r="B129" s="72"/>
      <c r="C129" s="72"/>
      <c r="D129" s="72"/>
      <c r="E129" s="72"/>
      <c r="F129" s="138"/>
      <c r="G129" s="138"/>
      <c r="H129" s="138"/>
      <c r="I129" s="72"/>
      <c r="J129" s="73"/>
    </row>
    <row r="130" spans="1:10" ht="18" customHeight="1" x14ac:dyDescent="0.2">
      <c r="A130" s="72"/>
      <c r="B130" s="72"/>
      <c r="C130" s="72"/>
      <c r="D130" s="72"/>
      <c r="E130" s="72"/>
      <c r="F130" s="138"/>
      <c r="G130" s="138"/>
      <c r="H130" s="138"/>
      <c r="I130" s="72"/>
      <c r="J130" s="73"/>
    </row>
    <row r="131" spans="1:10" ht="18" customHeight="1" x14ac:dyDescent="0.2">
      <c r="A131" s="72"/>
      <c r="B131" s="72"/>
      <c r="C131" s="72"/>
      <c r="D131" s="72"/>
      <c r="E131" s="72"/>
      <c r="F131" s="138"/>
      <c r="G131" s="138"/>
      <c r="H131" s="138"/>
      <c r="I131" s="72"/>
      <c r="J131" s="73"/>
    </row>
    <row r="132" spans="1:10" ht="18" customHeight="1" x14ac:dyDescent="0.2">
      <c r="A132" s="148" t="s">
        <v>131</v>
      </c>
      <c r="B132" s="72"/>
      <c r="C132" s="72"/>
      <c r="D132" s="72"/>
      <c r="E132" s="72"/>
      <c r="F132" s="138"/>
      <c r="G132" s="138"/>
      <c r="H132" s="138"/>
      <c r="I132" s="72"/>
      <c r="J132" s="73"/>
    </row>
    <row r="133" spans="1:10" ht="18" customHeight="1" x14ac:dyDescent="0.2">
      <c r="A133" s="123" t="s">
        <v>128</v>
      </c>
      <c r="B133" s="24" t="s">
        <v>2</v>
      </c>
      <c r="C133" s="25" t="s">
        <v>3</v>
      </c>
      <c r="D133" s="25" t="s">
        <v>4</v>
      </c>
      <c r="E133" s="25" t="s">
        <v>5</v>
      </c>
      <c r="F133" s="25" t="s">
        <v>6</v>
      </c>
      <c r="G133" s="25" t="s">
        <v>7</v>
      </c>
      <c r="H133" s="26" t="s">
        <v>8</v>
      </c>
      <c r="I133" s="27" t="s">
        <v>9</v>
      </c>
      <c r="J133" s="28" t="s">
        <v>10</v>
      </c>
    </row>
    <row r="134" spans="1:10" ht="18" customHeight="1" x14ac:dyDescent="0.2">
      <c r="A134" s="29" t="s">
        <v>28</v>
      </c>
      <c r="B134" s="30" t="s">
        <v>129</v>
      </c>
      <c r="C134" s="30" t="s">
        <v>129</v>
      </c>
      <c r="D134" s="30" t="s">
        <v>129</v>
      </c>
      <c r="E134" s="30" t="s">
        <v>129</v>
      </c>
      <c r="F134" s="31" t="s">
        <v>89</v>
      </c>
      <c r="G134" s="31"/>
      <c r="H134" s="31"/>
      <c r="I134" s="7"/>
      <c r="J134" s="32"/>
    </row>
    <row r="135" spans="1:10" ht="18" customHeight="1" x14ac:dyDescent="0.2">
      <c r="A135" s="33" t="s">
        <v>132</v>
      </c>
      <c r="B135" s="34">
        <v>7.5</v>
      </c>
      <c r="C135" s="34">
        <v>7.5</v>
      </c>
      <c r="D135" s="34">
        <v>7.5</v>
      </c>
      <c r="E135" s="34">
        <v>7.5</v>
      </c>
      <c r="F135" s="139">
        <v>7</v>
      </c>
      <c r="G135" s="139"/>
      <c r="H135" s="139"/>
      <c r="I135" s="34">
        <f>SUM(B135:H135)</f>
        <v>37</v>
      </c>
      <c r="J135" s="37" t="s">
        <v>99</v>
      </c>
    </row>
    <row r="136" spans="1:10" ht="18" customHeight="1" x14ac:dyDescent="0.2">
      <c r="A136" s="29" t="s">
        <v>28</v>
      </c>
      <c r="B136" s="30" t="s">
        <v>129</v>
      </c>
      <c r="C136" s="30" t="s">
        <v>129</v>
      </c>
      <c r="D136" s="30" t="s">
        <v>129</v>
      </c>
      <c r="E136" s="30" t="s">
        <v>129</v>
      </c>
      <c r="F136" s="31" t="s">
        <v>89</v>
      </c>
      <c r="G136" s="31"/>
      <c r="H136" s="31"/>
      <c r="I136" s="7"/>
      <c r="J136" s="32"/>
    </row>
    <row r="137" spans="1:10" ht="18" customHeight="1" x14ac:dyDescent="0.2">
      <c r="A137" s="33" t="s">
        <v>133</v>
      </c>
      <c r="B137" s="34">
        <v>7.5</v>
      </c>
      <c r="C137" s="34">
        <v>7.5</v>
      </c>
      <c r="D137" s="34">
        <v>7.5</v>
      </c>
      <c r="E137" s="34">
        <v>7.5</v>
      </c>
      <c r="F137" s="139">
        <v>7</v>
      </c>
      <c r="G137" s="139"/>
      <c r="H137" s="139"/>
      <c r="I137" s="34">
        <f>SUM(B137:H137)</f>
        <v>37</v>
      </c>
      <c r="J137" s="37" t="s">
        <v>99</v>
      </c>
    </row>
    <row r="138" spans="1:10" ht="18" customHeight="1" x14ac:dyDescent="0.2">
      <c r="A138" s="29" t="s">
        <v>28</v>
      </c>
      <c r="B138" s="30" t="s">
        <v>129</v>
      </c>
      <c r="C138" s="30" t="s">
        <v>129</v>
      </c>
      <c r="D138" s="30" t="s">
        <v>129</v>
      </c>
      <c r="E138" s="30" t="s">
        <v>129</v>
      </c>
      <c r="F138" s="31" t="s">
        <v>89</v>
      </c>
      <c r="G138" s="31"/>
      <c r="H138" s="31"/>
      <c r="I138" s="7"/>
      <c r="J138" s="32"/>
    </row>
    <row r="139" spans="1:10" ht="18" customHeight="1" x14ac:dyDescent="0.2">
      <c r="A139" s="33" t="s">
        <v>134</v>
      </c>
      <c r="B139" s="34">
        <v>7.5</v>
      </c>
      <c r="C139" s="34">
        <v>7.5</v>
      </c>
      <c r="D139" s="34">
        <v>7.5</v>
      </c>
      <c r="E139" s="34">
        <v>7.5</v>
      </c>
      <c r="F139" s="139">
        <v>7</v>
      </c>
      <c r="G139" s="139"/>
      <c r="H139" s="139"/>
      <c r="I139" s="34">
        <f>SUM(B139:H139)</f>
        <v>37</v>
      </c>
      <c r="J139" s="37" t="s">
        <v>99</v>
      </c>
    </row>
    <row r="140" spans="1:10" ht="18" customHeight="1" x14ac:dyDescent="0.2">
      <c r="A140" s="29" t="s">
        <v>28</v>
      </c>
      <c r="B140" s="30" t="s">
        <v>129</v>
      </c>
      <c r="C140" s="30" t="s">
        <v>129</v>
      </c>
      <c r="D140" s="30" t="s">
        <v>129</v>
      </c>
      <c r="E140" s="30" t="s">
        <v>129</v>
      </c>
      <c r="F140" s="31" t="s">
        <v>89</v>
      </c>
      <c r="G140" s="31"/>
      <c r="H140" s="31"/>
      <c r="I140" s="7"/>
      <c r="J140" s="32"/>
    </row>
    <row r="141" spans="1:10" ht="18" customHeight="1" x14ac:dyDescent="0.2">
      <c r="A141" s="33" t="s">
        <v>135</v>
      </c>
      <c r="B141" s="34">
        <v>7.5</v>
      </c>
      <c r="C141" s="34">
        <v>7.5</v>
      </c>
      <c r="D141" s="34">
        <v>7.5</v>
      </c>
      <c r="E141" s="34">
        <v>7.5</v>
      </c>
      <c r="F141" s="139">
        <v>7</v>
      </c>
      <c r="G141" s="139"/>
      <c r="H141" s="139"/>
      <c r="I141" s="34">
        <f>SUM(B141:H141)</f>
        <v>37</v>
      </c>
      <c r="J141" s="37" t="s">
        <v>99</v>
      </c>
    </row>
    <row r="142" spans="1:10" ht="18" customHeight="1" x14ac:dyDescent="0.2">
      <c r="A142" s="29" t="s">
        <v>28</v>
      </c>
      <c r="B142" s="30" t="s">
        <v>129</v>
      </c>
      <c r="C142" s="30" t="s">
        <v>129</v>
      </c>
      <c r="D142" s="30" t="s">
        <v>129</v>
      </c>
      <c r="E142" s="30" t="s">
        <v>129</v>
      </c>
      <c r="F142" s="31" t="s">
        <v>89</v>
      </c>
      <c r="G142" s="31"/>
      <c r="H142" s="31"/>
      <c r="I142" s="7"/>
      <c r="J142" s="32"/>
    </row>
    <row r="143" spans="1:10" ht="18" customHeight="1" x14ac:dyDescent="0.2">
      <c r="A143" s="33" t="s">
        <v>136</v>
      </c>
      <c r="B143" s="34">
        <v>7.5</v>
      </c>
      <c r="C143" s="34">
        <v>7.5</v>
      </c>
      <c r="D143" s="34">
        <v>7.5</v>
      </c>
      <c r="E143" s="34">
        <v>7.5</v>
      </c>
      <c r="F143" s="139">
        <v>7</v>
      </c>
      <c r="G143" s="139"/>
      <c r="H143" s="139"/>
      <c r="I143" s="34">
        <f>SUM(B143:H143)</f>
        <v>37</v>
      </c>
      <c r="J143" s="37" t="s">
        <v>99</v>
      </c>
    </row>
    <row r="144" spans="1:10" ht="18" customHeight="1" x14ac:dyDescent="0.2">
      <c r="A144" s="58" t="s">
        <v>30</v>
      </c>
      <c r="B144" s="58">
        <f t="shared" ref="B144:I144" si="7">SUM(B135,B137,B139,B141,B143)</f>
        <v>37.5</v>
      </c>
      <c r="C144" s="58">
        <f t="shared" si="7"/>
        <v>37.5</v>
      </c>
      <c r="D144" s="58">
        <f t="shared" si="7"/>
        <v>37.5</v>
      </c>
      <c r="E144" s="58">
        <f t="shared" si="7"/>
        <v>37.5</v>
      </c>
      <c r="F144" s="58">
        <f t="shared" si="7"/>
        <v>35</v>
      </c>
      <c r="G144" s="58">
        <f t="shared" si="7"/>
        <v>0</v>
      </c>
      <c r="H144" s="58">
        <f t="shared" si="7"/>
        <v>0</v>
      </c>
      <c r="I144" s="70">
        <f t="shared" si="7"/>
        <v>185</v>
      </c>
      <c r="J144" s="71"/>
    </row>
    <row r="145" spans="1:10" ht="18" customHeight="1" x14ac:dyDescent="0.2">
      <c r="A145" s="72"/>
      <c r="B145" s="72"/>
      <c r="C145" s="72"/>
      <c r="D145" s="72"/>
      <c r="E145" s="72"/>
      <c r="F145" s="138"/>
      <c r="G145" s="138"/>
      <c r="H145" s="138"/>
      <c r="I145" s="72"/>
      <c r="J145" s="73"/>
    </row>
    <row r="146" spans="1:10" ht="18" customHeight="1" x14ac:dyDescent="0.2">
      <c r="A146" s="72"/>
      <c r="B146" s="72"/>
      <c r="C146" s="72"/>
      <c r="D146" s="72"/>
      <c r="E146" s="72"/>
      <c r="F146" s="138"/>
      <c r="G146" s="138"/>
      <c r="H146" s="138"/>
      <c r="I146" s="72"/>
      <c r="J146" s="73"/>
    </row>
    <row r="147" spans="1:10" ht="20.100000000000001" customHeight="1" x14ac:dyDescent="0.2">
      <c r="B147" s="149" t="s">
        <v>2</v>
      </c>
      <c r="C147" s="63" t="s">
        <v>3</v>
      </c>
      <c r="D147" s="63" t="s">
        <v>4</v>
      </c>
      <c r="E147" s="63" t="s">
        <v>5</v>
      </c>
      <c r="F147" s="63" t="s">
        <v>6</v>
      </c>
      <c r="G147" s="63" t="s">
        <v>7</v>
      </c>
      <c r="H147" s="150" t="s">
        <v>8</v>
      </c>
      <c r="I147" s="151" t="s">
        <v>137</v>
      </c>
      <c r="J147" s="138" t="s">
        <v>28</v>
      </c>
    </row>
    <row r="148" spans="1:10" ht="20.100000000000001" customHeight="1" x14ac:dyDescent="0.2">
      <c r="A148" s="152" t="s">
        <v>138</v>
      </c>
      <c r="B148" s="10">
        <f t="shared" ref="B148:I148" si="8">SUM(B4,B20,B30,B65,B74,B89,B98,B102,B107,B117,B122,B127,B144)</f>
        <v>368.40000000000003</v>
      </c>
      <c r="C148" s="10">
        <f t="shared" si="8"/>
        <v>364</v>
      </c>
      <c r="D148" s="10">
        <f t="shared" si="8"/>
        <v>369.5</v>
      </c>
      <c r="E148" s="10">
        <f t="shared" si="8"/>
        <v>368.5</v>
      </c>
      <c r="F148" s="10">
        <f t="shared" si="8"/>
        <v>333.65</v>
      </c>
      <c r="G148" s="10">
        <f t="shared" si="8"/>
        <v>96.5</v>
      </c>
      <c r="H148" s="10">
        <f t="shared" si="8"/>
        <v>84</v>
      </c>
      <c r="I148" s="10">
        <f t="shared" si="8"/>
        <v>1984.55</v>
      </c>
      <c r="J148" s="143" t="s">
        <v>28</v>
      </c>
    </row>
    <row r="149" spans="1:10" ht="20.100000000000001" customHeight="1" x14ac:dyDescent="0.2">
      <c r="A149" s="152" t="s">
        <v>139</v>
      </c>
      <c r="B149" s="1786">
        <f>SUM(G148)*4</f>
        <v>386</v>
      </c>
      <c r="C149" s="1786">
        <f>SUM(G148)*1</f>
        <v>96.5</v>
      </c>
      <c r="D149" s="1786">
        <f>SUM(G148)*0</f>
        <v>0</v>
      </c>
      <c r="E149" s="1786">
        <f>SUM(G148)*2</f>
        <v>193</v>
      </c>
      <c r="F149" s="1786">
        <f>SUM(G148)*2</f>
        <v>193</v>
      </c>
      <c r="G149" s="1786">
        <f>SUM(G148)*0</f>
        <v>0</v>
      </c>
      <c r="H149" s="1786">
        <f>SUM(G148)*0</f>
        <v>0</v>
      </c>
      <c r="I149" s="10">
        <f>SUM(B149:H149)</f>
        <v>868.5</v>
      </c>
    </row>
    <row r="150" spans="1:10" ht="20.100000000000001" customHeight="1" x14ac:dyDescent="0.2">
      <c r="A150" s="152" t="s">
        <v>140</v>
      </c>
      <c r="B150" s="10">
        <f>SUM(B148*48)+B149</f>
        <v>18069.2</v>
      </c>
      <c r="C150" s="10">
        <f>SUM(C148*51)+C149</f>
        <v>18660.5</v>
      </c>
      <c r="D150" s="10">
        <f>SUM(D148*52)+D149</f>
        <v>19214</v>
      </c>
      <c r="E150" s="10">
        <f>SUM(E148*52)+E149</f>
        <v>19355</v>
      </c>
      <c r="F150" s="10">
        <f>SUM(F148*52)+F149</f>
        <v>17542.8</v>
      </c>
      <c r="G150" s="10">
        <f>SUM(G148*52)+G149</f>
        <v>5018</v>
      </c>
      <c r="H150" s="10">
        <f>SUM(H148*52)+H149</f>
        <v>4368</v>
      </c>
      <c r="I150" s="153">
        <f>SUM(B150:H150)</f>
        <v>102227.5</v>
      </c>
    </row>
    <row r="151" spans="1:10" ht="20.100000000000001" customHeight="1" x14ac:dyDescent="0.2"/>
    <row r="152" spans="1:10" ht="20.100000000000001" customHeight="1" x14ac:dyDescent="0.2"/>
    <row r="153" spans="1:10" ht="20.100000000000001" customHeight="1" x14ac:dyDescent="0.2">
      <c r="A153" s="152" t="s">
        <v>141</v>
      </c>
      <c r="B153" s="152"/>
      <c r="C153" s="152"/>
      <c r="D153" s="152"/>
      <c r="E153" s="1786">
        <v>56</v>
      </c>
      <c r="F153" s="152"/>
      <c r="G153" s="152"/>
      <c r="H153" s="154"/>
      <c r="I153" s="155">
        <f>SUM(E153)*52</f>
        <v>2912</v>
      </c>
    </row>
    <row r="154" spans="1:10" ht="20.100000000000001" customHeight="1" x14ac:dyDescent="0.2">
      <c r="A154" s="156" t="s">
        <v>142</v>
      </c>
      <c r="B154" s="156"/>
      <c r="C154" s="156"/>
      <c r="D154" s="156"/>
      <c r="E154" s="156"/>
      <c r="F154" s="156"/>
      <c r="G154" s="156"/>
      <c r="H154" s="156"/>
      <c r="I154" s="155">
        <f>SUM(I153*2)</f>
        <v>5824</v>
      </c>
    </row>
    <row r="155" spans="1:10" ht="20.100000000000001" customHeight="1" x14ac:dyDescent="0.2">
      <c r="A155" s="152" t="s">
        <v>143</v>
      </c>
      <c r="B155" s="152"/>
      <c r="C155" s="154"/>
      <c r="D155" s="156"/>
      <c r="E155" s="156"/>
      <c r="F155" s="156"/>
      <c r="G155" s="156"/>
      <c r="H155" s="156"/>
      <c r="I155" s="155">
        <f>48*12</f>
        <v>576</v>
      </c>
    </row>
    <row r="156" spans="1:10" ht="20.100000000000001" customHeight="1" x14ac:dyDescent="0.2">
      <c r="A156" s="157" t="s">
        <v>137</v>
      </c>
      <c r="B156" s="157"/>
      <c r="C156" s="157"/>
      <c r="D156" s="157"/>
      <c r="E156" s="157"/>
      <c r="F156" s="157"/>
      <c r="G156" s="157"/>
      <c r="H156" s="157"/>
      <c r="I156" s="158">
        <f>SUM(I153:I155)</f>
        <v>9312</v>
      </c>
    </row>
    <row r="157" spans="1:10" ht="20.100000000000001" customHeight="1" x14ac:dyDescent="0.2">
      <c r="I157" s="159"/>
    </row>
    <row r="158" spans="1:10" ht="20.100000000000001" customHeight="1" x14ac:dyDescent="0.2">
      <c r="I158" s="159"/>
    </row>
    <row r="159" spans="1:10" ht="20.100000000000001" customHeight="1" x14ac:dyDescent="0.2">
      <c r="A159" s="157" t="s">
        <v>144</v>
      </c>
      <c r="B159" s="157"/>
      <c r="C159" s="157"/>
      <c r="D159" s="157"/>
      <c r="E159" s="157"/>
      <c r="F159" s="157"/>
      <c r="G159" s="157"/>
      <c r="H159" s="157"/>
      <c r="I159" s="160">
        <f>SUM(I150:I156)</f>
        <v>120851.5</v>
      </c>
      <c r="J159" t="s">
        <v>145</v>
      </c>
    </row>
    <row r="160" spans="1:10" ht="20.100000000000001" customHeight="1" x14ac:dyDescent="0.2"/>
  </sheetData>
  <sheetProtection sheet="1"/>
  <phoneticPr fontId="7" type="noConversion"/>
  <pageMargins left="0" right="0" top="0.39305555555555555" bottom="0.19652777777777777" header="0.19652777777777777" footer="0.51180555555555551"/>
  <pageSetup paperSize="9" scale="95" firstPageNumber="0" pageOrder="overThenDown" orientation="landscape" horizontalDpi="300" verticalDpi="300" r:id="rId1"/>
  <headerFooter alignWithMargins="0">
    <oddHeader>&amp;C&amp;"Arial,fed"Vagtplans nøgler&amp;ROpdateret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297"/>
  <sheetViews>
    <sheetView topLeftCell="A181" zoomScale="67" zoomScaleNormal="67" workbookViewId="0">
      <selection activeCell="AJ25" sqref="AJ25"/>
    </sheetView>
  </sheetViews>
  <sheetFormatPr defaultRowHeight="12.75" x14ac:dyDescent="0.2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7" width="13.28515625" customWidth="1"/>
    <col min="8" max="8" width="13.140625" customWidth="1"/>
    <col min="9" max="9" width="12.5703125" customWidth="1"/>
    <col min="10" max="10" width="26" customWidth="1"/>
  </cols>
  <sheetData>
    <row r="1" spans="1:10" ht="20.100000000000001" customHeight="1" x14ac:dyDescent="0.35">
      <c r="A1" s="1" t="s">
        <v>0</v>
      </c>
      <c r="B1" s="1"/>
      <c r="D1" s="2"/>
      <c r="E1" s="2"/>
    </row>
    <row r="2" spans="1:10" ht="20.100000000000001" customHeight="1" x14ac:dyDescent="0.2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0" ht="20.100000000000001" customHeight="1" x14ac:dyDescent="0.2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0" ht="20.100000000000001" customHeight="1" x14ac:dyDescent="0.2">
      <c r="A4" s="142" t="s">
        <v>13</v>
      </c>
      <c r="B4" s="124">
        <v>7.75</v>
      </c>
      <c r="C4" s="124">
        <v>7.75</v>
      </c>
      <c r="D4" s="124">
        <v>7.75</v>
      </c>
      <c r="E4" s="124">
        <v>7.75</v>
      </c>
      <c r="F4" s="125">
        <v>6</v>
      </c>
      <c r="G4" s="126"/>
      <c r="H4" s="127"/>
      <c r="I4" s="143">
        <f>SUM(B4:H4)</f>
        <v>37</v>
      </c>
      <c r="J4" s="161"/>
    </row>
    <row r="5" spans="1:10" ht="20.100000000000001" customHeight="1" x14ac:dyDescent="0.2">
      <c r="A5" s="162" t="s">
        <v>149</v>
      </c>
      <c r="B5" s="163" t="s">
        <v>150</v>
      </c>
      <c r="C5" s="163" t="s">
        <v>150</v>
      </c>
      <c r="D5" s="163" t="s">
        <v>150</v>
      </c>
      <c r="E5" s="163" t="s">
        <v>150</v>
      </c>
      <c r="F5" s="163" t="s">
        <v>151</v>
      </c>
      <c r="G5" s="164"/>
      <c r="H5" s="164"/>
      <c r="I5" s="34"/>
      <c r="J5" s="165"/>
    </row>
    <row r="6" spans="1:10" ht="20.100000000000001" customHeight="1" x14ac:dyDescent="0.2">
      <c r="A6" s="72"/>
      <c r="E6" s="72"/>
      <c r="F6" s="138"/>
      <c r="G6" s="166" t="s">
        <v>152</v>
      </c>
      <c r="H6" s="166" t="s">
        <v>153</v>
      </c>
      <c r="I6" s="166" t="s">
        <v>154</v>
      </c>
      <c r="J6" s="167"/>
    </row>
    <row r="7" spans="1:10" ht="20.100000000000001" customHeight="1" x14ac:dyDescent="0.2">
      <c r="A7" s="72"/>
      <c r="E7" s="72"/>
      <c r="F7" s="138"/>
      <c r="G7" s="1786">
        <f>I4</f>
        <v>37</v>
      </c>
      <c r="H7" s="168">
        <f>SUM(G7*13/3)</f>
        <v>160.33333333333334</v>
      </c>
      <c r="I7" s="1786">
        <f>SUM(H7*12)</f>
        <v>1924</v>
      </c>
      <c r="J7" s="167"/>
    </row>
    <row r="8" spans="1:10" ht="20.100000000000001" customHeight="1" x14ac:dyDescent="0.35">
      <c r="A8" s="60" t="s">
        <v>155</v>
      </c>
      <c r="D8" s="2"/>
      <c r="E8" s="2"/>
    </row>
    <row r="9" spans="1:10" ht="20.100000000000001" customHeight="1" x14ac:dyDescent="0.2">
      <c r="A9" s="23" t="s">
        <v>32</v>
      </c>
      <c r="B9" s="24" t="s">
        <v>2</v>
      </c>
      <c r="C9" s="25" t="s">
        <v>3</v>
      </c>
      <c r="D9" s="25" t="s">
        <v>4</v>
      </c>
      <c r="E9" s="25" t="s">
        <v>5</v>
      </c>
      <c r="F9" s="25" t="s">
        <v>6</v>
      </c>
      <c r="G9" s="25" t="s">
        <v>7</v>
      </c>
      <c r="H9" s="26" t="s">
        <v>8</v>
      </c>
      <c r="I9" s="27" t="s">
        <v>9</v>
      </c>
      <c r="J9" s="28" t="s">
        <v>10</v>
      </c>
    </row>
    <row r="10" spans="1:10" ht="20.100000000000001" customHeight="1" x14ac:dyDescent="0.2">
      <c r="A10" s="29"/>
      <c r="B10" s="31" t="s">
        <v>33</v>
      </c>
      <c r="C10" s="31" t="s">
        <v>33</v>
      </c>
      <c r="D10" s="31" t="s">
        <v>33</v>
      </c>
      <c r="E10" s="31" t="s">
        <v>33</v>
      </c>
      <c r="F10" s="31" t="s">
        <v>34</v>
      </c>
      <c r="G10" s="31"/>
      <c r="H10" s="31"/>
      <c r="I10" s="169"/>
      <c r="J10" s="32"/>
    </row>
    <row r="11" spans="1:10" ht="20.100000000000001" customHeight="1" x14ac:dyDescent="0.2">
      <c r="A11" s="170" t="s">
        <v>156</v>
      </c>
      <c r="B11" s="171">
        <v>7.75</v>
      </c>
      <c r="C11" s="171">
        <v>7.75</v>
      </c>
      <c r="D11" s="171">
        <v>7.75</v>
      </c>
      <c r="E11" s="171">
        <v>7.75</v>
      </c>
      <c r="F11" s="171">
        <v>6</v>
      </c>
      <c r="G11" s="171"/>
      <c r="H11" s="171"/>
      <c r="I11" s="171">
        <f>SUM(B11:H11)</f>
        <v>37</v>
      </c>
      <c r="J11" s="172"/>
    </row>
    <row r="12" spans="1:10" ht="20.100000000000001" customHeight="1" x14ac:dyDescent="0.2">
      <c r="A12" s="162" t="s">
        <v>149</v>
      </c>
      <c r="B12" s="163" t="s">
        <v>157</v>
      </c>
      <c r="C12" s="163" t="s">
        <v>157</v>
      </c>
      <c r="D12" s="163" t="s">
        <v>157</v>
      </c>
      <c r="E12" s="163" t="s">
        <v>157</v>
      </c>
      <c r="F12" s="163" t="s">
        <v>158</v>
      </c>
      <c r="G12" s="139"/>
      <c r="H12" s="139"/>
      <c r="I12" s="139"/>
      <c r="J12" s="141"/>
    </row>
    <row r="13" spans="1:10" ht="20.100000000000001" customHeight="1" x14ac:dyDescent="0.2">
      <c r="A13" s="72"/>
      <c r="E13" s="72"/>
      <c r="F13" s="138"/>
      <c r="G13" s="166" t="s">
        <v>152</v>
      </c>
      <c r="H13" s="166" t="s">
        <v>153</v>
      </c>
      <c r="I13" s="166" t="s">
        <v>154</v>
      </c>
      <c r="J13" s="167"/>
    </row>
    <row r="14" spans="1:10" ht="20.100000000000001" customHeight="1" x14ac:dyDescent="0.2">
      <c r="A14" s="72"/>
      <c r="E14" s="72"/>
      <c r="F14" s="138"/>
      <c r="G14" s="1786">
        <f>I11</f>
        <v>37</v>
      </c>
      <c r="H14" s="168">
        <f>SUM(G14*13/3)</f>
        <v>160.33333333333334</v>
      </c>
      <c r="I14" s="1786">
        <f>SUM(H14*12)</f>
        <v>1924</v>
      </c>
      <c r="J14" s="167"/>
    </row>
    <row r="15" spans="1:10" ht="20.100000000000001" customHeight="1" x14ac:dyDescent="0.2">
      <c r="A15" s="72"/>
      <c r="E15" s="72"/>
      <c r="F15" s="138"/>
      <c r="G15" s="72"/>
      <c r="H15" s="173"/>
      <c r="I15" s="72"/>
      <c r="J15" s="167"/>
    </row>
    <row r="16" spans="1:10" ht="20.100000000000001" customHeight="1" x14ac:dyDescent="0.2">
      <c r="A16" s="72"/>
      <c r="E16" s="72"/>
      <c r="F16" s="138"/>
      <c r="G16" s="72"/>
      <c r="H16" s="173"/>
      <c r="I16" s="72"/>
      <c r="J16" s="167"/>
    </row>
    <row r="17" spans="1:10" ht="20.100000000000001" customHeight="1" x14ac:dyDescent="0.2">
      <c r="A17" s="72"/>
      <c r="E17" s="72"/>
      <c r="F17" s="138"/>
      <c r="G17" s="72"/>
      <c r="H17" s="173"/>
      <c r="I17" s="72"/>
      <c r="J17" s="167"/>
    </row>
    <row r="18" spans="1:10" ht="20.100000000000001" customHeight="1" x14ac:dyDescent="0.2">
      <c r="A18" s="72"/>
      <c r="E18" s="72"/>
      <c r="F18" s="138"/>
      <c r="G18" s="72"/>
      <c r="H18" s="173"/>
      <c r="I18" s="72"/>
      <c r="J18" s="167"/>
    </row>
    <row r="19" spans="1:10" ht="20.100000000000001" customHeight="1" x14ac:dyDescent="0.2">
      <c r="A19" s="72"/>
      <c r="E19" s="72"/>
      <c r="F19" s="138"/>
      <c r="G19" s="72"/>
      <c r="H19" s="173"/>
      <c r="I19" s="72"/>
      <c r="J19" s="167"/>
    </row>
    <row r="20" spans="1:10" ht="20.100000000000001" customHeight="1" x14ac:dyDescent="0.2">
      <c r="A20" s="72"/>
      <c r="E20" s="72"/>
      <c r="F20" s="138"/>
      <c r="G20" s="72"/>
      <c r="H20" s="173"/>
      <c r="I20" s="72"/>
      <c r="J20" s="167"/>
    </row>
    <row r="21" spans="1:10" ht="20.100000000000001" customHeight="1" x14ac:dyDescent="0.2">
      <c r="A21" s="72"/>
      <c r="E21" s="72"/>
      <c r="F21" s="138"/>
      <c r="G21" s="72"/>
      <c r="H21" s="173"/>
      <c r="I21" s="72"/>
      <c r="J21" s="167"/>
    </row>
    <row r="22" spans="1:10" ht="20.100000000000001" customHeight="1" x14ac:dyDescent="0.2">
      <c r="A22" s="72"/>
      <c r="E22" s="72"/>
      <c r="F22" s="138"/>
      <c r="G22" s="72"/>
      <c r="H22" s="173"/>
      <c r="I22" s="72"/>
      <c r="J22" s="167"/>
    </row>
    <row r="23" spans="1:10" ht="20.100000000000001" customHeight="1" x14ac:dyDescent="0.2">
      <c r="A23" s="72"/>
      <c r="E23" s="72"/>
      <c r="F23" s="138"/>
      <c r="G23" s="72"/>
      <c r="H23" s="173"/>
      <c r="I23" s="72"/>
      <c r="J23" s="167"/>
    </row>
    <row r="24" spans="1:10" ht="20.100000000000001" customHeight="1" x14ac:dyDescent="0.2">
      <c r="A24" s="72"/>
      <c r="E24" s="72"/>
      <c r="F24" s="138"/>
      <c r="G24" s="72"/>
      <c r="H24" s="173"/>
      <c r="I24" s="72"/>
      <c r="J24" s="167"/>
    </row>
    <row r="25" spans="1:10" ht="20.100000000000001" customHeight="1" x14ac:dyDescent="0.2">
      <c r="A25" s="72"/>
      <c r="E25" s="72"/>
      <c r="F25" s="138"/>
      <c r="G25" s="72"/>
      <c r="H25" s="173"/>
      <c r="I25" s="72"/>
      <c r="J25" s="167"/>
    </row>
    <row r="26" spans="1:10" ht="20.100000000000001" customHeight="1" x14ac:dyDescent="0.2">
      <c r="A26" s="72"/>
      <c r="E26" s="72"/>
      <c r="F26" s="138"/>
      <c r="G26" s="72"/>
      <c r="H26" s="173"/>
      <c r="I26" s="72"/>
      <c r="J26" s="167"/>
    </row>
    <row r="27" spans="1:10" ht="20.100000000000001" customHeight="1" x14ac:dyDescent="0.2">
      <c r="A27" s="72"/>
      <c r="E27" s="72"/>
      <c r="F27" s="138"/>
      <c r="G27" s="72"/>
      <c r="H27" s="173"/>
      <c r="I27" s="72"/>
      <c r="J27" s="167"/>
    </row>
    <row r="28" spans="1:10" ht="20.100000000000001" customHeight="1" x14ac:dyDescent="0.2">
      <c r="A28" s="72"/>
      <c r="E28" s="72"/>
      <c r="F28" s="138"/>
      <c r="G28" s="72"/>
      <c r="H28" s="173"/>
      <c r="I28" s="72"/>
      <c r="J28" s="167"/>
    </row>
    <row r="29" spans="1:10" ht="20.100000000000001" customHeight="1" x14ac:dyDescent="0.2">
      <c r="A29" s="72"/>
      <c r="E29" s="72"/>
      <c r="F29" s="138"/>
      <c r="G29" s="72"/>
      <c r="H29" s="173"/>
      <c r="I29" s="72"/>
      <c r="J29" s="167"/>
    </row>
    <row r="30" spans="1:10" ht="20.100000000000001" customHeight="1" x14ac:dyDescent="0.2">
      <c r="A30" s="72"/>
      <c r="E30" s="72"/>
      <c r="F30" s="138"/>
      <c r="G30" s="72"/>
      <c r="H30" s="173"/>
      <c r="I30" s="72"/>
      <c r="J30" s="167"/>
    </row>
    <row r="31" spans="1:10" ht="20.100000000000001" customHeight="1" x14ac:dyDescent="0.2">
      <c r="A31" s="72"/>
      <c r="E31" s="72"/>
      <c r="F31" s="138"/>
      <c r="G31" s="72"/>
      <c r="H31" s="173"/>
      <c r="I31" s="72"/>
      <c r="J31" s="167"/>
    </row>
    <row r="32" spans="1:10" ht="20.100000000000001" customHeight="1" x14ac:dyDescent="0.2">
      <c r="A32" s="72"/>
      <c r="E32" s="72"/>
      <c r="F32" s="138"/>
      <c r="G32" s="72"/>
      <c r="H32" s="173"/>
      <c r="I32" s="72"/>
      <c r="J32" s="167"/>
    </row>
    <row r="33" spans="1:10" ht="20.100000000000001" customHeight="1" x14ac:dyDescent="0.35">
      <c r="A33" s="1" t="s">
        <v>14</v>
      </c>
      <c r="B33" s="1"/>
      <c r="D33" s="2"/>
      <c r="E33" s="2"/>
    </row>
    <row r="34" spans="1:10" ht="18" customHeight="1" x14ac:dyDescent="0.2">
      <c r="A34" s="23" t="s">
        <v>15</v>
      </c>
      <c r="B34" s="24" t="s">
        <v>2</v>
      </c>
      <c r="C34" s="25" t="s">
        <v>3</v>
      </c>
      <c r="D34" s="25" t="s">
        <v>4</v>
      </c>
      <c r="E34" s="25" t="s">
        <v>5</v>
      </c>
      <c r="F34" s="25" t="s">
        <v>6</v>
      </c>
      <c r="G34" s="25" t="s">
        <v>7</v>
      </c>
      <c r="H34" s="26" t="s">
        <v>8</v>
      </c>
      <c r="I34" s="27" t="s">
        <v>9</v>
      </c>
      <c r="J34" s="28" t="s">
        <v>10</v>
      </c>
    </row>
    <row r="35" spans="1:10" ht="18" customHeight="1" x14ac:dyDescent="0.2">
      <c r="A35" s="174" t="s">
        <v>28</v>
      </c>
      <c r="B35" s="5" t="s">
        <v>159</v>
      </c>
      <c r="C35" s="5" t="s">
        <v>159</v>
      </c>
      <c r="D35" s="5" t="s">
        <v>159</v>
      </c>
      <c r="E35" s="5" t="s">
        <v>159</v>
      </c>
      <c r="F35" s="5" t="s">
        <v>159</v>
      </c>
      <c r="G35" s="5" t="s">
        <v>160</v>
      </c>
      <c r="H35" s="5" t="s">
        <v>160</v>
      </c>
      <c r="I35" s="169"/>
      <c r="J35" s="175" t="s">
        <v>161</v>
      </c>
    </row>
    <row r="36" spans="1:10" ht="18" customHeight="1" x14ac:dyDescent="0.2">
      <c r="A36" s="176" t="s">
        <v>162</v>
      </c>
      <c r="B36" s="177">
        <v>8.25</v>
      </c>
      <c r="C36" s="177">
        <v>8.25</v>
      </c>
      <c r="D36" s="125">
        <v>8.25</v>
      </c>
      <c r="E36" s="125">
        <v>8.25</v>
      </c>
      <c r="F36" s="125">
        <v>8.25</v>
      </c>
      <c r="G36" s="125">
        <v>12.25</v>
      </c>
      <c r="H36" s="125">
        <v>12.25</v>
      </c>
      <c r="I36" s="178">
        <f>SUM(B36:H36)</f>
        <v>65.75</v>
      </c>
      <c r="J36" s="179" t="s">
        <v>163</v>
      </c>
    </row>
    <row r="37" spans="1:10" ht="18" customHeight="1" x14ac:dyDescent="0.2">
      <c r="A37" s="180" t="s">
        <v>149</v>
      </c>
      <c r="B37" s="181" t="s">
        <v>164</v>
      </c>
      <c r="C37" s="181" t="s">
        <v>164</v>
      </c>
      <c r="D37" s="181" t="s">
        <v>164</v>
      </c>
      <c r="E37" s="181" t="s">
        <v>164</v>
      </c>
      <c r="F37" s="181" t="s">
        <v>164</v>
      </c>
      <c r="G37" s="181" t="s">
        <v>165</v>
      </c>
      <c r="H37" s="181" t="s">
        <v>166</v>
      </c>
      <c r="I37" s="177"/>
      <c r="J37" s="182"/>
    </row>
    <row r="38" spans="1:10" ht="18" customHeight="1" x14ac:dyDescent="0.2">
      <c r="A38" s="174" t="s">
        <v>28</v>
      </c>
      <c r="B38" s="30" t="s">
        <v>167</v>
      </c>
      <c r="C38" s="30" t="s">
        <v>167</v>
      </c>
      <c r="D38" s="30" t="s">
        <v>167</v>
      </c>
      <c r="E38" s="30" t="s">
        <v>167</v>
      </c>
      <c r="F38" s="30" t="s">
        <v>167</v>
      </c>
      <c r="G38" s="169"/>
      <c r="H38" s="169"/>
      <c r="I38" s="169"/>
      <c r="J38" s="183" t="s">
        <v>168</v>
      </c>
    </row>
    <row r="39" spans="1:10" ht="18" customHeight="1" x14ac:dyDescent="0.2">
      <c r="A39" s="184" t="s">
        <v>169</v>
      </c>
      <c r="B39" s="171"/>
      <c r="C39" s="171"/>
      <c r="D39" s="171"/>
      <c r="E39" s="171"/>
      <c r="F39" s="171"/>
      <c r="G39" s="185"/>
      <c r="H39" s="185"/>
      <c r="I39" s="171">
        <f>SUM(B39:H39)</f>
        <v>0</v>
      </c>
      <c r="J39" s="186" t="s">
        <v>170</v>
      </c>
    </row>
    <row r="40" spans="1:10" ht="18" customHeight="1" x14ac:dyDescent="0.2">
      <c r="A40" s="180" t="s">
        <v>149</v>
      </c>
      <c r="B40" s="181" t="s">
        <v>171</v>
      </c>
      <c r="C40" s="181" t="s">
        <v>171</v>
      </c>
      <c r="D40" s="181" t="s">
        <v>171</v>
      </c>
      <c r="E40" s="181" t="s">
        <v>171</v>
      </c>
      <c r="F40" s="181" t="s">
        <v>171</v>
      </c>
      <c r="G40" s="187"/>
      <c r="H40" s="187"/>
      <c r="I40" s="177"/>
      <c r="J40" s="182"/>
    </row>
    <row r="41" spans="1:10" ht="18" customHeight="1" x14ac:dyDescent="0.2">
      <c r="A41" s="174" t="s">
        <v>28</v>
      </c>
      <c r="B41" s="5" t="s">
        <v>172</v>
      </c>
      <c r="C41" s="5" t="s">
        <v>172</v>
      </c>
      <c r="D41" s="5" t="s">
        <v>172</v>
      </c>
      <c r="E41" s="5" t="s">
        <v>172</v>
      </c>
      <c r="F41" s="5" t="s">
        <v>172</v>
      </c>
      <c r="G41" s="188"/>
      <c r="H41" s="188"/>
      <c r="I41" s="169"/>
      <c r="J41" s="183" t="s">
        <v>173</v>
      </c>
    </row>
    <row r="42" spans="1:10" ht="18" customHeight="1" x14ac:dyDescent="0.2">
      <c r="A42" s="189" t="s">
        <v>174</v>
      </c>
      <c r="B42" s="171">
        <v>8.25</v>
      </c>
      <c r="C42" s="171">
        <v>8.25</v>
      </c>
      <c r="D42" s="171">
        <v>8.25</v>
      </c>
      <c r="E42" s="171">
        <v>8.25</v>
      </c>
      <c r="F42" s="171">
        <v>8.25</v>
      </c>
      <c r="G42" s="171"/>
      <c r="H42" s="171"/>
      <c r="I42" s="171">
        <f>SUM(B42:H42)</f>
        <v>41.25</v>
      </c>
      <c r="J42" s="186"/>
    </row>
    <row r="43" spans="1:10" ht="18" customHeight="1" x14ac:dyDescent="0.2">
      <c r="A43" s="180" t="s">
        <v>149</v>
      </c>
      <c r="B43" s="181" t="s">
        <v>175</v>
      </c>
      <c r="C43" s="181" t="s">
        <v>175</v>
      </c>
      <c r="D43" s="181" t="s">
        <v>175</v>
      </c>
      <c r="E43" s="181" t="s">
        <v>175</v>
      </c>
      <c r="F43" s="181" t="s">
        <v>175</v>
      </c>
      <c r="G43" s="177"/>
      <c r="H43" s="177"/>
      <c r="I43" s="177"/>
      <c r="J43" s="182" t="s">
        <v>176</v>
      </c>
    </row>
    <row r="44" spans="1:10" ht="18" customHeight="1" x14ac:dyDescent="0.2">
      <c r="A44" s="174" t="s">
        <v>28</v>
      </c>
      <c r="B44" s="5" t="s">
        <v>177</v>
      </c>
      <c r="C44" s="5" t="s">
        <v>177</v>
      </c>
      <c r="D44" s="5" t="s">
        <v>177</v>
      </c>
      <c r="E44" s="5" t="s">
        <v>177</v>
      </c>
      <c r="F44" s="5" t="s">
        <v>177</v>
      </c>
      <c r="G44" s="188" t="s">
        <v>178</v>
      </c>
      <c r="H44" s="188" t="s">
        <v>178</v>
      </c>
      <c r="I44" s="169"/>
      <c r="J44" s="46"/>
    </row>
    <row r="45" spans="1:10" ht="18" customHeight="1" x14ac:dyDescent="0.2">
      <c r="A45" s="184" t="s">
        <v>179</v>
      </c>
      <c r="B45" s="171">
        <v>8</v>
      </c>
      <c r="C45" s="171">
        <v>8</v>
      </c>
      <c r="D45" s="171">
        <v>8</v>
      </c>
      <c r="E45" s="171">
        <v>8</v>
      </c>
      <c r="F45" s="171">
        <v>8</v>
      </c>
      <c r="G45" s="171">
        <v>12.25</v>
      </c>
      <c r="H45" s="171">
        <v>12.25</v>
      </c>
      <c r="I45" s="171">
        <f>SUM(B45:H45)</f>
        <v>64.5</v>
      </c>
      <c r="J45" s="190"/>
    </row>
    <row r="46" spans="1:10" ht="18" customHeight="1" x14ac:dyDescent="0.2">
      <c r="A46" s="180" t="s">
        <v>149</v>
      </c>
      <c r="B46" s="181" t="s">
        <v>180</v>
      </c>
      <c r="C46" s="181" t="s">
        <v>180</v>
      </c>
      <c r="D46" s="181" t="s">
        <v>180</v>
      </c>
      <c r="E46" s="181" t="s">
        <v>180</v>
      </c>
      <c r="F46" s="181" t="s">
        <v>180</v>
      </c>
      <c r="G46" s="181" t="s">
        <v>181</v>
      </c>
      <c r="H46" s="181" t="s">
        <v>181</v>
      </c>
      <c r="I46" s="177"/>
      <c r="J46" s="135"/>
    </row>
    <row r="47" spans="1:10" ht="18" customHeight="1" x14ac:dyDescent="0.2">
      <c r="A47" s="174" t="s">
        <v>28</v>
      </c>
      <c r="B47" s="30" t="s">
        <v>167</v>
      </c>
      <c r="C47" s="30" t="s">
        <v>167</v>
      </c>
      <c r="D47" s="30" t="s">
        <v>167</v>
      </c>
      <c r="E47" s="30" t="s">
        <v>167</v>
      </c>
      <c r="F47" s="30" t="s">
        <v>167</v>
      </c>
      <c r="G47" s="191"/>
      <c r="H47" s="169"/>
      <c r="I47" s="169"/>
      <c r="J47" s="46"/>
    </row>
    <row r="48" spans="1:10" ht="18" customHeight="1" x14ac:dyDescent="0.2">
      <c r="A48" s="184" t="s">
        <v>182</v>
      </c>
      <c r="B48" s="1786"/>
      <c r="C48" s="1786"/>
      <c r="D48" s="1786"/>
      <c r="E48" s="1786"/>
      <c r="F48" s="1786"/>
      <c r="G48" s="192"/>
      <c r="H48" s="185"/>
      <c r="I48" s="171">
        <f>SUM(B48:H48)</f>
        <v>0</v>
      </c>
      <c r="J48" s="190"/>
    </row>
    <row r="49" spans="1:10" ht="18" customHeight="1" x14ac:dyDescent="0.2">
      <c r="A49" s="180" t="s">
        <v>149</v>
      </c>
      <c r="B49" s="181" t="s">
        <v>171</v>
      </c>
      <c r="C49" s="181" t="s">
        <v>171</v>
      </c>
      <c r="D49" s="181" t="s">
        <v>171</v>
      </c>
      <c r="E49" s="181" t="s">
        <v>171</v>
      </c>
      <c r="F49" s="181" t="s">
        <v>171</v>
      </c>
      <c r="G49" s="187"/>
      <c r="H49" s="187"/>
      <c r="I49" s="177" t="s">
        <v>28</v>
      </c>
      <c r="J49" s="135"/>
    </row>
    <row r="50" spans="1:10" ht="18" customHeight="1" x14ac:dyDescent="0.2">
      <c r="A50" s="174" t="s">
        <v>28</v>
      </c>
      <c r="B50" s="5" t="s">
        <v>183</v>
      </c>
      <c r="C50" s="5" t="s">
        <v>183</v>
      </c>
      <c r="D50" s="5" t="s">
        <v>183</v>
      </c>
      <c r="E50" s="5" t="s">
        <v>183</v>
      </c>
      <c r="F50" s="5" t="s">
        <v>183</v>
      </c>
      <c r="G50" s="169"/>
      <c r="H50" s="169"/>
      <c r="I50" s="169"/>
      <c r="J50" s="46"/>
    </row>
    <row r="51" spans="1:10" ht="18" customHeight="1" x14ac:dyDescent="0.2">
      <c r="A51" s="184" t="s">
        <v>184</v>
      </c>
      <c r="B51" s="171">
        <v>7.25</v>
      </c>
      <c r="C51" s="171">
        <v>7.25</v>
      </c>
      <c r="D51" s="171">
        <v>7.25</v>
      </c>
      <c r="E51" s="171">
        <v>7.25</v>
      </c>
      <c r="F51" s="171">
        <v>7.25</v>
      </c>
      <c r="G51" s="185"/>
      <c r="H51" s="192"/>
      <c r="I51" s="171">
        <f>SUM(B51:H51)</f>
        <v>36.25</v>
      </c>
      <c r="J51" s="190"/>
    </row>
    <row r="52" spans="1:10" ht="18" customHeight="1" x14ac:dyDescent="0.2">
      <c r="A52" s="162" t="s">
        <v>149</v>
      </c>
      <c r="B52" s="164" t="s">
        <v>185</v>
      </c>
      <c r="C52" s="164" t="s">
        <v>185</v>
      </c>
      <c r="D52" s="164" t="s">
        <v>185</v>
      </c>
      <c r="E52" s="164" t="s">
        <v>185</v>
      </c>
      <c r="F52" s="164" t="s">
        <v>185</v>
      </c>
      <c r="G52" s="193"/>
      <c r="H52" s="194"/>
      <c r="I52" s="139"/>
      <c r="J52" s="49"/>
    </row>
    <row r="53" spans="1:10" ht="18" customHeight="1" x14ac:dyDescent="0.2">
      <c r="A53" s="195" t="s">
        <v>30</v>
      </c>
      <c r="B53" s="196">
        <f t="shared" ref="B53:I53" si="0">SUM(B36,B39,B42,B45,B48,B51)</f>
        <v>31.75</v>
      </c>
      <c r="C53" s="196">
        <f t="shared" si="0"/>
        <v>31.75</v>
      </c>
      <c r="D53" s="196">
        <f t="shared" si="0"/>
        <v>31.75</v>
      </c>
      <c r="E53" s="196">
        <f t="shared" si="0"/>
        <v>31.75</v>
      </c>
      <c r="F53" s="196">
        <f t="shared" si="0"/>
        <v>31.75</v>
      </c>
      <c r="G53" s="196">
        <f t="shared" si="0"/>
        <v>24.5</v>
      </c>
      <c r="H53" s="196">
        <f t="shared" si="0"/>
        <v>24.5</v>
      </c>
      <c r="I53" s="196">
        <f t="shared" si="0"/>
        <v>207.75</v>
      </c>
      <c r="J53" s="197"/>
    </row>
    <row r="54" spans="1:10" ht="18" customHeight="1" x14ac:dyDescent="0.35">
      <c r="A54" s="60" t="s">
        <v>31</v>
      </c>
      <c r="D54" s="2"/>
      <c r="E54" s="2"/>
    </row>
    <row r="55" spans="1:10" ht="18" customHeight="1" x14ac:dyDescent="0.2">
      <c r="A55" s="23" t="s">
        <v>32</v>
      </c>
      <c r="B55" s="24" t="s">
        <v>2</v>
      </c>
      <c r="C55" s="25" t="s">
        <v>3</v>
      </c>
      <c r="D55" s="25" t="s">
        <v>4</v>
      </c>
      <c r="E55" s="25" t="s">
        <v>5</v>
      </c>
      <c r="F55" s="25" t="s">
        <v>6</v>
      </c>
      <c r="G55" s="25" t="s">
        <v>7</v>
      </c>
      <c r="H55" s="26" t="s">
        <v>8</v>
      </c>
      <c r="I55" s="27" t="s">
        <v>9</v>
      </c>
      <c r="J55" s="28" t="s">
        <v>10</v>
      </c>
    </row>
    <row r="56" spans="1:10" ht="18" customHeight="1" x14ac:dyDescent="0.2">
      <c r="A56" s="29"/>
      <c r="B56" s="31" t="s">
        <v>33</v>
      </c>
      <c r="C56" s="31" t="s">
        <v>33</v>
      </c>
      <c r="D56" s="31" t="s">
        <v>33</v>
      </c>
      <c r="E56" s="31" t="s">
        <v>33</v>
      </c>
      <c r="F56" s="31" t="s">
        <v>34</v>
      </c>
      <c r="G56" s="31"/>
      <c r="H56" s="31"/>
      <c r="I56" s="169"/>
      <c r="J56" s="32"/>
    </row>
    <row r="57" spans="1:10" ht="18" customHeight="1" x14ac:dyDescent="0.2">
      <c r="A57" s="170" t="s">
        <v>186</v>
      </c>
      <c r="B57" s="171">
        <v>7.75</v>
      </c>
      <c r="C57" s="171">
        <v>7.75</v>
      </c>
      <c r="D57" s="171">
        <v>7.75</v>
      </c>
      <c r="E57" s="171">
        <v>7.75</v>
      </c>
      <c r="F57" s="171">
        <v>6</v>
      </c>
      <c r="G57" s="171"/>
      <c r="H57" s="171"/>
      <c r="I57" s="171">
        <f>SUM(B57:H57)</f>
        <v>37</v>
      </c>
      <c r="J57" s="172"/>
    </row>
    <row r="58" spans="1:10" ht="18" customHeight="1" x14ac:dyDescent="0.2">
      <c r="A58" s="180" t="s">
        <v>149</v>
      </c>
      <c r="B58" s="198" t="s">
        <v>157</v>
      </c>
      <c r="C58" s="198" t="s">
        <v>157</v>
      </c>
      <c r="D58" s="198" t="s">
        <v>157</v>
      </c>
      <c r="E58" s="198" t="s">
        <v>157</v>
      </c>
      <c r="F58" s="198" t="s">
        <v>158</v>
      </c>
      <c r="G58" s="177"/>
      <c r="H58" s="177"/>
      <c r="I58" s="177"/>
      <c r="J58" s="199"/>
    </row>
    <row r="59" spans="1:10" ht="18" customHeight="1" x14ac:dyDescent="0.2">
      <c r="A59" s="29"/>
      <c r="B59" s="31" t="s">
        <v>33</v>
      </c>
      <c r="C59" s="31" t="s">
        <v>33</v>
      </c>
      <c r="D59" s="31" t="s">
        <v>33</v>
      </c>
      <c r="E59" s="31" t="s">
        <v>33</v>
      </c>
      <c r="F59" s="31" t="s">
        <v>34</v>
      </c>
      <c r="G59" s="31"/>
      <c r="H59" s="31"/>
      <c r="I59" s="169"/>
      <c r="J59" s="32"/>
    </row>
    <row r="60" spans="1:10" ht="18" customHeight="1" x14ac:dyDescent="0.2">
      <c r="A60" s="170" t="s">
        <v>187</v>
      </c>
      <c r="B60" s="171">
        <v>7.75</v>
      </c>
      <c r="C60" s="171">
        <v>7.75</v>
      </c>
      <c r="D60" s="171">
        <v>7.75</v>
      </c>
      <c r="E60" s="171">
        <v>7.75</v>
      </c>
      <c r="F60" s="171">
        <v>6</v>
      </c>
      <c r="G60" s="171"/>
      <c r="H60" s="171"/>
      <c r="I60" s="171">
        <f>SUM(B60:H60)</f>
        <v>37</v>
      </c>
      <c r="J60" s="172"/>
    </row>
    <row r="61" spans="1:10" ht="18" customHeight="1" x14ac:dyDescent="0.2">
      <c r="A61" s="180" t="s">
        <v>149</v>
      </c>
      <c r="B61" s="198" t="s">
        <v>157</v>
      </c>
      <c r="C61" s="198" t="s">
        <v>157</v>
      </c>
      <c r="D61" s="198" t="s">
        <v>157</v>
      </c>
      <c r="E61" s="198" t="s">
        <v>157</v>
      </c>
      <c r="F61" s="198" t="s">
        <v>158</v>
      </c>
      <c r="G61" s="177"/>
      <c r="H61" s="177"/>
      <c r="I61" s="187"/>
      <c r="J61" s="199"/>
    </row>
    <row r="62" spans="1:10" ht="18" customHeight="1" x14ac:dyDescent="0.2">
      <c r="A62" s="200"/>
      <c r="B62" s="31" t="s">
        <v>33</v>
      </c>
      <c r="C62" s="31" t="s">
        <v>33</v>
      </c>
      <c r="D62" s="31" t="s">
        <v>33</v>
      </c>
      <c r="E62" s="31" t="s">
        <v>33</v>
      </c>
      <c r="F62" s="31" t="s">
        <v>34</v>
      </c>
      <c r="G62" s="31"/>
      <c r="H62" s="31"/>
      <c r="I62" s="169"/>
      <c r="J62" s="32"/>
    </row>
    <row r="63" spans="1:10" ht="18" customHeight="1" x14ac:dyDescent="0.2">
      <c r="A63" s="170" t="s">
        <v>188</v>
      </c>
      <c r="B63" s="171">
        <v>7.75</v>
      </c>
      <c r="C63" s="171">
        <v>7.75</v>
      </c>
      <c r="D63" s="171">
        <v>7.75</v>
      </c>
      <c r="E63" s="171">
        <v>7.75</v>
      </c>
      <c r="F63" s="171">
        <v>6</v>
      </c>
      <c r="G63" s="171"/>
      <c r="H63" s="171"/>
      <c r="I63" s="171">
        <f>SUM(B63:H63)</f>
        <v>37</v>
      </c>
      <c r="J63" s="172"/>
    </row>
    <row r="64" spans="1:10" ht="18" customHeight="1" x14ac:dyDescent="0.2">
      <c r="A64" s="162" t="s">
        <v>149</v>
      </c>
      <c r="B64" s="163" t="s">
        <v>157</v>
      </c>
      <c r="C64" s="163" t="s">
        <v>157</v>
      </c>
      <c r="D64" s="163" t="s">
        <v>157</v>
      </c>
      <c r="E64" s="163" t="s">
        <v>157</v>
      </c>
      <c r="F64" s="163" t="s">
        <v>158</v>
      </c>
      <c r="G64" s="139"/>
      <c r="H64" s="139"/>
      <c r="I64" s="193"/>
      <c r="J64" s="141"/>
    </row>
    <row r="65" spans="1:10" ht="18" customHeight="1" x14ac:dyDescent="0.2">
      <c r="A65" s="195" t="s">
        <v>30</v>
      </c>
      <c r="B65" s="201">
        <f t="shared" ref="B65:I65" si="1">SUM(B57,B60,B63)</f>
        <v>23.25</v>
      </c>
      <c r="C65" s="201">
        <f t="shared" si="1"/>
        <v>23.25</v>
      </c>
      <c r="D65" s="201">
        <f t="shared" si="1"/>
        <v>23.25</v>
      </c>
      <c r="E65" s="201">
        <f t="shared" si="1"/>
        <v>23.25</v>
      </c>
      <c r="F65" s="201">
        <f t="shared" si="1"/>
        <v>18</v>
      </c>
      <c r="G65" s="201">
        <f t="shared" si="1"/>
        <v>0</v>
      </c>
      <c r="H65" s="201">
        <f t="shared" si="1"/>
        <v>0</v>
      </c>
      <c r="I65" s="196">
        <f t="shared" si="1"/>
        <v>111</v>
      </c>
      <c r="J65" s="202"/>
    </row>
    <row r="66" spans="1:10" ht="18" customHeight="1" x14ac:dyDescent="0.2">
      <c r="A66" s="72"/>
      <c r="B66" s="72"/>
      <c r="C66" s="72"/>
      <c r="D66" s="72"/>
      <c r="E66" s="72"/>
      <c r="F66" s="72"/>
      <c r="G66" s="203" t="s">
        <v>152</v>
      </c>
      <c r="H66" s="203" t="s">
        <v>153</v>
      </c>
      <c r="I66" s="203" t="s">
        <v>154</v>
      </c>
      <c r="J66" s="73"/>
    </row>
    <row r="67" spans="1:10" ht="18" customHeight="1" x14ac:dyDescent="0.2">
      <c r="A67" s="72"/>
      <c r="B67" s="72"/>
      <c r="C67" s="72"/>
      <c r="D67" s="72"/>
      <c r="E67" s="72"/>
      <c r="F67" s="72"/>
      <c r="G67" s="1786">
        <f>I53+I65</f>
        <v>318.75</v>
      </c>
      <c r="H67" s="168">
        <f>SUM(G67*13/3)</f>
        <v>1381.25</v>
      </c>
      <c r="I67" s="1786">
        <f>SUM(H67*12)</f>
        <v>16575</v>
      </c>
      <c r="J67" s="73"/>
    </row>
    <row r="68" spans="1:10" ht="18" customHeight="1" x14ac:dyDescent="0.2">
      <c r="A68" s="72"/>
      <c r="B68" s="72"/>
      <c r="C68" s="72"/>
      <c r="D68" s="72"/>
      <c r="E68" s="72"/>
      <c r="F68" s="72"/>
      <c r="G68" s="72"/>
      <c r="H68" s="173"/>
      <c r="I68" s="72"/>
      <c r="J68" s="73"/>
    </row>
    <row r="69" spans="1:10" ht="17.45" customHeight="1" x14ac:dyDescent="0.2">
      <c r="A69" s="1" t="s">
        <v>189</v>
      </c>
      <c r="B69" s="72"/>
      <c r="C69" s="72"/>
      <c r="D69" s="72"/>
      <c r="E69" s="72"/>
      <c r="F69" s="72"/>
    </row>
    <row r="70" spans="1:10" ht="17.45" customHeight="1" x14ac:dyDescent="0.2">
      <c r="A70" s="204" t="s">
        <v>190</v>
      </c>
      <c r="B70" s="24" t="s">
        <v>2</v>
      </c>
      <c r="C70" s="25" t="s">
        <v>3</v>
      </c>
      <c r="D70" s="25" t="s">
        <v>4</v>
      </c>
      <c r="E70" s="25" t="s">
        <v>5</v>
      </c>
      <c r="F70" s="25" t="s">
        <v>6</v>
      </c>
      <c r="G70" s="25" t="s">
        <v>7</v>
      </c>
      <c r="H70" s="205" t="s">
        <v>8</v>
      </c>
      <c r="I70" s="206" t="s">
        <v>9</v>
      </c>
      <c r="J70" s="207" t="s">
        <v>10</v>
      </c>
    </row>
    <row r="71" spans="1:10" ht="17.45" customHeight="1" x14ac:dyDescent="0.2">
      <c r="A71" s="208"/>
      <c r="B71" s="209" t="s">
        <v>191</v>
      </c>
      <c r="C71" s="209" t="s">
        <v>191</v>
      </c>
      <c r="D71" s="209" t="s">
        <v>191</v>
      </c>
      <c r="E71" s="209" t="s">
        <v>191</v>
      </c>
      <c r="F71" s="209" t="s">
        <v>191</v>
      </c>
      <c r="G71" s="210" t="s">
        <v>192</v>
      </c>
      <c r="H71" s="210" t="s">
        <v>192</v>
      </c>
      <c r="I71" s="211"/>
      <c r="J71" s="212"/>
    </row>
    <row r="72" spans="1:10" ht="17.45" customHeight="1" x14ac:dyDescent="0.2">
      <c r="A72" s="213" t="s">
        <v>193</v>
      </c>
      <c r="B72" s="214" t="s">
        <v>194</v>
      </c>
      <c r="C72" s="214" t="s">
        <v>194</v>
      </c>
      <c r="D72" s="214" t="s">
        <v>194</v>
      </c>
      <c r="E72" s="214" t="s">
        <v>194</v>
      </c>
      <c r="F72" s="214" t="s">
        <v>194</v>
      </c>
      <c r="G72" s="215" t="s">
        <v>195</v>
      </c>
      <c r="H72" s="215" t="s">
        <v>195</v>
      </c>
      <c r="I72" s="216"/>
      <c r="J72" s="217"/>
    </row>
    <row r="73" spans="1:10" ht="17.45" customHeight="1" x14ac:dyDescent="0.2">
      <c r="A73" s="95" t="s">
        <v>43</v>
      </c>
      <c r="B73" s="218">
        <v>8.25</v>
      </c>
      <c r="C73" s="218">
        <v>8.25</v>
      </c>
      <c r="D73" s="218">
        <v>8.25</v>
      </c>
      <c r="E73" s="218">
        <v>8.25</v>
      </c>
      <c r="F73" s="218">
        <v>8.25</v>
      </c>
      <c r="G73" s="219">
        <v>12.25</v>
      </c>
      <c r="H73" s="219">
        <v>12.25</v>
      </c>
      <c r="I73" s="17">
        <f>SUM(B73:H73)</f>
        <v>65.75</v>
      </c>
      <c r="J73" s="220" t="s">
        <v>196</v>
      </c>
    </row>
    <row r="74" spans="1:10" ht="17.45" customHeight="1" x14ac:dyDescent="0.2">
      <c r="A74" s="208"/>
      <c r="B74" s="221" t="s">
        <v>197</v>
      </c>
      <c r="C74" s="221" t="s">
        <v>197</v>
      </c>
      <c r="D74" s="221" t="s">
        <v>197</v>
      </c>
      <c r="E74" s="221" t="s">
        <v>197</v>
      </c>
      <c r="F74" s="221" t="s">
        <v>197</v>
      </c>
      <c r="G74" s="222" t="s">
        <v>198</v>
      </c>
      <c r="H74" s="223" t="s">
        <v>198</v>
      </c>
      <c r="I74" s="206"/>
      <c r="J74" s="212"/>
    </row>
    <row r="75" spans="1:10" ht="17.45" customHeight="1" x14ac:dyDescent="0.2">
      <c r="A75" s="213" t="s">
        <v>193</v>
      </c>
      <c r="B75" s="224" t="s">
        <v>199</v>
      </c>
      <c r="C75" s="224" t="s">
        <v>199</v>
      </c>
      <c r="D75" s="224" t="s">
        <v>199</v>
      </c>
      <c r="E75" s="224" t="s">
        <v>199</v>
      </c>
      <c r="F75" s="224" t="s">
        <v>199</v>
      </c>
      <c r="G75" s="225" t="s">
        <v>200</v>
      </c>
      <c r="H75" s="225" t="s">
        <v>200</v>
      </c>
      <c r="I75" s="226"/>
      <c r="J75" s="217"/>
    </row>
    <row r="76" spans="1:10" ht="17.45" customHeight="1" x14ac:dyDescent="0.2">
      <c r="A76" s="95" t="s">
        <v>201</v>
      </c>
      <c r="B76" s="91">
        <v>7</v>
      </c>
      <c r="C76" s="91">
        <v>7</v>
      </c>
      <c r="D76" s="91">
        <v>7</v>
      </c>
      <c r="E76" s="91">
        <v>7</v>
      </c>
      <c r="F76" s="91">
        <v>7</v>
      </c>
      <c r="G76" s="227">
        <v>11</v>
      </c>
      <c r="H76" s="228">
        <v>11</v>
      </c>
      <c r="I76" s="17">
        <f>SUM(B76:H76)</f>
        <v>57</v>
      </c>
      <c r="J76" s="220" t="s">
        <v>202</v>
      </c>
    </row>
    <row r="77" spans="1:10" ht="17.45" customHeight="1" x14ac:dyDescent="0.2">
      <c r="A77" s="208"/>
      <c r="B77" s="229" t="s">
        <v>203</v>
      </c>
      <c r="C77" s="229" t="s">
        <v>203</v>
      </c>
      <c r="D77" s="229" t="s">
        <v>203</v>
      </c>
      <c r="E77" s="229" t="s">
        <v>203</v>
      </c>
      <c r="F77" s="229" t="s">
        <v>203</v>
      </c>
      <c r="G77" s="223" t="s">
        <v>204</v>
      </c>
      <c r="H77" s="223" t="s">
        <v>204</v>
      </c>
      <c r="I77" s="206"/>
      <c r="J77" s="212"/>
    </row>
    <row r="78" spans="1:10" ht="17.45" customHeight="1" x14ac:dyDescent="0.2">
      <c r="A78" s="213" t="s">
        <v>193</v>
      </c>
      <c r="B78" s="230" t="s">
        <v>205</v>
      </c>
      <c r="C78" s="230" t="s">
        <v>205</v>
      </c>
      <c r="D78" s="230" t="s">
        <v>205</v>
      </c>
      <c r="E78" s="230" t="s">
        <v>205</v>
      </c>
      <c r="F78" s="230" t="s">
        <v>205</v>
      </c>
      <c r="G78" s="231" t="s">
        <v>206</v>
      </c>
      <c r="H78" s="231" t="s">
        <v>206</v>
      </c>
      <c r="I78" s="226"/>
      <c r="J78" s="217"/>
    </row>
    <row r="79" spans="1:10" ht="17.45" customHeight="1" x14ac:dyDescent="0.2">
      <c r="A79" s="95" t="s">
        <v>207</v>
      </c>
      <c r="B79" s="232">
        <v>8</v>
      </c>
      <c r="C79" s="232">
        <v>8</v>
      </c>
      <c r="D79" s="232">
        <v>8</v>
      </c>
      <c r="E79" s="232">
        <v>8</v>
      </c>
      <c r="F79" s="232">
        <v>8</v>
      </c>
      <c r="G79" s="227">
        <v>12</v>
      </c>
      <c r="H79" s="227">
        <v>12</v>
      </c>
      <c r="I79" s="17">
        <f>SUM(B79:H79)</f>
        <v>64</v>
      </c>
      <c r="J79" s="220" t="s">
        <v>208</v>
      </c>
    </row>
    <row r="80" spans="1:10" ht="17.45" customHeight="1" x14ac:dyDescent="0.2">
      <c r="A80" s="208"/>
      <c r="B80" s="30" t="s">
        <v>16</v>
      </c>
      <c r="C80" s="30" t="s">
        <v>16</v>
      </c>
      <c r="D80" s="30" t="s">
        <v>16</v>
      </c>
      <c r="E80" s="30" t="s">
        <v>16</v>
      </c>
      <c r="F80" s="30" t="s">
        <v>16</v>
      </c>
      <c r="G80" s="233"/>
      <c r="H80" s="234"/>
      <c r="I80" s="235"/>
      <c r="J80" s="212"/>
    </row>
    <row r="81" spans="1:10" ht="17.45" customHeight="1" x14ac:dyDescent="0.2">
      <c r="A81" s="213" t="s">
        <v>193</v>
      </c>
      <c r="B81" s="124"/>
      <c r="C81" s="124"/>
      <c r="D81" s="124"/>
      <c r="E81" s="124"/>
      <c r="F81" s="124"/>
      <c r="G81" s="138"/>
      <c r="H81" s="138"/>
      <c r="I81" s="143"/>
      <c r="J81" s="217"/>
    </row>
    <row r="82" spans="1:10" ht="17.45" customHeight="1" x14ac:dyDescent="0.2">
      <c r="A82" s="95" t="s">
        <v>209</v>
      </c>
      <c r="B82" s="34"/>
      <c r="C82" s="34"/>
      <c r="D82" s="34"/>
      <c r="E82" s="34"/>
      <c r="F82" s="34"/>
      <c r="G82" s="18"/>
      <c r="H82" s="236"/>
      <c r="I82" s="17">
        <f>SUM(B82:H82)</f>
        <v>0</v>
      </c>
      <c r="J82" s="220" t="s">
        <v>210</v>
      </c>
    </row>
    <row r="83" spans="1:10" ht="17.45" customHeight="1" x14ac:dyDescent="0.2">
      <c r="A83" s="208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206"/>
      <c r="H83" s="237"/>
      <c r="I83" s="206"/>
      <c r="J83" s="212"/>
    </row>
    <row r="84" spans="1:10" ht="17.45" customHeight="1" x14ac:dyDescent="0.2">
      <c r="A84" s="213" t="s">
        <v>193</v>
      </c>
      <c r="B84" s="124"/>
      <c r="C84" s="124"/>
      <c r="D84" s="124"/>
      <c r="E84" s="124"/>
      <c r="F84" s="124"/>
      <c r="G84" s="226"/>
      <c r="H84" s="238"/>
      <c r="I84" s="226"/>
      <c r="J84" s="217"/>
    </row>
    <row r="85" spans="1:10" ht="17.45" customHeight="1" x14ac:dyDescent="0.2">
      <c r="A85" s="95" t="s">
        <v>211</v>
      </c>
      <c r="B85" s="34"/>
      <c r="C85" s="34"/>
      <c r="D85" s="34"/>
      <c r="E85" s="34"/>
      <c r="F85" s="34"/>
      <c r="G85" s="137"/>
      <c r="H85" s="239"/>
      <c r="I85" s="17">
        <f>SUM(B85:H85)</f>
        <v>0</v>
      </c>
      <c r="J85" s="220" t="s">
        <v>212</v>
      </c>
    </row>
    <row r="86" spans="1:10" ht="17.45" customHeight="1" x14ac:dyDescent="0.2">
      <c r="A86" s="204"/>
      <c r="B86" s="30" t="s">
        <v>16</v>
      </c>
      <c r="C86" s="30" t="s">
        <v>16</v>
      </c>
      <c r="D86" s="30" t="s">
        <v>16</v>
      </c>
      <c r="E86" s="30" t="s">
        <v>16</v>
      </c>
      <c r="F86" s="30" t="s">
        <v>16</v>
      </c>
      <c r="G86" s="240" t="s">
        <v>213</v>
      </c>
      <c r="H86" s="241" t="s">
        <v>214</v>
      </c>
      <c r="I86" s="206"/>
      <c r="J86" s="242"/>
    </row>
    <row r="87" spans="1:10" ht="17.45" customHeight="1" x14ac:dyDescent="0.2">
      <c r="A87" s="213" t="s">
        <v>193</v>
      </c>
      <c r="B87" s="124"/>
      <c r="C87" s="124"/>
      <c r="D87" s="124"/>
      <c r="E87" s="124"/>
      <c r="F87" s="124"/>
      <c r="G87" s="243" t="s">
        <v>215</v>
      </c>
      <c r="H87" s="243" t="s">
        <v>215</v>
      </c>
      <c r="I87" s="226"/>
      <c r="J87" s="244"/>
    </row>
    <row r="88" spans="1:10" ht="17.45" customHeight="1" x14ac:dyDescent="0.2">
      <c r="A88" s="95" t="s">
        <v>216</v>
      </c>
      <c r="B88" s="34"/>
      <c r="C88" s="34"/>
      <c r="D88" s="34"/>
      <c r="E88" s="34"/>
      <c r="F88" s="34"/>
      <c r="G88" s="245">
        <v>12.25</v>
      </c>
      <c r="H88" s="246">
        <v>12.25</v>
      </c>
      <c r="I88" s="17">
        <f>SUM(B88:H88)</f>
        <v>24.5</v>
      </c>
      <c r="J88" s="220" t="s">
        <v>217</v>
      </c>
    </row>
    <row r="89" spans="1:10" ht="17.45" customHeight="1" x14ac:dyDescent="0.2">
      <c r="A89" s="208"/>
      <c r="B89" s="247" t="s">
        <v>218</v>
      </c>
      <c r="C89" s="247" t="s">
        <v>218</v>
      </c>
      <c r="D89" s="247" t="s">
        <v>218</v>
      </c>
      <c r="E89" s="247" t="s">
        <v>218</v>
      </c>
      <c r="F89" s="247" t="s">
        <v>219</v>
      </c>
      <c r="G89" s="240" t="s">
        <v>220</v>
      </c>
      <c r="H89" s="241" t="s">
        <v>220</v>
      </c>
      <c r="I89" s="206"/>
      <c r="J89" s="212"/>
    </row>
    <row r="90" spans="1:10" ht="17.45" customHeight="1" x14ac:dyDescent="0.2">
      <c r="A90" s="213" t="s">
        <v>193</v>
      </c>
      <c r="B90" s="248" t="s">
        <v>221</v>
      </c>
      <c r="C90" s="248" t="s">
        <v>221</v>
      </c>
      <c r="D90" s="248" t="s">
        <v>221</v>
      </c>
      <c r="E90" s="248" t="s">
        <v>221</v>
      </c>
      <c r="F90" s="248" t="s">
        <v>222</v>
      </c>
      <c r="G90" s="243" t="s">
        <v>223</v>
      </c>
      <c r="H90" s="243" t="s">
        <v>223</v>
      </c>
      <c r="I90" s="226"/>
      <c r="J90" s="217"/>
    </row>
    <row r="91" spans="1:10" ht="17.45" customHeight="1" x14ac:dyDescent="0.2">
      <c r="A91" s="95" t="s">
        <v>61</v>
      </c>
      <c r="B91" s="249">
        <v>7</v>
      </c>
      <c r="C91" s="249">
        <v>7</v>
      </c>
      <c r="D91" s="249">
        <v>7</v>
      </c>
      <c r="E91" s="249">
        <v>7</v>
      </c>
      <c r="F91" s="249">
        <v>6.5</v>
      </c>
      <c r="G91" s="245">
        <v>12</v>
      </c>
      <c r="H91" s="246">
        <v>12</v>
      </c>
      <c r="I91" s="17">
        <f>SUM(B91:H91)</f>
        <v>58.5</v>
      </c>
      <c r="J91" s="220" t="s">
        <v>224</v>
      </c>
    </row>
    <row r="92" spans="1:10" ht="17.45" customHeight="1" x14ac:dyDescent="0.2">
      <c r="A92" s="208"/>
      <c r="B92" s="250" t="s">
        <v>225</v>
      </c>
      <c r="C92" s="250" t="s">
        <v>225</v>
      </c>
      <c r="D92" s="250" t="s">
        <v>225</v>
      </c>
      <c r="E92" s="250" t="s">
        <v>225</v>
      </c>
      <c r="F92" s="250" t="s">
        <v>225</v>
      </c>
      <c r="G92" s="240" t="s">
        <v>226</v>
      </c>
      <c r="H92" s="241" t="s">
        <v>220</v>
      </c>
      <c r="I92" s="251"/>
      <c r="J92" s="212"/>
    </row>
    <row r="93" spans="1:10" ht="17.45" customHeight="1" x14ac:dyDescent="0.2">
      <c r="A93" s="213" t="s">
        <v>193</v>
      </c>
      <c r="B93" s="252" t="s">
        <v>227</v>
      </c>
      <c r="C93" s="252" t="s">
        <v>227</v>
      </c>
      <c r="D93" s="252" t="s">
        <v>227</v>
      </c>
      <c r="E93" s="252" t="s">
        <v>227</v>
      </c>
      <c r="F93" s="252" t="s">
        <v>227</v>
      </c>
      <c r="G93" s="243" t="s">
        <v>228</v>
      </c>
      <c r="H93" s="253" t="s">
        <v>223</v>
      </c>
      <c r="I93" s="124"/>
      <c r="J93" s="217"/>
    </row>
    <row r="94" spans="1:10" ht="17.45" customHeight="1" x14ac:dyDescent="0.2">
      <c r="A94" s="95" t="s">
        <v>229</v>
      </c>
      <c r="B94" s="254">
        <v>7</v>
      </c>
      <c r="C94" s="254">
        <v>7</v>
      </c>
      <c r="D94" s="254">
        <v>7</v>
      </c>
      <c r="E94" s="254">
        <v>7</v>
      </c>
      <c r="F94" s="254">
        <v>7</v>
      </c>
      <c r="G94" s="255">
        <v>9</v>
      </c>
      <c r="H94" s="246">
        <v>12</v>
      </c>
      <c r="I94" s="17">
        <f>SUM(B94:H94)</f>
        <v>56</v>
      </c>
      <c r="J94" s="220" t="s">
        <v>230</v>
      </c>
    </row>
    <row r="95" spans="1:10" ht="17.45" customHeight="1" x14ac:dyDescent="0.2">
      <c r="A95" s="208"/>
      <c r="B95" s="256" t="s">
        <v>231</v>
      </c>
      <c r="C95" s="256" t="s">
        <v>231</v>
      </c>
      <c r="D95" s="256" t="s">
        <v>231</v>
      </c>
      <c r="E95" s="256" t="s">
        <v>231</v>
      </c>
      <c r="F95" s="256" t="s">
        <v>231</v>
      </c>
      <c r="G95" s="24"/>
      <c r="H95" s="257"/>
      <c r="I95" s="206"/>
      <c r="J95" s="212"/>
    </row>
    <row r="96" spans="1:10" ht="17.45" customHeight="1" x14ac:dyDescent="0.2">
      <c r="A96" s="213" t="s">
        <v>193</v>
      </c>
      <c r="B96" s="258" t="s">
        <v>232</v>
      </c>
      <c r="C96" s="258" t="s">
        <v>232</v>
      </c>
      <c r="D96" s="258" t="s">
        <v>232</v>
      </c>
      <c r="E96" s="258" t="s">
        <v>232</v>
      </c>
      <c r="F96" s="258" t="s">
        <v>232</v>
      </c>
      <c r="G96" s="259"/>
      <c r="H96" s="260"/>
      <c r="I96" s="226"/>
      <c r="J96" s="217"/>
    </row>
    <row r="97" spans="1:10" ht="17.45" customHeight="1" x14ac:dyDescent="0.2">
      <c r="A97" s="95" t="s">
        <v>233</v>
      </c>
      <c r="B97" s="261">
        <v>8</v>
      </c>
      <c r="C97" s="261">
        <v>8</v>
      </c>
      <c r="D97" s="261">
        <v>8</v>
      </c>
      <c r="E97" s="261">
        <v>8</v>
      </c>
      <c r="F97" s="261">
        <v>8</v>
      </c>
      <c r="G97" s="17"/>
      <c r="H97" s="262"/>
      <c r="I97" s="17">
        <f>SUM(B97:H97)</f>
        <v>40</v>
      </c>
      <c r="J97" s="220" t="s">
        <v>234</v>
      </c>
    </row>
    <row r="98" spans="1:10" ht="17.45" customHeight="1" x14ac:dyDescent="0.2">
      <c r="A98" s="208"/>
      <c r="B98" s="30" t="s">
        <v>16</v>
      </c>
      <c r="C98" s="30" t="s">
        <v>16</v>
      </c>
      <c r="D98" s="30" t="s">
        <v>16</v>
      </c>
      <c r="E98" s="30" t="s">
        <v>16</v>
      </c>
      <c r="F98" s="30" t="s">
        <v>16</v>
      </c>
      <c r="G98" s="233"/>
      <c r="H98" s="234"/>
      <c r="I98" s="211"/>
      <c r="J98" s="212"/>
    </row>
    <row r="99" spans="1:10" ht="17.45" customHeight="1" x14ac:dyDescent="0.2">
      <c r="A99" s="213" t="s">
        <v>193</v>
      </c>
      <c r="B99" s="124"/>
      <c r="C99" s="124"/>
      <c r="D99" s="124"/>
      <c r="E99" s="124"/>
      <c r="F99" s="124"/>
      <c r="G99" s="138"/>
      <c r="H99" s="125"/>
      <c r="I99" s="216"/>
      <c r="J99" s="217"/>
    </row>
    <row r="100" spans="1:10" ht="17.45" customHeight="1" x14ac:dyDescent="0.2">
      <c r="A100" s="95" t="s">
        <v>235</v>
      </c>
      <c r="B100" s="132"/>
      <c r="C100" s="132"/>
      <c r="D100" s="132"/>
      <c r="E100" s="132"/>
      <c r="F100" s="132"/>
      <c r="G100" s="18"/>
      <c r="H100" s="236"/>
      <c r="I100" s="17">
        <f>SUM(B100:H100)</f>
        <v>0</v>
      </c>
      <c r="J100" s="220" t="s">
        <v>236</v>
      </c>
    </row>
    <row r="101" spans="1:10" ht="17.45" customHeight="1" x14ac:dyDescent="0.2">
      <c r="A101" s="208"/>
      <c r="B101" s="30" t="s">
        <v>16</v>
      </c>
      <c r="C101" s="30" t="s">
        <v>16</v>
      </c>
      <c r="D101" s="30" t="s">
        <v>16</v>
      </c>
      <c r="E101" s="30" t="s">
        <v>16</v>
      </c>
      <c r="F101" s="30" t="s">
        <v>16</v>
      </c>
      <c r="G101" s="206"/>
      <c r="H101" s="237"/>
      <c r="I101" s="206"/>
      <c r="J101" s="212"/>
    </row>
    <row r="102" spans="1:10" ht="17.45" customHeight="1" x14ac:dyDescent="0.2">
      <c r="A102" s="213" t="s">
        <v>193</v>
      </c>
      <c r="B102" s="124"/>
      <c r="C102" s="124"/>
      <c r="D102" s="124"/>
      <c r="E102" s="124"/>
      <c r="F102" s="124"/>
      <c r="G102" s="226"/>
      <c r="H102" s="238"/>
      <c r="I102" s="226"/>
      <c r="J102" s="217"/>
    </row>
    <row r="103" spans="1:10" ht="17.45" customHeight="1" x14ac:dyDescent="0.2">
      <c r="A103" s="111" t="s">
        <v>237</v>
      </c>
      <c r="B103" s="132"/>
      <c r="C103" s="132"/>
      <c r="D103" s="34"/>
      <c r="E103" s="34"/>
      <c r="F103" s="34"/>
      <c r="G103" s="226"/>
      <c r="H103" s="238"/>
      <c r="I103" s="124">
        <f>SUM(B103:H103)</f>
        <v>0</v>
      </c>
      <c r="J103" s="263" t="s">
        <v>238</v>
      </c>
    </row>
    <row r="104" spans="1:10" ht="17.45" customHeight="1" x14ac:dyDescent="0.2">
      <c r="A104" s="208" t="s">
        <v>28</v>
      </c>
      <c r="B104" s="264" t="s">
        <v>239</v>
      </c>
      <c r="C104" s="264" t="s">
        <v>239</v>
      </c>
      <c r="D104" s="264" t="s">
        <v>239</v>
      </c>
      <c r="E104" s="264" t="s">
        <v>239</v>
      </c>
      <c r="F104" s="264" t="s">
        <v>239</v>
      </c>
      <c r="G104" s="265"/>
      <c r="H104" s="237"/>
      <c r="I104" s="206"/>
      <c r="J104" s="212" t="s">
        <v>28</v>
      </c>
    </row>
    <row r="105" spans="1:10" ht="17.45" customHeight="1" x14ac:dyDescent="0.2">
      <c r="A105" s="213" t="s">
        <v>193</v>
      </c>
      <c r="B105" s="266" t="s">
        <v>240</v>
      </c>
      <c r="C105" s="266" t="s">
        <v>240</v>
      </c>
      <c r="D105" s="266" t="s">
        <v>240</v>
      </c>
      <c r="E105" s="266" t="s">
        <v>240</v>
      </c>
      <c r="F105" s="266" t="s">
        <v>240</v>
      </c>
      <c r="G105" s="267"/>
      <c r="H105" s="238"/>
      <c r="I105" s="226"/>
      <c r="J105" s="217"/>
    </row>
    <row r="106" spans="1:10" ht="17.45" customHeight="1" x14ac:dyDescent="0.2">
      <c r="A106" s="145" t="s">
        <v>241</v>
      </c>
      <c r="B106" s="268">
        <v>8</v>
      </c>
      <c r="C106" s="268">
        <v>8</v>
      </c>
      <c r="D106" s="268">
        <v>8</v>
      </c>
      <c r="E106" s="268">
        <v>8</v>
      </c>
      <c r="F106" s="268">
        <v>8</v>
      </c>
      <c r="G106" s="226"/>
      <c r="H106" s="238"/>
      <c r="I106" s="124">
        <f>SUM(B106:H106)</f>
        <v>40</v>
      </c>
      <c r="J106" s="244" t="s">
        <v>242</v>
      </c>
    </row>
    <row r="107" spans="1:10" ht="17.45" customHeight="1" x14ac:dyDescent="0.2">
      <c r="A107" s="208"/>
      <c r="B107" s="269" t="s">
        <v>243</v>
      </c>
      <c r="C107" s="269" t="s">
        <v>243</v>
      </c>
      <c r="D107" s="269" t="s">
        <v>243</v>
      </c>
      <c r="E107" s="269" t="s">
        <v>243</v>
      </c>
      <c r="F107" s="269" t="s">
        <v>243</v>
      </c>
      <c r="G107" s="270"/>
      <c r="H107" s="271"/>
      <c r="I107" s="211"/>
      <c r="J107" s="212"/>
    </row>
    <row r="108" spans="1:10" ht="17.45" customHeight="1" x14ac:dyDescent="0.2">
      <c r="A108" s="213" t="s">
        <v>193</v>
      </c>
      <c r="B108" s="272" t="s">
        <v>244</v>
      </c>
      <c r="C108" s="272" t="s">
        <v>244</v>
      </c>
      <c r="D108" s="272" t="s">
        <v>244</v>
      </c>
      <c r="E108" s="272" t="s">
        <v>244</v>
      </c>
      <c r="F108" s="272" t="s">
        <v>244</v>
      </c>
      <c r="G108" s="273"/>
      <c r="H108" s="259"/>
      <c r="I108" s="216"/>
      <c r="J108" s="217"/>
    </row>
    <row r="109" spans="1:10" ht="17.45" customHeight="1" x14ac:dyDescent="0.2">
      <c r="A109" s="95" t="s">
        <v>71</v>
      </c>
      <c r="B109" s="274">
        <v>7</v>
      </c>
      <c r="C109" s="274">
        <v>7</v>
      </c>
      <c r="D109" s="274">
        <v>7</v>
      </c>
      <c r="E109" s="274">
        <v>7</v>
      </c>
      <c r="F109" s="274">
        <v>7</v>
      </c>
      <c r="G109" s="17"/>
      <c r="H109" s="262"/>
      <c r="I109" s="17">
        <f>SUM(B109:H109)</f>
        <v>35</v>
      </c>
      <c r="J109" s="220" t="s">
        <v>245</v>
      </c>
    </row>
    <row r="110" spans="1:10" ht="17.45" customHeight="1" x14ac:dyDescent="0.2">
      <c r="A110" s="208"/>
      <c r="B110" s="275" t="s">
        <v>246</v>
      </c>
      <c r="C110" s="275" t="s">
        <v>246</v>
      </c>
      <c r="D110" s="275" t="s">
        <v>246</v>
      </c>
      <c r="E110" s="275" t="s">
        <v>246</v>
      </c>
      <c r="F110" s="275" t="s">
        <v>246</v>
      </c>
      <c r="G110" s="24"/>
      <c r="H110" s="257"/>
      <c r="I110" s="27"/>
      <c r="J110" s="212"/>
    </row>
    <row r="111" spans="1:10" ht="17.45" customHeight="1" x14ac:dyDescent="0.2">
      <c r="A111" s="213" t="s">
        <v>193</v>
      </c>
      <c r="B111" s="276" t="s">
        <v>247</v>
      </c>
      <c r="C111" s="276" t="s">
        <v>247</v>
      </c>
      <c r="D111" s="276" t="s">
        <v>247</v>
      </c>
      <c r="E111" s="276" t="s">
        <v>247</v>
      </c>
      <c r="F111" s="276" t="s">
        <v>247</v>
      </c>
      <c r="G111" s="259"/>
      <c r="H111" s="260"/>
      <c r="I111" s="216"/>
      <c r="J111" s="217"/>
    </row>
    <row r="112" spans="1:10" ht="17.45" customHeight="1" x14ac:dyDescent="0.2">
      <c r="A112" s="115" t="s">
        <v>72</v>
      </c>
      <c r="B112" s="277">
        <v>7.5</v>
      </c>
      <c r="C112" s="277">
        <v>7.5</v>
      </c>
      <c r="D112" s="277">
        <v>7.5</v>
      </c>
      <c r="E112" s="277">
        <v>7.5</v>
      </c>
      <c r="F112" s="277">
        <v>7.5</v>
      </c>
      <c r="G112" s="17"/>
      <c r="H112" s="262"/>
      <c r="I112" s="36">
        <f>SUM(B112:H112)</f>
        <v>37.5</v>
      </c>
      <c r="J112" s="278" t="s">
        <v>248</v>
      </c>
    </row>
    <row r="113" spans="1:10" ht="17.45" customHeight="1" x14ac:dyDescent="0.2">
      <c r="A113" s="208"/>
      <c r="B113" s="279" t="s">
        <v>249</v>
      </c>
      <c r="C113" s="280" t="s">
        <v>249</v>
      </c>
      <c r="D113" s="280" t="s">
        <v>249</v>
      </c>
      <c r="E113" s="280" t="s">
        <v>249</v>
      </c>
      <c r="F113" s="280" t="s">
        <v>249</v>
      </c>
      <c r="G113" s="24"/>
      <c r="H113" s="257"/>
      <c r="I113" s="235"/>
      <c r="J113" s="212"/>
    </row>
    <row r="114" spans="1:10" ht="17.45" customHeight="1" x14ac:dyDescent="0.2">
      <c r="A114" s="213" t="s">
        <v>193</v>
      </c>
      <c r="B114" s="281" t="s">
        <v>250</v>
      </c>
      <c r="C114" s="281" t="s">
        <v>250</v>
      </c>
      <c r="D114" s="281" t="s">
        <v>250</v>
      </c>
      <c r="E114" s="281" t="s">
        <v>250</v>
      </c>
      <c r="F114" s="281" t="s">
        <v>250</v>
      </c>
      <c r="G114" s="259"/>
      <c r="H114" s="260"/>
      <c r="I114" s="282"/>
      <c r="J114" s="217"/>
    </row>
    <row r="115" spans="1:10" ht="17.45" customHeight="1" x14ac:dyDescent="0.2">
      <c r="A115" s="95" t="s">
        <v>73</v>
      </c>
      <c r="B115" s="283">
        <v>8</v>
      </c>
      <c r="C115" s="283">
        <v>8</v>
      </c>
      <c r="D115" s="283">
        <v>8</v>
      </c>
      <c r="E115" s="283">
        <v>8</v>
      </c>
      <c r="F115" s="283">
        <v>8</v>
      </c>
      <c r="G115" s="17"/>
      <c r="H115" s="17"/>
      <c r="I115" s="284">
        <f>SUM(B115:H115)</f>
        <v>40</v>
      </c>
      <c r="J115" s="220" t="s">
        <v>251</v>
      </c>
    </row>
    <row r="116" spans="1:10" ht="17.45" customHeight="1" x14ac:dyDescent="0.2">
      <c r="A116" s="195" t="s">
        <v>30</v>
      </c>
      <c r="B116" s="285">
        <f t="shared" ref="B116:I116" si="2">SUM(B73,B76,B79,B82,B85,B88,B91,B94,B97,B100,B103,B106,B109,B112,B115)</f>
        <v>75.75</v>
      </c>
      <c r="C116" s="285">
        <f t="shared" si="2"/>
        <v>75.75</v>
      </c>
      <c r="D116" s="285">
        <f t="shared" si="2"/>
        <v>75.75</v>
      </c>
      <c r="E116" s="285">
        <f t="shared" si="2"/>
        <v>75.75</v>
      </c>
      <c r="F116" s="285">
        <f t="shared" si="2"/>
        <v>75.25</v>
      </c>
      <c r="G116" s="285">
        <f t="shared" si="2"/>
        <v>68.5</v>
      </c>
      <c r="H116" s="285">
        <f t="shared" si="2"/>
        <v>71.5</v>
      </c>
      <c r="I116" s="285">
        <f t="shared" si="2"/>
        <v>518.25</v>
      </c>
      <c r="J116" s="197"/>
    </row>
    <row r="117" spans="1:10" ht="17.45" customHeight="1" x14ac:dyDescent="0.2">
      <c r="A117" s="72"/>
      <c r="B117" s="72"/>
      <c r="C117" s="72"/>
      <c r="D117" s="72"/>
      <c r="E117" s="72"/>
      <c r="F117" s="72"/>
      <c r="G117" s="203" t="s">
        <v>152</v>
      </c>
      <c r="H117" s="203" t="s">
        <v>153</v>
      </c>
      <c r="I117" s="203" t="s">
        <v>154</v>
      </c>
    </row>
    <row r="118" spans="1:10" ht="17.45" customHeight="1" x14ac:dyDescent="0.2">
      <c r="A118" s="273"/>
      <c r="B118" s="273"/>
      <c r="C118" s="273"/>
      <c r="D118" s="273"/>
      <c r="E118" s="273"/>
      <c r="F118" s="72"/>
      <c r="G118" s="1786">
        <f>I116</f>
        <v>518.25</v>
      </c>
      <c r="H118" s="168">
        <f>SUM(G118*13/3)</f>
        <v>2245.75</v>
      </c>
      <c r="I118" s="1786">
        <f>SUM(H118*12)</f>
        <v>26949</v>
      </c>
    </row>
    <row r="119" spans="1:10" ht="17.45" customHeight="1" x14ac:dyDescent="0.2">
      <c r="A119" s="72"/>
      <c r="B119" s="72"/>
      <c r="C119" s="72"/>
      <c r="D119" s="72"/>
      <c r="E119" s="72"/>
      <c r="F119" s="72"/>
      <c r="G119" s="72"/>
      <c r="H119" s="173"/>
      <c r="I119" s="72"/>
    </row>
    <row r="120" spans="1:10" ht="17.45" customHeight="1" x14ac:dyDescent="0.2">
      <c r="A120" s="72"/>
      <c r="B120" s="72"/>
      <c r="C120" s="72"/>
      <c r="D120" s="72"/>
      <c r="E120" s="72"/>
      <c r="F120" s="72"/>
      <c r="G120" s="72"/>
      <c r="H120" s="173"/>
      <c r="I120" s="72"/>
    </row>
    <row r="121" spans="1:10" ht="17.45" customHeight="1" x14ac:dyDescent="0.2">
      <c r="A121" s="72"/>
      <c r="B121" s="72"/>
      <c r="C121" s="72"/>
      <c r="D121" s="72" t="s">
        <v>252</v>
      </c>
      <c r="E121" s="72"/>
      <c r="F121" s="72"/>
      <c r="G121" s="72"/>
      <c r="H121" s="173"/>
      <c r="I121" s="72"/>
    </row>
    <row r="122" spans="1:10" ht="17.45" customHeight="1" x14ac:dyDescent="0.2">
      <c r="A122" s="286"/>
      <c r="B122" s="209" t="s">
        <v>191</v>
      </c>
      <c r="C122" s="209" t="s">
        <v>191</v>
      </c>
      <c r="D122" s="209" t="s">
        <v>191</v>
      </c>
      <c r="E122" s="209" t="s">
        <v>191</v>
      </c>
      <c r="F122" s="209" t="s">
        <v>191</v>
      </c>
      <c r="G122" s="287" t="s">
        <v>192</v>
      </c>
      <c r="H122" s="288" t="s">
        <v>192</v>
      </c>
      <c r="I122" s="72"/>
    </row>
    <row r="123" spans="1:10" ht="17.45" customHeight="1" x14ac:dyDescent="0.2">
      <c r="A123" s="95" t="s">
        <v>43</v>
      </c>
      <c r="B123" s="218">
        <v>8.25</v>
      </c>
      <c r="C123" s="218">
        <v>8.25</v>
      </c>
      <c r="D123" s="218">
        <v>8.25</v>
      </c>
      <c r="E123" s="218">
        <v>8.25</v>
      </c>
      <c r="F123" s="218">
        <v>8.25</v>
      </c>
      <c r="G123" s="289">
        <v>12.25</v>
      </c>
      <c r="H123" s="290">
        <v>12.25</v>
      </c>
      <c r="I123" s="72"/>
    </row>
    <row r="124" spans="1:10" ht="17.45" customHeight="1" x14ac:dyDescent="0.2">
      <c r="A124" s="286"/>
      <c r="B124" s="30" t="s">
        <v>16</v>
      </c>
      <c r="C124" s="30" t="s">
        <v>16</v>
      </c>
      <c r="D124" s="30" t="s">
        <v>16</v>
      </c>
      <c r="E124" s="30" t="s">
        <v>16</v>
      </c>
      <c r="F124" s="30" t="s">
        <v>16</v>
      </c>
      <c r="G124" s="31"/>
      <c r="H124" s="291"/>
      <c r="I124" s="72"/>
    </row>
    <row r="125" spans="1:10" ht="17.45" customHeight="1" x14ac:dyDescent="0.2">
      <c r="A125" s="95" t="s">
        <v>209</v>
      </c>
      <c r="B125" s="34"/>
      <c r="C125" s="34"/>
      <c r="D125" s="34"/>
      <c r="E125" s="34"/>
      <c r="F125" s="34"/>
      <c r="G125" s="139"/>
      <c r="H125" s="292"/>
      <c r="I125" s="72"/>
    </row>
    <row r="126" spans="1:10" ht="17.45" customHeight="1" x14ac:dyDescent="0.2">
      <c r="A126" s="286"/>
      <c r="B126" s="247" t="s">
        <v>218</v>
      </c>
      <c r="C126" s="247" t="s">
        <v>218</v>
      </c>
      <c r="D126" s="247" t="s">
        <v>218</v>
      </c>
      <c r="E126" s="247" t="s">
        <v>218</v>
      </c>
      <c r="F126" s="247" t="s">
        <v>219</v>
      </c>
      <c r="G126" s="240" t="s">
        <v>220</v>
      </c>
      <c r="H126" s="241" t="s">
        <v>220</v>
      </c>
      <c r="I126" s="72"/>
    </row>
    <row r="127" spans="1:10" ht="17.45" customHeight="1" x14ac:dyDescent="0.2">
      <c r="A127" s="95" t="s">
        <v>61</v>
      </c>
      <c r="B127" s="249">
        <v>7</v>
      </c>
      <c r="C127" s="249">
        <v>7</v>
      </c>
      <c r="D127" s="249">
        <v>7</v>
      </c>
      <c r="E127" s="249">
        <v>7</v>
      </c>
      <c r="F127" s="249">
        <v>6.5</v>
      </c>
      <c r="G127" s="245">
        <v>12</v>
      </c>
      <c r="H127" s="246">
        <v>12</v>
      </c>
      <c r="I127" s="72"/>
    </row>
    <row r="128" spans="1:10" ht="17.45" customHeight="1" x14ac:dyDescent="0.2">
      <c r="A128" s="286"/>
      <c r="B128" s="30" t="s">
        <v>16</v>
      </c>
      <c r="C128" s="30" t="s">
        <v>16</v>
      </c>
      <c r="D128" s="30" t="s">
        <v>16</v>
      </c>
      <c r="E128" s="30" t="s">
        <v>16</v>
      </c>
      <c r="F128" s="30" t="s">
        <v>16</v>
      </c>
      <c r="G128" s="31"/>
      <c r="H128" s="291"/>
      <c r="I128" s="72"/>
    </row>
    <row r="129" spans="1:9" ht="17.45" customHeight="1" x14ac:dyDescent="0.2">
      <c r="A129" s="95" t="s">
        <v>235</v>
      </c>
      <c r="B129" s="34"/>
      <c r="C129" s="34"/>
      <c r="D129" s="34"/>
      <c r="E129" s="34"/>
      <c r="F129" s="34"/>
      <c r="G129" s="139"/>
      <c r="H129" s="292"/>
      <c r="I129" s="72"/>
    </row>
    <row r="130" spans="1:9" ht="17.45" customHeight="1" x14ac:dyDescent="0.2">
      <c r="A130" s="286"/>
      <c r="B130" s="269" t="s">
        <v>243</v>
      </c>
      <c r="C130" s="269" t="s">
        <v>243</v>
      </c>
      <c r="D130" s="269" t="s">
        <v>243</v>
      </c>
      <c r="E130" s="269" t="s">
        <v>243</v>
      </c>
      <c r="F130" s="269" t="s">
        <v>243</v>
      </c>
      <c r="G130" s="4"/>
      <c r="H130" s="293"/>
      <c r="I130" s="72"/>
    </row>
    <row r="131" spans="1:9" ht="17.45" customHeight="1" x14ac:dyDescent="0.2">
      <c r="A131" s="95" t="s">
        <v>71</v>
      </c>
      <c r="B131" s="274">
        <v>7</v>
      </c>
      <c r="C131" s="274">
        <v>7</v>
      </c>
      <c r="D131" s="274">
        <v>7</v>
      </c>
      <c r="E131" s="274">
        <v>7</v>
      </c>
      <c r="F131" s="274">
        <v>7</v>
      </c>
      <c r="G131" s="34"/>
      <c r="H131" s="294"/>
      <c r="I131" s="72"/>
    </row>
    <row r="132" spans="1:9" ht="17.45" customHeight="1" x14ac:dyDescent="0.2">
      <c r="A132" s="286"/>
      <c r="B132" s="221" t="s">
        <v>197</v>
      </c>
      <c r="C132" s="221" t="s">
        <v>197</v>
      </c>
      <c r="D132" s="221" t="s">
        <v>197</v>
      </c>
      <c r="E132" s="221" t="s">
        <v>197</v>
      </c>
      <c r="F132" s="221" t="s">
        <v>197</v>
      </c>
      <c r="G132" s="222" t="s">
        <v>198</v>
      </c>
      <c r="H132" s="223" t="s">
        <v>198</v>
      </c>
      <c r="I132" s="72"/>
    </row>
    <row r="133" spans="1:9" ht="17.45" customHeight="1" x14ac:dyDescent="0.2">
      <c r="A133" s="95" t="s">
        <v>201</v>
      </c>
      <c r="B133" s="91">
        <v>7</v>
      </c>
      <c r="C133" s="91">
        <v>7</v>
      </c>
      <c r="D133" s="91">
        <v>7</v>
      </c>
      <c r="E133" s="91">
        <v>7</v>
      </c>
      <c r="F133" s="91">
        <v>7</v>
      </c>
      <c r="G133" s="227">
        <v>11</v>
      </c>
      <c r="H133" s="228">
        <v>11</v>
      </c>
      <c r="I133" s="72"/>
    </row>
    <row r="134" spans="1:9" ht="17.45" customHeight="1" x14ac:dyDescent="0.2">
      <c r="A134" s="286"/>
      <c r="B134" s="30" t="s">
        <v>16</v>
      </c>
      <c r="C134" s="30" t="s">
        <v>16</v>
      </c>
      <c r="D134" s="30" t="s">
        <v>16</v>
      </c>
      <c r="E134" s="30" t="s">
        <v>16</v>
      </c>
      <c r="F134" s="30" t="s">
        <v>16</v>
      </c>
      <c r="G134" s="45"/>
      <c r="H134" s="46"/>
      <c r="I134" s="72"/>
    </row>
    <row r="135" spans="1:9" ht="17.45" customHeight="1" x14ac:dyDescent="0.2">
      <c r="A135" s="95" t="s">
        <v>211</v>
      </c>
      <c r="B135" s="34"/>
      <c r="C135" s="34"/>
      <c r="D135" s="34"/>
      <c r="E135" s="34"/>
      <c r="F135" s="34"/>
      <c r="G135" s="52"/>
      <c r="H135" s="49"/>
      <c r="I135" s="72"/>
    </row>
    <row r="136" spans="1:9" ht="17.45" customHeight="1" x14ac:dyDescent="0.2">
      <c r="A136" s="286"/>
      <c r="B136" s="250" t="s">
        <v>225</v>
      </c>
      <c r="C136" s="250" t="s">
        <v>225</v>
      </c>
      <c r="D136" s="250" t="s">
        <v>225</v>
      </c>
      <c r="E136" s="250" t="s">
        <v>225</v>
      </c>
      <c r="F136" s="250" t="s">
        <v>225</v>
      </c>
      <c r="G136" s="240" t="s">
        <v>226</v>
      </c>
      <c r="H136" s="241" t="s">
        <v>220</v>
      </c>
      <c r="I136" s="72"/>
    </row>
    <row r="137" spans="1:9" ht="17.45" customHeight="1" x14ac:dyDescent="0.2">
      <c r="A137" s="95" t="s">
        <v>229</v>
      </c>
      <c r="B137" s="254">
        <v>7</v>
      </c>
      <c r="C137" s="254">
        <v>7</v>
      </c>
      <c r="D137" s="254">
        <v>7</v>
      </c>
      <c r="E137" s="254">
        <v>7</v>
      </c>
      <c r="F137" s="254">
        <v>7</v>
      </c>
      <c r="G137" s="255">
        <v>9</v>
      </c>
      <c r="H137" s="246">
        <v>12</v>
      </c>
      <c r="I137" s="72"/>
    </row>
    <row r="138" spans="1:9" ht="17.45" customHeight="1" x14ac:dyDescent="0.2">
      <c r="A138" s="286"/>
      <c r="B138" s="30" t="s">
        <v>16</v>
      </c>
      <c r="C138" s="30" t="s">
        <v>16</v>
      </c>
      <c r="D138" s="30" t="s">
        <v>16</v>
      </c>
      <c r="E138" s="30" t="s">
        <v>16</v>
      </c>
      <c r="F138" s="30" t="s">
        <v>16</v>
      </c>
      <c r="G138" s="45"/>
      <c r="H138" s="46"/>
      <c r="I138" s="72"/>
    </row>
    <row r="139" spans="1:9" ht="17.45" customHeight="1" x14ac:dyDescent="0.2">
      <c r="A139" s="111" t="s">
        <v>237</v>
      </c>
      <c r="B139" s="34"/>
      <c r="C139" s="34"/>
      <c r="D139" s="34"/>
      <c r="E139" s="34"/>
      <c r="F139" s="34"/>
      <c r="G139" s="52"/>
      <c r="H139" s="49"/>
      <c r="I139" s="72"/>
    </row>
    <row r="140" spans="1:9" ht="17.45" customHeight="1" x14ac:dyDescent="0.2">
      <c r="A140" s="286"/>
      <c r="B140" s="275" t="s">
        <v>246</v>
      </c>
      <c r="C140" s="275" t="s">
        <v>246</v>
      </c>
      <c r="D140" s="275" t="s">
        <v>246</v>
      </c>
      <c r="E140" s="275" t="s">
        <v>246</v>
      </c>
      <c r="F140" s="275" t="s">
        <v>246</v>
      </c>
      <c r="G140" s="4"/>
      <c r="H140" s="293"/>
      <c r="I140" s="72"/>
    </row>
    <row r="141" spans="1:9" ht="17.45" customHeight="1" x14ac:dyDescent="0.2">
      <c r="A141" s="115" t="s">
        <v>72</v>
      </c>
      <c r="B141" s="277">
        <v>7.5</v>
      </c>
      <c r="C141" s="277">
        <v>7.5</v>
      </c>
      <c r="D141" s="277">
        <v>7.5</v>
      </c>
      <c r="E141" s="277">
        <v>7.5</v>
      </c>
      <c r="F141" s="277">
        <v>7.5</v>
      </c>
      <c r="G141" s="34"/>
      <c r="H141" s="294"/>
      <c r="I141" s="72"/>
    </row>
    <row r="142" spans="1:9" ht="17.45" customHeight="1" x14ac:dyDescent="0.2">
      <c r="A142" s="286"/>
      <c r="B142" s="229" t="s">
        <v>203</v>
      </c>
      <c r="C142" s="229" t="s">
        <v>203</v>
      </c>
      <c r="D142" s="229" t="s">
        <v>203</v>
      </c>
      <c r="E142" s="229" t="s">
        <v>203</v>
      </c>
      <c r="F142" s="229" t="s">
        <v>203</v>
      </c>
      <c r="G142" s="223" t="s">
        <v>204</v>
      </c>
      <c r="H142" s="223" t="s">
        <v>204</v>
      </c>
      <c r="I142" s="72"/>
    </row>
    <row r="143" spans="1:9" ht="17.45" customHeight="1" x14ac:dyDescent="0.2">
      <c r="A143" s="95" t="s">
        <v>207</v>
      </c>
      <c r="B143" s="232">
        <v>8</v>
      </c>
      <c r="C143" s="232">
        <v>8</v>
      </c>
      <c r="D143" s="232">
        <v>8</v>
      </c>
      <c r="E143" s="232">
        <v>8</v>
      </c>
      <c r="F143" s="232">
        <v>8</v>
      </c>
      <c r="G143" s="227">
        <v>12</v>
      </c>
      <c r="H143" s="227">
        <v>12</v>
      </c>
      <c r="I143" s="72"/>
    </row>
    <row r="144" spans="1:9" ht="17.45" customHeight="1" x14ac:dyDescent="0.2">
      <c r="A144" s="295"/>
      <c r="B144" s="30" t="s">
        <v>16</v>
      </c>
      <c r="C144" s="30" t="s">
        <v>16</v>
      </c>
      <c r="D144" s="30" t="s">
        <v>16</v>
      </c>
      <c r="E144" s="30" t="s">
        <v>16</v>
      </c>
      <c r="F144" s="30" t="s">
        <v>16</v>
      </c>
      <c r="G144" s="240" t="s">
        <v>213</v>
      </c>
      <c r="H144" s="241" t="s">
        <v>214</v>
      </c>
      <c r="I144" s="72"/>
    </row>
    <row r="145" spans="1:10" ht="17.45" customHeight="1" x14ac:dyDescent="0.2">
      <c r="A145" s="95" t="s">
        <v>216</v>
      </c>
      <c r="B145" s="34"/>
      <c r="C145" s="34"/>
      <c r="D145" s="34"/>
      <c r="E145" s="34"/>
      <c r="F145" s="34"/>
      <c r="G145" s="245">
        <v>12.25</v>
      </c>
      <c r="H145" s="246">
        <v>12.25</v>
      </c>
      <c r="I145" s="72"/>
    </row>
    <row r="146" spans="1:10" ht="17.45" customHeight="1" x14ac:dyDescent="0.2">
      <c r="A146" s="286"/>
      <c r="B146" s="256" t="s">
        <v>231</v>
      </c>
      <c r="C146" s="256" t="s">
        <v>231</v>
      </c>
      <c r="D146" s="256" t="s">
        <v>231</v>
      </c>
      <c r="E146" s="256" t="s">
        <v>231</v>
      </c>
      <c r="F146" s="256" t="s">
        <v>231</v>
      </c>
      <c r="G146" s="24"/>
      <c r="H146" s="257"/>
      <c r="I146" s="72"/>
    </row>
    <row r="147" spans="1:10" ht="17.45" customHeight="1" x14ac:dyDescent="0.2">
      <c r="A147" s="95" t="s">
        <v>233</v>
      </c>
      <c r="B147" s="261">
        <v>8</v>
      </c>
      <c r="C147" s="261">
        <v>8</v>
      </c>
      <c r="D147" s="261">
        <v>8</v>
      </c>
      <c r="E147" s="261">
        <v>8</v>
      </c>
      <c r="F147" s="261">
        <v>8</v>
      </c>
      <c r="G147" s="17"/>
      <c r="H147" s="262"/>
      <c r="I147" s="72"/>
    </row>
    <row r="148" spans="1:10" ht="17.45" customHeight="1" x14ac:dyDescent="0.2">
      <c r="A148" s="286" t="s">
        <v>28</v>
      </c>
      <c r="B148" s="264" t="s">
        <v>239</v>
      </c>
      <c r="C148" s="264" t="s">
        <v>239</v>
      </c>
      <c r="D148" s="264" t="s">
        <v>239</v>
      </c>
      <c r="E148" s="264" t="s">
        <v>239</v>
      </c>
      <c r="F148" s="264" t="s">
        <v>239</v>
      </c>
      <c r="G148" s="50"/>
      <c r="H148" s="46"/>
      <c r="I148" s="72"/>
    </row>
    <row r="149" spans="1:10" ht="17.45" customHeight="1" x14ac:dyDescent="0.2">
      <c r="A149" s="145" t="s">
        <v>241</v>
      </c>
      <c r="B149" s="268">
        <v>8</v>
      </c>
      <c r="C149" s="268">
        <v>8</v>
      </c>
      <c r="D149" s="268">
        <v>8</v>
      </c>
      <c r="E149" s="268">
        <v>8</v>
      </c>
      <c r="F149" s="268">
        <v>8</v>
      </c>
      <c r="G149" s="52"/>
      <c r="H149" s="49"/>
      <c r="I149" s="72"/>
    </row>
    <row r="150" spans="1:10" ht="17.45" customHeight="1" x14ac:dyDescent="0.2">
      <c r="A150" s="286"/>
      <c r="B150" s="279" t="s">
        <v>249</v>
      </c>
      <c r="C150" s="280" t="s">
        <v>249</v>
      </c>
      <c r="D150" s="280" t="s">
        <v>249</v>
      </c>
      <c r="E150" s="280" t="s">
        <v>249</v>
      </c>
      <c r="F150" s="280" t="s">
        <v>249</v>
      </c>
      <c r="G150" s="4"/>
      <c r="H150" s="293"/>
      <c r="I150" s="72"/>
    </row>
    <row r="151" spans="1:10" ht="17.45" customHeight="1" x14ac:dyDescent="0.2">
      <c r="A151" s="95" t="s">
        <v>73</v>
      </c>
      <c r="B151" s="283">
        <v>8</v>
      </c>
      <c r="C151" s="283">
        <v>8</v>
      </c>
      <c r="D151" s="283">
        <v>8</v>
      </c>
      <c r="E151" s="283">
        <v>8</v>
      </c>
      <c r="F151" s="283">
        <v>8</v>
      </c>
      <c r="G151" s="34"/>
      <c r="H151" s="294"/>
      <c r="I151" s="72"/>
    </row>
    <row r="152" spans="1:10" ht="17.45" customHeight="1" x14ac:dyDescent="0.2">
      <c r="A152" s="72"/>
      <c r="B152" s="72"/>
      <c r="C152" s="72"/>
      <c r="D152" s="72"/>
      <c r="E152" s="72"/>
      <c r="F152" s="72"/>
      <c r="G152" s="72"/>
      <c r="H152" s="173"/>
      <c r="I152" s="72"/>
    </row>
    <row r="153" spans="1:10" ht="17.45" customHeight="1" x14ac:dyDescent="0.2">
      <c r="A153" s="72"/>
      <c r="B153" s="72"/>
      <c r="C153" s="72"/>
      <c r="D153" s="72"/>
      <c r="E153" s="72"/>
      <c r="F153" s="72"/>
      <c r="G153" s="72"/>
      <c r="H153" s="173"/>
      <c r="I153" s="72"/>
    </row>
    <row r="154" spans="1:10" ht="17.100000000000001" customHeight="1" x14ac:dyDescent="0.2">
      <c r="A154" s="1" t="s">
        <v>253</v>
      </c>
      <c r="B154" s="72"/>
      <c r="C154" s="72"/>
      <c r="D154" s="72"/>
      <c r="E154" s="72"/>
      <c r="F154" s="72"/>
    </row>
    <row r="155" spans="1:10" ht="17.100000000000001" customHeight="1" x14ac:dyDescent="0.2">
      <c r="A155" s="23" t="s">
        <v>254</v>
      </c>
      <c r="B155" s="24" t="s">
        <v>2</v>
      </c>
      <c r="C155" s="25" t="s">
        <v>3</v>
      </c>
      <c r="D155" s="25" t="s">
        <v>4</v>
      </c>
      <c r="E155" s="25" t="s">
        <v>5</v>
      </c>
      <c r="F155" s="25" t="s">
        <v>6</v>
      </c>
      <c r="G155" s="25" t="s">
        <v>7</v>
      </c>
      <c r="H155" s="26" t="s">
        <v>8</v>
      </c>
      <c r="I155" s="27" t="s">
        <v>9</v>
      </c>
      <c r="J155" s="28" t="s">
        <v>10</v>
      </c>
    </row>
    <row r="156" spans="1:10" ht="17.100000000000001" customHeight="1" x14ac:dyDescent="0.2">
      <c r="A156" s="29" t="s">
        <v>28</v>
      </c>
      <c r="B156" s="4" t="s">
        <v>255</v>
      </c>
      <c r="C156" s="4" t="s">
        <v>255</v>
      </c>
      <c r="D156" s="4" t="s">
        <v>255</v>
      </c>
      <c r="E156" s="4" t="s">
        <v>255</v>
      </c>
      <c r="F156" s="4" t="s">
        <v>256</v>
      </c>
      <c r="G156" s="5"/>
      <c r="H156" s="5"/>
      <c r="I156" s="30"/>
      <c r="J156" s="32"/>
    </row>
    <row r="157" spans="1:10" ht="17.100000000000001" customHeight="1" x14ac:dyDescent="0.2">
      <c r="A157" s="170" t="s">
        <v>117</v>
      </c>
      <c r="B157" s="1786">
        <v>7.75</v>
      </c>
      <c r="C157" s="1786">
        <v>7.75</v>
      </c>
      <c r="D157" s="1786">
        <v>7.75</v>
      </c>
      <c r="E157" s="1786">
        <v>7.75</v>
      </c>
      <c r="F157" s="1786">
        <v>6</v>
      </c>
      <c r="G157" s="296"/>
      <c r="H157" s="296"/>
      <c r="I157" s="1786">
        <f>SUM(B157:H157)</f>
        <v>37</v>
      </c>
      <c r="J157" s="172"/>
    </row>
    <row r="158" spans="1:10" ht="17.100000000000001" customHeight="1" x14ac:dyDescent="0.2">
      <c r="A158" s="297"/>
      <c r="B158" s="198" t="s">
        <v>257</v>
      </c>
      <c r="C158" s="198" t="s">
        <v>257</v>
      </c>
      <c r="D158" s="198" t="s">
        <v>257</v>
      </c>
      <c r="E158" s="198" t="s">
        <v>257</v>
      </c>
      <c r="F158" s="198" t="s">
        <v>258</v>
      </c>
      <c r="G158" s="181"/>
      <c r="H158" s="181"/>
      <c r="I158" s="132"/>
      <c r="J158" s="199"/>
    </row>
    <row r="159" spans="1:10" ht="17.100000000000001" customHeight="1" x14ac:dyDescent="0.2">
      <c r="A159" s="200" t="s">
        <v>146</v>
      </c>
      <c r="B159" s="4" t="s">
        <v>2</v>
      </c>
      <c r="C159" s="5" t="s">
        <v>3</v>
      </c>
      <c r="D159" s="5" t="s">
        <v>4</v>
      </c>
      <c r="E159" s="5" t="s">
        <v>5</v>
      </c>
      <c r="F159" s="5" t="s">
        <v>6</v>
      </c>
      <c r="G159" s="5" t="s">
        <v>7</v>
      </c>
      <c r="H159" s="5" t="s">
        <v>8</v>
      </c>
      <c r="I159" s="45" t="s">
        <v>9</v>
      </c>
      <c r="J159" s="8" t="s">
        <v>10</v>
      </c>
    </row>
    <row r="160" spans="1:10" ht="17.100000000000001" customHeight="1" x14ac:dyDescent="0.2">
      <c r="A160" s="170" t="s">
        <v>28</v>
      </c>
      <c r="B160" s="298" t="s">
        <v>259</v>
      </c>
      <c r="C160" s="298" t="s">
        <v>259</v>
      </c>
      <c r="D160" s="298" t="s">
        <v>259</v>
      </c>
      <c r="E160" s="298" t="s">
        <v>259</v>
      </c>
      <c r="F160" s="298" t="s">
        <v>260</v>
      </c>
      <c r="G160" s="296"/>
      <c r="H160" s="296"/>
      <c r="I160" s="1786"/>
      <c r="J160" s="172"/>
    </row>
    <row r="161" spans="1:10" ht="17.100000000000001" customHeight="1" x14ac:dyDescent="0.2">
      <c r="A161" s="1786" t="s">
        <v>261</v>
      </c>
      <c r="B161" s="298" t="s">
        <v>150</v>
      </c>
      <c r="C161" s="298" t="s">
        <v>150</v>
      </c>
      <c r="D161" s="298" t="s">
        <v>150</v>
      </c>
      <c r="E161" s="298" t="s">
        <v>150</v>
      </c>
      <c r="F161" s="298" t="s">
        <v>151</v>
      </c>
      <c r="G161" s="296"/>
      <c r="H161" s="296"/>
      <c r="I161" s="1786"/>
      <c r="J161" s="172"/>
    </row>
    <row r="162" spans="1:10" ht="17.100000000000001" customHeight="1" x14ac:dyDescent="0.2">
      <c r="A162" s="124"/>
      <c r="B162" s="124">
        <v>7.75</v>
      </c>
      <c r="C162" s="124">
        <v>7.75</v>
      </c>
      <c r="D162" s="124">
        <v>7.75</v>
      </c>
      <c r="E162" s="124">
        <v>7.75</v>
      </c>
      <c r="F162" s="124">
        <v>6</v>
      </c>
      <c r="G162" s="126"/>
      <c r="H162" s="127"/>
      <c r="I162" s="143">
        <f>SUM(B162:H162)</f>
        <v>37</v>
      </c>
      <c r="J162" s="85"/>
    </row>
    <row r="163" spans="1:10" ht="17.100000000000001" customHeight="1" x14ac:dyDescent="0.2">
      <c r="A163" s="299" t="s">
        <v>30</v>
      </c>
      <c r="B163" s="300">
        <f>SUM(B157,B162)</f>
        <v>15.5</v>
      </c>
      <c r="C163" s="300">
        <f>SUM(C157,C162)</f>
        <v>15.5</v>
      </c>
      <c r="D163" s="300">
        <f>SUM(D157,D162)</f>
        <v>15.5</v>
      </c>
      <c r="E163" s="300">
        <f>SUM(E157,E162)</f>
        <v>15.5</v>
      </c>
      <c r="F163" s="300">
        <f>SUM(F157,F162)</f>
        <v>12</v>
      </c>
      <c r="G163" s="63"/>
      <c r="H163" s="301"/>
      <c r="I163" s="302">
        <f>SUM(B163:H163)</f>
        <v>74</v>
      </c>
      <c r="J163" s="303"/>
    </row>
    <row r="164" spans="1:10" ht="17.100000000000001" customHeight="1" x14ac:dyDescent="0.2">
      <c r="A164" s="273"/>
      <c r="B164" s="72"/>
      <c r="C164" s="72"/>
      <c r="D164" s="72"/>
      <c r="E164" s="72"/>
      <c r="F164" s="138"/>
      <c r="G164" s="203" t="s">
        <v>152</v>
      </c>
      <c r="H164" s="203" t="s">
        <v>153</v>
      </c>
      <c r="I164" s="203" t="s">
        <v>154</v>
      </c>
      <c r="J164" s="73"/>
    </row>
    <row r="165" spans="1:10" ht="17.100000000000001" customHeight="1" x14ac:dyDescent="0.2">
      <c r="A165" s="273"/>
      <c r="B165" s="72"/>
      <c r="C165" s="72"/>
      <c r="D165" s="72"/>
      <c r="E165" s="72"/>
      <c r="F165" s="138"/>
      <c r="G165" s="1786">
        <f>SUM(I163)</f>
        <v>74</v>
      </c>
      <c r="H165" s="168">
        <f>SUM(G165*13/3)</f>
        <v>320.66666666666669</v>
      </c>
      <c r="I165" s="1786">
        <f>SUM(H165*12)</f>
        <v>3848</v>
      </c>
      <c r="J165" s="73"/>
    </row>
    <row r="166" spans="1:10" ht="17.100000000000001" customHeight="1" x14ac:dyDescent="0.2">
      <c r="A166" s="1" t="s">
        <v>262</v>
      </c>
      <c r="B166" s="72"/>
      <c r="C166" s="72"/>
      <c r="D166" s="72"/>
      <c r="E166" s="72"/>
      <c r="F166" s="72"/>
    </row>
    <row r="167" spans="1:10" ht="17.100000000000001" customHeight="1" x14ac:dyDescent="0.2">
      <c r="A167" s="200" t="s">
        <v>263</v>
      </c>
      <c r="B167" s="4" t="s">
        <v>2</v>
      </c>
      <c r="C167" s="5" t="s">
        <v>3</v>
      </c>
      <c r="D167" s="5" t="s">
        <v>4</v>
      </c>
      <c r="E167" s="5" t="s">
        <v>5</v>
      </c>
      <c r="F167" s="5" t="s">
        <v>6</v>
      </c>
      <c r="G167" s="5" t="s">
        <v>7</v>
      </c>
      <c r="H167" s="5" t="s">
        <v>8</v>
      </c>
      <c r="I167" s="45" t="s">
        <v>9</v>
      </c>
      <c r="J167" s="8" t="s">
        <v>10</v>
      </c>
    </row>
    <row r="168" spans="1:10" ht="17.100000000000001" customHeight="1" x14ac:dyDescent="0.2">
      <c r="A168" s="170" t="s">
        <v>28</v>
      </c>
      <c r="B168" s="1786" t="s">
        <v>264</v>
      </c>
      <c r="C168" s="1786" t="s">
        <v>264</v>
      </c>
      <c r="D168" s="1786" t="s">
        <v>264</v>
      </c>
      <c r="E168" s="1786" t="s">
        <v>264</v>
      </c>
      <c r="F168" s="1786" t="s">
        <v>265</v>
      </c>
      <c r="G168" s="296"/>
      <c r="H168" s="296"/>
      <c r="I168" s="1786"/>
      <c r="J168" s="172"/>
    </row>
    <row r="169" spans="1:10" ht="17.100000000000001" customHeight="1" x14ac:dyDescent="0.2">
      <c r="A169" s="170" t="s">
        <v>119</v>
      </c>
      <c r="B169" s="1786">
        <v>8</v>
      </c>
      <c r="C169" s="1786">
        <v>8</v>
      </c>
      <c r="D169" s="1786">
        <v>8</v>
      </c>
      <c r="E169" s="1786">
        <v>8</v>
      </c>
      <c r="F169" s="1786">
        <v>5</v>
      </c>
      <c r="G169" s="296"/>
      <c r="H169" s="296"/>
      <c r="I169" s="1786">
        <f>SUM(B169:H169)</f>
        <v>37</v>
      </c>
      <c r="J169" s="172"/>
    </row>
    <row r="170" spans="1:10" ht="17.100000000000001" customHeight="1" x14ac:dyDescent="0.2">
      <c r="A170" s="33"/>
      <c r="B170" s="163" t="s">
        <v>266</v>
      </c>
      <c r="C170" s="163" t="s">
        <v>266</v>
      </c>
      <c r="D170" s="163" t="s">
        <v>266</v>
      </c>
      <c r="E170" s="163" t="s">
        <v>266</v>
      </c>
      <c r="F170" s="163" t="s">
        <v>267</v>
      </c>
      <c r="G170" s="164"/>
      <c r="H170" s="164"/>
      <c r="I170" s="34"/>
      <c r="J170" s="141"/>
    </row>
    <row r="171" spans="1:10" ht="17.100000000000001" customHeight="1" x14ac:dyDescent="0.2">
      <c r="A171" s="273"/>
      <c r="B171" s="72"/>
      <c r="C171" s="72"/>
      <c r="D171" s="72"/>
      <c r="E171" s="72"/>
      <c r="F171" s="138"/>
      <c r="G171" s="166" t="s">
        <v>152</v>
      </c>
      <c r="H171" s="166" t="s">
        <v>153</v>
      </c>
      <c r="I171" s="166" t="s">
        <v>154</v>
      </c>
      <c r="J171" s="73"/>
    </row>
    <row r="172" spans="1:10" ht="15.75" customHeight="1" x14ac:dyDescent="0.2">
      <c r="A172" s="273"/>
      <c r="B172" s="72"/>
      <c r="C172" s="72"/>
      <c r="D172" s="72"/>
      <c r="E172" s="72"/>
      <c r="F172" s="138"/>
      <c r="G172" s="1786">
        <f>I169</f>
        <v>37</v>
      </c>
      <c r="H172" s="168">
        <f>SUM(G172*13/3)</f>
        <v>160.33333333333334</v>
      </c>
      <c r="I172" s="1786">
        <f>SUM(H172*12)</f>
        <v>1924</v>
      </c>
      <c r="J172" s="73"/>
    </row>
    <row r="173" spans="1:10" ht="15.75" customHeight="1" x14ac:dyDescent="0.2">
      <c r="A173" s="273"/>
      <c r="B173" s="72"/>
      <c r="C173" s="72"/>
      <c r="D173" s="72"/>
      <c r="E173" s="72"/>
      <c r="F173" s="138"/>
      <c r="G173" s="72"/>
      <c r="H173" s="173"/>
      <c r="I173" s="72"/>
      <c r="J173" s="73"/>
    </row>
    <row r="174" spans="1:10" ht="15.75" customHeight="1" x14ac:dyDescent="0.2">
      <c r="A174" s="273"/>
      <c r="B174" s="72"/>
      <c r="C174" s="72"/>
      <c r="D174" s="72"/>
      <c r="E174" s="72"/>
      <c r="F174" s="138"/>
      <c r="G174" s="72"/>
      <c r="H174" s="173"/>
      <c r="I174" s="72"/>
      <c r="J174" s="73"/>
    </row>
    <row r="175" spans="1:10" ht="15.75" customHeight="1" x14ac:dyDescent="0.2">
      <c r="A175" s="273"/>
      <c r="B175" s="72"/>
      <c r="C175" s="72"/>
      <c r="D175" s="72"/>
      <c r="E175" s="72"/>
      <c r="F175" s="138"/>
      <c r="G175" s="72"/>
      <c r="H175" s="173"/>
      <c r="I175" s="72"/>
      <c r="J175" s="73"/>
    </row>
    <row r="176" spans="1:10" ht="15.75" customHeight="1" x14ac:dyDescent="0.2">
      <c r="A176" s="273"/>
      <c r="B176" s="72"/>
      <c r="C176" s="72"/>
      <c r="D176" s="72"/>
      <c r="E176" s="72"/>
      <c r="F176" s="138"/>
      <c r="G176" s="72"/>
      <c r="H176" s="173"/>
      <c r="I176" s="72"/>
      <c r="J176" s="73"/>
    </row>
    <row r="177" spans="1:10" ht="15.75" customHeight="1" x14ac:dyDescent="0.2">
      <c r="A177" s="273"/>
      <c r="B177" s="72"/>
      <c r="C177" s="72"/>
      <c r="D177" s="72"/>
      <c r="E177" s="72"/>
      <c r="F177" s="138"/>
      <c r="G177" s="72"/>
      <c r="H177" s="173"/>
      <c r="I177" s="72"/>
      <c r="J177" s="73"/>
    </row>
    <row r="178" spans="1:10" ht="15.75" customHeight="1" x14ac:dyDescent="0.2">
      <c r="A178" s="273"/>
      <c r="B178" s="72"/>
      <c r="C178" s="72"/>
      <c r="D178" s="72"/>
      <c r="E178" s="72"/>
      <c r="F178" s="138"/>
      <c r="G178" s="72"/>
      <c r="H178" s="173"/>
      <c r="I178" s="72"/>
      <c r="J178" s="73"/>
    </row>
    <row r="179" spans="1:10" ht="15.75" customHeight="1" x14ac:dyDescent="0.2">
      <c r="A179" s="273"/>
      <c r="B179" s="72"/>
      <c r="C179" s="72"/>
      <c r="D179" s="72"/>
      <c r="E179" s="72"/>
      <c r="F179" s="138"/>
      <c r="G179" s="72"/>
      <c r="H179" s="173"/>
      <c r="I179" s="72"/>
      <c r="J179" s="73"/>
    </row>
    <row r="180" spans="1:10" ht="17.100000000000001" customHeight="1" x14ac:dyDescent="0.2">
      <c r="A180" s="72"/>
      <c r="B180" s="72"/>
      <c r="C180" s="72"/>
      <c r="D180" s="72"/>
      <c r="E180" s="72"/>
      <c r="F180" s="72"/>
      <c r="G180" s="72"/>
      <c r="H180" s="173"/>
      <c r="I180" s="72"/>
      <c r="J180" s="73"/>
    </row>
    <row r="181" spans="1:10" ht="17.100000000000001" customHeight="1" x14ac:dyDescent="0.2">
      <c r="A181" s="1" t="s">
        <v>268</v>
      </c>
      <c r="B181" s="72"/>
      <c r="C181" s="72"/>
      <c r="D181" s="72"/>
      <c r="E181" s="72"/>
      <c r="F181" s="72"/>
    </row>
    <row r="182" spans="1:10" ht="17.100000000000001" customHeight="1" x14ac:dyDescent="0.2">
      <c r="A182" s="23" t="s">
        <v>123</v>
      </c>
      <c r="B182" s="24" t="s">
        <v>2</v>
      </c>
      <c r="C182" s="25" t="s">
        <v>3</v>
      </c>
      <c r="D182" s="25" t="s">
        <v>4</v>
      </c>
      <c r="E182" s="25" t="s">
        <v>5</v>
      </c>
      <c r="F182" s="25" t="s">
        <v>6</v>
      </c>
      <c r="G182" s="25" t="s">
        <v>7</v>
      </c>
      <c r="H182" s="26" t="s">
        <v>8</v>
      </c>
      <c r="I182" s="27" t="s">
        <v>9</v>
      </c>
      <c r="J182" s="28" t="s">
        <v>10</v>
      </c>
    </row>
    <row r="183" spans="1:10" ht="17.100000000000001" customHeight="1" x14ac:dyDescent="0.2">
      <c r="A183" s="29" t="s">
        <v>87</v>
      </c>
      <c r="B183" s="30" t="s">
        <v>269</v>
      </c>
      <c r="C183" s="30" t="s">
        <v>269</v>
      </c>
      <c r="D183" s="30" t="s">
        <v>269</v>
      </c>
      <c r="E183" s="30" t="s">
        <v>269</v>
      </c>
      <c r="F183" s="304" t="s">
        <v>270</v>
      </c>
      <c r="G183" s="5"/>
      <c r="H183" s="5"/>
      <c r="I183" s="30"/>
      <c r="J183" s="32" t="s">
        <v>28</v>
      </c>
    </row>
    <row r="184" spans="1:10" ht="17.100000000000001" customHeight="1" x14ac:dyDescent="0.2">
      <c r="A184" s="305"/>
      <c r="B184" s="1786">
        <v>8</v>
      </c>
      <c r="C184" s="1786">
        <v>8</v>
      </c>
      <c r="D184" s="1786">
        <v>8</v>
      </c>
      <c r="E184" s="1786">
        <v>8</v>
      </c>
      <c r="F184" s="306">
        <v>7</v>
      </c>
      <c r="G184" s="296"/>
      <c r="H184" s="296"/>
      <c r="I184" s="1786">
        <f>SUM(B184:H184)</f>
        <v>39</v>
      </c>
      <c r="J184" s="172"/>
    </row>
    <row r="185" spans="1:10" ht="17.100000000000001" customHeight="1" x14ac:dyDescent="0.2">
      <c r="A185" s="180"/>
      <c r="B185" s="198" t="s">
        <v>271</v>
      </c>
      <c r="C185" s="198" t="s">
        <v>271</v>
      </c>
      <c r="D185" s="198" t="s">
        <v>271</v>
      </c>
      <c r="E185" s="198" t="s">
        <v>271</v>
      </c>
      <c r="F185" s="307" t="s">
        <v>272</v>
      </c>
      <c r="G185" s="181"/>
      <c r="H185" s="181"/>
      <c r="I185" s="132"/>
      <c r="J185" s="199"/>
    </row>
    <row r="186" spans="1:10" ht="17.100000000000001" customHeight="1" x14ac:dyDescent="0.2">
      <c r="A186" s="29" t="s">
        <v>91</v>
      </c>
      <c r="B186" s="30" t="s">
        <v>273</v>
      </c>
      <c r="C186" s="30" t="s">
        <v>273</v>
      </c>
      <c r="D186" s="30" t="s">
        <v>273</v>
      </c>
      <c r="E186" s="30" t="s">
        <v>273</v>
      </c>
      <c r="F186" s="100" t="s">
        <v>274</v>
      </c>
      <c r="G186" s="5"/>
      <c r="H186" s="5"/>
      <c r="I186" s="30"/>
      <c r="J186" s="32"/>
    </row>
    <row r="187" spans="1:10" ht="17.100000000000001" customHeight="1" x14ac:dyDescent="0.2">
      <c r="A187" s="305"/>
      <c r="B187" s="1786">
        <v>6.5</v>
      </c>
      <c r="C187" s="1786">
        <v>6.5</v>
      </c>
      <c r="D187" s="1786">
        <v>6.5</v>
      </c>
      <c r="E187" s="1786">
        <v>6.5</v>
      </c>
      <c r="F187" s="308">
        <v>6.25</v>
      </c>
      <c r="G187" s="296"/>
      <c r="H187" s="296"/>
      <c r="I187" s="1786">
        <f>SUM(B187:H187)</f>
        <v>32.25</v>
      </c>
      <c r="J187" s="172"/>
    </row>
    <row r="188" spans="1:10" ht="17.100000000000001" customHeight="1" x14ac:dyDescent="0.2">
      <c r="A188" s="162"/>
      <c r="B188" s="163" t="s">
        <v>275</v>
      </c>
      <c r="C188" s="163" t="s">
        <v>275</v>
      </c>
      <c r="D188" s="163" t="s">
        <v>275</v>
      </c>
      <c r="E188" s="163" t="s">
        <v>275</v>
      </c>
      <c r="F188" s="309" t="s">
        <v>276</v>
      </c>
      <c r="G188" s="164"/>
      <c r="H188" s="164"/>
      <c r="I188" s="34"/>
      <c r="J188" s="141"/>
    </row>
    <row r="189" spans="1:10" ht="17.100000000000001" customHeight="1" x14ac:dyDescent="0.2">
      <c r="A189" s="195" t="s">
        <v>30</v>
      </c>
      <c r="B189" s="195">
        <f t="shared" ref="B189:I189" si="3">SUM(B184,B187)</f>
        <v>14.5</v>
      </c>
      <c r="C189" s="195">
        <f t="shared" si="3"/>
        <v>14.5</v>
      </c>
      <c r="D189" s="195">
        <f t="shared" si="3"/>
        <v>14.5</v>
      </c>
      <c r="E189" s="195">
        <f t="shared" si="3"/>
        <v>14.5</v>
      </c>
      <c r="F189" s="195">
        <f t="shared" si="3"/>
        <v>13.25</v>
      </c>
      <c r="G189" s="195">
        <f t="shared" si="3"/>
        <v>0</v>
      </c>
      <c r="H189" s="195">
        <f t="shared" si="3"/>
        <v>0</v>
      </c>
      <c r="I189" s="195">
        <f t="shared" si="3"/>
        <v>71.25</v>
      </c>
      <c r="J189" s="197"/>
    </row>
    <row r="190" spans="1:10" ht="17.100000000000001" customHeight="1" x14ac:dyDescent="0.2">
      <c r="A190" s="72"/>
      <c r="B190" s="72"/>
      <c r="C190" s="72"/>
      <c r="D190" s="72"/>
      <c r="E190" s="72"/>
      <c r="F190" s="72"/>
      <c r="G190" s="203" t="s">
        <v>152</v>
      </c>
      <c r="H190" s="203" t="s">
        <v>153</v>
      </c>
      <c r="I190" s="203" t="s">
        <v>154</v>
      </c>
    </row>
    <row r="191" spans="1:10" ht="17.100000000000001" customHeight="1" x14ac:dyDescent="0.2">
      <c r="A191" s="72"/>
      <c r="B191" s="72"/>
      <c r="C191" s="72"/>
      <c r="D191" s="72"/>
      <c r="E191" s="72"/>
      <c r="F191" s="72"/>
      <c r="G191" s="1786">
        <f>I189</f>
        <v>71.25</v>
      </c>
      <c r="H191" s="168">
        <f>SUM(G191*13/3)</f>
        <v>308.75</v>
      </c>
      <c r="I191" s="1786">
        <f>SUM(H191*12)</f>
        <v>3705</v>
      </c>
    </row>
    <row r="192" spans="1:10" ht="17.100000000000001" customHeight="1" x14ac:dyDescent="0.2">
      <c r="A192" s="72"/>
      <c r="B192" s="72"/>
      <c r="C192" s="72"/>
      <c r="D192" s="72"/>
      <c r="E192" s="72"/>
      <c r="F192" s="72"/>
      <c r="G192" s="72"/>
      <c r="H192" s="173"/>
      <c r="I192" s="72"/>
    </row>
    <row r="193" spans="1:10" ht="18" customHeight="1" x14ac:dyDescent="0.2">
      <c r="A193" s="1" t="s">
        <v>103</v>
      </c>
      <c r="B193" s="72"/>
      <c r="C193" s="72"/>
      <c r="D193" s="72"/>
      <c r="E193" s="72"/>
      <c r="F193" s="72"/>
    </row>
    <row r="194" spans="1:10" ht="18" customHeight="1" x14ac:dyDescent="0.2">
      <c r="A194" s="23" t="s">
        <v>104</v>
      </c>
      <c r="B194" s="24" t="s">
        <v>2</v>
      </c>
      <c r="C194" s="25" t="s">
        <v>3</v>
      </c>
      <c r="D194" s="25" t="s">
        <v>4</v>
      </c>
      <c r="E194" s="25" t="s">
        <v>5</v>
      </c>
      <c r="F194" s="25" t="s">
        <v>6</v>
      </c>
      <c r="G194" s="25" t="s">
        <v>7</v>
      </c>
      <c r="H194" s="26" t="s">
        <v>8</v>
      </c>
      <c r="I194" s="27" t="s">
        <v>9</v>
      </c>
      <c r="J194" s="28" t="s">
        <v>10</v>
      </c>
    </row>
    <row r="195" spans="1:10" ht="18" customHeight="1" x14ac:dyDescent="0.2">
      <c r="A195" s="29" t="s">
        <v>105</v>
      </c>
      <c r="B195" s="30" t="s">
        <v>89</v>
      </c>
      <c r="C195" s="30" t="s">
        <v>89</v>
      </c>
      <c r="D195" s="30" t="s">
        <v>89</v>
      </c>
      <c r="E195" s="30" t="s">
        <v>89</v>
      </c>
      <c r="F195" s="30" t="s">
        <v>77</v>
      </c>
      <c r="G195" s="5"/>
      <c r="H195" s="5"/>
      <c r="I195" s="30"/>
      <c r="J195" s="32"/>
    </row>
    <row r="196" spans="1:10" ht="18" customHeight="1" x14ac:dyDescent="0.2">
      <c r="A196" s="305"/>
      <c r="B196" s="1786">
        <v>7.5</v>
      </c>
      <c r="C196" s="1786">
        <v>7.5</v>
      </c>
      <c r="D196" s="1786">
        <v>7.5</v>
      </c>
      <c r="E196" s="1786">
        <v>7.5</v>
      </c>
      <c r="F196" s="171">
        <v>7</v>
      </c>
      <c r="G196" s="296"/>
      <c r="H196" s="296"/>
      <c r="I196" s="1786">
        <f>SUM(B196:H196)</f>
        <v>37</v>
      </c>
      <c r="J196" s="172"/>
    </row>
    <row r="197" spans="1:10" ht="18" customHeight="1" x14ac:dyDescent="0.2">
      <c r="A197" s="180"/>
      <c r="B197" s="198" t="s">
        <v>277</v>
      </c>
      <c r="C197" s="198" t="s">
        <v>277</v>
      </c>
      <c r="D197" s="198" t="s">
        <v>277</v>
      </c>
      <c r="E197" s="198" t="s">
        <v>277</v>
      </c>
      <c r="F197" s="198" t="s">
        <v>278</v>
      </c>
      <c r="G197" s="181"/>
      <c r="H197" s="181"/>
      <c r="I197" s="132"/>
      <c r="J197" s="199"/>
    </row>
    <row r="198" spans="1:10" ht="18" customHeight="1" x14ac:dyDescent="0.2">
      <c r="A198" s="29" t="s">
        <v>106</v>
      </c>
      <c r="B198" s="30" t="s">
        <v>279</v>
      </c>
      <c r="C198" s="30" t="s">
        <v>279</v>
      </c>
      <c r="D198" s="30" t="s">
        <v>279</v>
      </c>
      <c r="E198" s="30" t="s">
        <v>279</v>
      </c>
      <c r="F198" s="30" t="s">
        <v>280</v>
      </c>
      <c r="G198" s="5"/>
      <c r="H198" s="5"/>
      <c r="I198" s="30"/>
      <c r="J198" s="32"/>
    </row>
    <row r="199" spans="1:10" ht="18" customHeight="1" x14ac:dyDescent="0.2">
      <c r="A199" s="305"/>
      <c r="B199" s="1786">
        <v>7</v>
      </c>
      <c r="C199" s="1786">
        <v>7</v>
      </c>
      <c r="D199" s="1786">
        <v>7</v>
      </c>
      <c r="E199" s="1786">
        <v>7</v>
      </c>
      <c r="F199" s="171">
        <v>6</v>
      </c>
      <c r="G199" s="296"/>
      <c r="H199" s="296"/>
      <c r="I199" s="1786">
        <f>SUM(B199:H199)</f>
        <v>34</v>
      </c>
      <c r="J199" s="172"/>
    </row>
    <row r="200" spans="1:10" ht="18" customHeight="1" x14ac:dyDescent="0.2">
      <c r="A200" s="180"/>
      <c r="B200" s="198" t="s">
        <v>281</v>
      </c>
      <c r="C200" s="198" t="s">
        <v>281</v>
      </c>
      <c r="D200" s="198" t="s">
        <v>281</v>
      </c>
      <c r="E200" s="198" t="s">
        <v>281</v>
      </c>
      <c r="F200" s="198" t="s">
        <v>282</v>
      </c>
      <c r="G200" s="181"/>
      <c r="H200" s="181"/>
      <c r="I200" s="132"/>
      <c r="J200" s="199"/>
    </row>
    <row r="201" spans="1:10" ht="18" customHeight="1" x14ac:dyDescent="0.2">
      <c r="A201" s="29" t="s">
        <v>108</v>
      </c>
      <c r="B201" s="30" t="s">
        <v>109</v>
      </c>
      <c r="C201" s="30" t="s">
        <v>109</v>
      </c>
      <c r="D201" s="30" t="s">
        <v>109</v>
      </c>
      <c r="E201" s="30" t="s">
        <v>109</v>
      </c>
      <c r="F201" s="30" t="s">
        <v>110</v>
      </c>
      <c r="G201" s="30"/>
      <c r="H201" s="30"/>
      <c r="I201" s="30"/>
      <c r="J201" s="32"/>
    </row>
    <row r="202" spans="1:10" ht="18" customHeight="1" x14ac:dyDescent="0.2">
      <c r="A202" s="170"/>
      <c r="B202" s="1786" t="s">
        <v>283</v>
      </c>
      <c r="C202" s="1786" t="s">
        <v>283</v>
      </c>
      <c r="D202" s="1786" t="s">
        <v>283</v>
      </c>
      <c r="E202" s="1786" t="s">
        <v>283</v>
      </c>
      <c r="F202" s="1786" t="s">
        <v>283</v>
      </c>
      <c r="G202" s="171"/>
      <c r="H202" s="171"/>
      <c r="I202" s="1786">
        <f>SUM(B202:H202)</f>
        <v>0</v>
      </c>
      <c r="J202" s="172"/>
    </row>
    <row r="203" spans="1:10" ht="18" customHeight="1" x14ac:dyDescent="0.2">
      <c r="A203" s="33"/>
      <c r="B203" s="163" t="s">
        <v>284</v>
      </c>
      <c r="C203" s="163" t="s">
        <v>284</v>
      </c>
      <c r="D203" s="163" t="s">
        <v>284</v>
      </c>
      <c r="E203" s="163" t="s">
        <v>284</v>
      </c>
      <c r="F203" s="163" t="s">
        <v>285</v>
      </c>
      <c r="G203" s="139"/>
      <c r="H203" s="139"/>
      <c r="I203" s="34"/>
      <c r="J203" s="141"/>
    </row>
    <row r="204" spans="1:10" ht="18" customHeight="1" x14ac:dyDescent="0.2">
      <c r="A204" s="195" t="s">
        <v>30</v>
      </c>
      <c r="B204" s="195">
        <f t="shared" ref="B204:I204" si="4">SUM(B196,B199,B202)</f>
        <v>14.5</v>
      </c>
      <c r="C204" s="195">
        <f t="shared" si="4"/>
        <v>14.5</v>
      </c>
      <c r="D204" s="195">
        <f t="shared" si="4"/>
        <v>14.5</v>
      </c>
      <c r="E204" s="195">
        <f t="shared" si="4"/>
        <v>14.5</v>
      </c>
      <c r="F204" s="195">
        <f t="shared" si="4"/>
        <v>13</v>
      </c>
      <c r="G204" s="195">
        <f t="shared" si="4"/>
        <v>0</v>
      </c>
      <c r="H204" s="195">
        <f t="shared" si="4"/>
        <v>0</v>
      </c>
      <c r="I204" s="310">
        <f t="shared" si="4"/>
        <v>71</v>
      </c>
      <c r="J204" s="202"/>
    </row>
    <row r="205" spans="1:10" ht="18" customHeight="1" x14ac:dyDescent="0.2">
      <c r="A205" s="72"/>
      <c r="B205" s="72"/>
      <c r="C205" s="72"/>
      <c r="D205" s="72"/>
      <c r="E205" s="72"/>
      <c r="F205" s="138"/>
      <c r="G205" s="203" t="s">
        <v>152</v>
      </c>
      <c r="H205" s="203" t="s">
        <v>153</v>
      </c>
      <c r="I205" s="203" t="s">
        <v>154</v>
      </c>
      <c r="J205" s="73"/>
    </row>
    <row r="206" spans="1:10" ht="18" customHeight="1" x14ac:dyDescent="0.2">
      <c r="A206" s="72"/>
      <c r="B206" s="72"/>
      <c r="C206" s="72"/>
      <c r="D206" s="72"/>
      <c r="E206" s="72"/>
      <c r="F206" s="72"/>
      <c r="G206" s="1786">
        <f>I204</f>
        <v>71</v>
      </c>
      <c r="H206" s="168">
        <f>SUM(G206*13/3)</f>
        <v>307.66666666666669</v>
      </c>
      <c r="I206" s="1786">
        <f>SUM(H206*12)</f>
        <v>3692</v>
      </c>
      <c r="J206" s="73"/>
    </row>
    <row r="207" spans="1:10" ht="18" customHeight="1" x14ac:dyDescent="0.2">
      <c r="A207" s="72"/>
      <c r="B207" s="72"/>
      <c r="C207" s="72"/>
      <c r="D207" s="72"/>
      <c r="E207" s="72"/>
      <c r="F207" s="72"/>
      <c r="G207" s="72"/>
      <c r="H207" s="173"/>
      <c r="I207" s="72"/>
      <c r="J207" s="73"/>
    </row>
    <row r="208" spans="1:10" ht="18" customHeight="1" x14ac:dyDescent="0.2">
      <c r="A208" s="72"/>
      <c r="B208" s="72"/>
      <c r="C208" s="72"/>
      <c r="D208" s="72"/>
      <c r="E208" s="72"/>
      <c r="F208" s="72"/>
      <c r="G208" s="72"/>
      <c r="H208" s="173"/>
      <c r="I208" s="72"/>
      <c r="J208" s="73"/>
    </row>
    <row r="209" spans="1:10" ht="18" customHeight="1" x14ac:dyDescent="0.2">
      <c r="A209" s="72"/>
      <c r="B209" s="72"/>
      <c r="C209" s="72"/>
      <c r="D209" s="72"/>
      <c r="E209" s="72"/>
      <c r="F209" s="72"/>
      <c r="G209" s="72"/>
      <c r="H209" s="173"/>
      <c r="I209" s="72"/>
      <c r="J209" s="73"/>
    </row>
    <row r="210" spans="1:10" ht="18" customHeight="1" x14ac:dyDescent="0.2">
      <c r="A210" s="72"/>
      <c r="B210" s="72"/>
      <c r="C210" s="72"/>
      <c r="D210" s="72"/>
      <c r="E210" s="72"/>
      <c r="F210" s="72"/>
      <c r="G210" s="72"/>
      <c r="H210" s="173"/>
      <c r="I210" s="72"/>
      <c r="J210" s="73"/>
    </row>
    <row r="211" spans="1:10" ht="18" customHeight="1" x14ac:dyDescent="0.2">
      <c r="A211" s="72"/>
      <c r="B211" s="72"/>
      <c r="C211" s="72"/>
      <c r="D211" s="72"/>
      <c r="E211" s="72"/>
      <c r="F211" s="72"/>
      <c r="G211" s="72"/>
      <c r="H211" s="173"/>
      <c r="I211" s="72"/>
      <c r="J211" s="73"/>
    </row>
    <row r="212" spans="1:10" ht="18" customHeight="1" x14ac:dyDescent="0.2">
      <c r="A212" s="72"/>
      <c r="B212" s="72"/>
      <c r="C212" s="72"/>
      <c r="D212" s="72"/>
      <c r="E212" s="72"/>
      <c r="F212" s="72"/>
      <c r="G212" s="72"/>
      <c r="H212" s="173"/>
      <c r="I212" s="72"/>
      <c r="J212" s="73"/>
    </row>
    <row r="213" spans="1:10" ht="18" customHeight="1" x14ac:dyDescent="0.2">
      <c r="A213" s="72"/>
      <c r="B213" s="72"/>
      <c r="C213" s="72"/>
      <c r="D213" s="72"/>
      <c r="E213" s="72"/>
      <c r="F213" s="72"/>
      <c r="G213" s="72"/>
      <c r="H213" s="173"/>
      <c r="I213" s="72"/>
      <c r="J213" s="73"/>
    </row>
    <row r="214" spans="1:10" ht="18" customHeight="1" x14ac:dyDescent="0.2">
      <c r="A214" s="72"/>
      <c r="B214" s="72"/>
      <c r="C214" s="72"/>
      <c r="D214" s="72"/>
      <c r="E214" s="72"/>
      <c r="F214" s="72"/>
      <c r="G214" s="72"/>
      <c r="H214" s="173"/>
      <c r="I214" s="72"/>
      <c r="J214" s="73"/>
    </row>
    <row r="215" spans="1:10" ht="18" customHeight="1" x14ac:dyDescent="0.2">
      <c r="A215" s="72"/>
      <c r="B215" s="72"/>
      <c r="C215" s="72"/>
      <c r="D215" s="72"/>
      <c r="E215" s="72"/>
      <c r="F215" s="72"/>
      <c r="G215" s="72"/>
      <c r="H215" s="173"/>
      <c r="I215" s="72"/>
      <c r="J215" s="73"/>
    </row>
    <row r="216" spans="1:10" ht="18" customHeight="1" x14ac:dyDescent="0.2">
      <c r="A216" s="72"/>
      <c r="B216" s="72"/>
      <c r="C216" s="72"/>
      <c r="D216" s="72"/>
      <c r="E216" s="72"/>
      <c r="F216" s="72"/>
      <c r="G216" s="72"/>
      <c r="H216" s="173"/>
      <c r="I216" s="72"/>
      <c r="J216" s="73"/>
    </row>
    <row r="217" spans="1:10" ht="18" customHeight="1" x14ac:dyDescent="0.2">
      <c r="A217" s="72"/>
      <c r="B217" s="72"/>
      <c r="C217" s="72"/>
      <c r="D217" s="72"/>
      <c r="E217" s="72"/>
      <c r="F217" s="72"/>
      <c r="G217" s="72"/>
      <c r="H217" s="173"/>
      <c r="I217" s="72"/>
      <c r="J217" s="73"/>
    </row>
    <row r="218" spans="1:10" ht="18" customHeight="1" x14ac:dyDescent="0.2">
      <c r="A218" s="311" t="s">
        <v>286</v>
      </c>
      <c r="B218" s="72"/>
      <c r="C218" s="72"/>
      <c r="D218" s="72"/>
      <c r="E218" s="72"/>
      <c r="F218" s="138"/>
      <c r="G218" s="138"/>
      <c r="H218" s="138"/>
      <c r="I218" s="72"/>
      <c r="J218" s="73"/>
    </row>
    <row r="219" spans="1:10" ht="18" customHeight="1" x14ac:dyDescent="0.2">
      <c r="A219" s="23" t="s">
        <v>128</v>
      </c>
      <c r="B219" s="24" t="s">
        <v>2</v>
      </c>
      <c r="C219" s="25" t="s">
        <v>3</v>
      </c>
      <c r="D219" s="25" t="s">
        <v>4</v>
      </c>
      <c r="E219" s="25" t="s">
        <v>5</v>
      </c>
      <c r="F219" s="25" t="s">
        <v>6</v>
      </c>
      <c r="G219" s="25" t="s">
        <v>7</v>
      </c>
      <c r="H219" s="26" t="s">
        <v>8</v>
      </c>
      <c r="I219" s="27" t="s">
        <v>9</v>
      </c>
      <c r="J219" s="28" t="s">
        <v>10</v>
      </c>
    </row>
    <row r="220" spans="1:10" ht="18" customHeight="1" x14ac:dyDescent="0.2">
      <c r="A220" s="29" t="s">
        <v>28</v>
      </c>
      <c r="B220" s="30" t="s">
        <v>124</v>
      </c>
      <c r="C220" s="30" t="s">
        <v>124</v>
      </c>
      <c r="D220" s="30" t="s">
        <v>124</v>
      </c>
      <c r="E220" s="30" t="s">
        <v>124</v>
      </c>
      <c r="F220" s="31" t="s">
        <v>125</v>
      </c>
      <c r="G220" s="4"/>
      <c r="H220" s="4" t="s">
        <v>28</v>
      </c>
      <c r="I220" s="45"/>
      <c r="J220" s="32" t="s">
        <v>28</v>
      </c>
    </row>
    <row r="221" spans="1:10" ht="18" customHeight="1" x14ac:dyDescent="0.2">
      <c r="A221" s="312">
        <v>1</v>
      </c>
      <c r="B221" s="1786">
        <v>7.75</v>
      </c>
      <c r="C221" s="1786">
        <v>7.75</v>
      </c>
      <c r="D221" s="1786">
        <v>7.75</v>
      </c>
      <c r="E221" s="1786">
        <v>7.75</v>
      </c>
      <c r="F221" s="171">
        <v>6</v>
      </c>
      <c r="G221" s="1786"/>
      <c r="H221" s="1786" t="s">
        <v>28</v>
      </c>
      <c r="I221" s="1786">
        <f>SUM(B221:H221)</f>
        <v>37</v>
      </c>
      <c r="J221" s="172"/>
    </row>
    <row r="222" spans="1:10" ht="18" customHeight="1" x14ac:dyDescent="0.2">
      <c r="A222" s="313"/>
      <c r="B222" s="198" t="s">
        <v>287</v>
      </c>
      <c r="C222" s="198" t="s">
        <v>287</v>
      </c>
      <c r="D222" s="198" t="s">
        <v>287</v>
      </c>
      <c r="E222" s="198" t="s">
        <v>287</v>
      </c>
      <c r="F222" s="198" t="s">
        <v>288</v>
      </c>
      <c r="G222" s="198"/>
      <c r="H222" s="198" t="s">
        <v>28</v>
      </c>
      <c r="I222" s="132"/>
      <c r="J222" s="199"/>
    </row>
    <row r="223" spans="1:10" ht="18" customHeight="1" x14ac:dyDescent="0.2">
      <c r="A223" s="29" t="s">
        <v>28</v>
      </c>
      <c r="B223" s="30" t="s">
        <v>124</v>
      </c>
      <c r="C223" s="30" t="s">
        <v>124</v>
      </c>
      <c r="D223" s="30" t="s">
        <v>124</v>
      </c>
      <c r="E223" s="30" t="s">
        <v>124</v>
      </c>
      <c r="F223" s="31" t="s">
        <v>125</v>
      </c>
      <c r="G223" s="30"/>
      <c r="H223" s="31"/>
      <c r="I223" s="45"/>
      <c r="J223" s="32"/>
    </row>
    <row r="224" spans="1:10" ht="18" customHeight="1" x14ac:dyDescent="0.2">
      <c r="A224" s="312">
        <v>2</v>
      </c>
      <c r="B224" s="1786">
        <v>7.75</v>
      </c>
      <c r="C224" s="1786">
        <v>7.75</v>
      </c>
      <c r="D224" s="1786">
        <v>7.75</v>
      </c>
      <c r="E224" s="1786">
        <v>7.75</v>
      </c>
      <c r="F224" s="171">
        <v>6</v>
      </c>
      <c r="G224" s="171"/>
      <c r="H224" s="171"/>
      <c r="I224" s="1786">
        <f>SUM(B224:H224)</f>
        <v>37</v>
      </c>
      <c r="J224" s="172"/>
    </row>
    <row r="225" spans="1:10" ht="18" customHeight="1" x14ac:dyDescent="0.2">
      <c r="A225" s="313"/>
      <c r="B225" s="198" t="s">
        <v>287</v>
      </c>
      <c r="C225" s="198" t="s">
        <v>287</v>
      </c>
      <c r="D225" s="198" t="s">
        <v>287</v>
      </c>
      <c r="E225" s="198" t="s">
        <v>287</v>
      </c>
      <c r="F225" s="198" t="s">
        <v>288</v>
      </c>
      <c r="G225" s="181"/>
      <c r="H225" s="177"/>
      <c r="I225" s="132"/>
      <c r="J225" s="199"/>
    </row>
    <row r="226" spans="1:10" ht="18" customHeight="1" x14ac:dyDescent="0.2">
      <c r="A226" s="29"/>
      <c r="B226" s="30" t="s">
        <v>124</v>
      </c>
      <c r="C226" s="30" t="s">
        <v>124</v>
      </c>
      <c r="D226" s="30" t="s">
        <v>124</v>
      </c>
      <c r="E226" s="30" t="s">
        <v>124</v>
      </c>
      <c r="F226" s="31" t="s">
        <v>125</v>
      </c>
      <c r="G226" s="30"/>
      <c r="H226" s="31"/>
      <c r="I226" s="45"/>
      <c r="J226" s="32"/>
    </row>
    <row r="227" spans="1:10" ht="18" customHeight="1" x14ac:dyDescent="0.2">
      <c r="A227" s="312">
        <v>3</v>
      </c>
      <c r="B227" s="1786">
        <v>7.75</v>
      </c>
      <c r="C227" s="1786">
        <v>7.75</v>
      </c>
      <c r="D227" s="1786">
        <v>7.75</v>
      </c>
      <c r="E227" s="1786">
        <v>7.75</v>
      </c>
      <c r="F227" s="171">
        <v>6</v>
      </c>
      <c r="G227" s="1786"/>
      <c r="H227" s="171"/>
      <c r="I227" s="1786">
        <f>SUM(B227:H227)</f>
        <v>37</v>
      </c>
      <c r="J227" s="172"/>
    </row>
    <row r="228" spans="1:10" ht="18" customHeight="1" x14ac:dyDescent="0.2">
      <c r="A228" s="313"/>
      <c r="B228" s="198" t="s">
        <v>287</v>
      </c>
      <c r="C228" s="198" t="s">
        <v>287</v>
      </c>
      <c r="D228" s="198" t="s">
        <v>287</v>
      </c>
      <c r="E228" s="198" t="s">
        <v>287</v>
      </c>
      <c r="F228" s="198" t="s">
        <v>288</v>
      </c>
      <c r="G228" s="132"/>
      <c r="H228" s="177"/>
      <c r="I228" s="132"/>
      <c r="J228" s="199"/>
    </row>
    <row r="229" spans="1:10" ht="18" customHeight="1" x14ac:dyDescent="0.2">
      <c r="A229" s="286"/>
      <c r="B229" s="30" t="s">
        <v>124</v>
      </c>
      <c r="C229" s="30" t="s">
        <v>124</v>
      </c>
      <c r="D229" s="30" t="s">
        <v>124</v>
      </c>
      <c r="E229" s="30" t="s">
        <v>124</v>
      </c>
      <c r="F229" s="31" t="s">
        <v>125</v>
      </c>
      <c r="G229" s="31"/>
      <c r="H229" s="31"/>
      <c r="I229" s="45"/>
      <c r="J229" s="32"/>
    </row>
    <row r="230" spans="1:10" ht="18" customHeight="1" x14ac:dyDescent="0.2">
      <c r="A230" s="312">
        <v>4</v>
      </c>
      <c r="B230" s="1786">
        <v>7.75</v>
      </c>
      <c r="C230" s="1786">
        <v>7.75</v>
      </c>
      <c r="D230" s="1786">
        <v>7.75</v>
      </c>
      <c r="E230" s="1786">
        <v>7.75</v>
      </c>
      <c r="F230" s="171">
        <v>6</v>
      </c>
      <c r="G230" s="171"/>
      <c r="H230" s="171"/>
      <c r="I230" s="1786">
        <f>SUM(B230:H230)</f>
        <v>37</v>
      </c>
      <c r="J230" s="172"/>
    </row>
    <row r="231" spans="1:10" ht="18" customHeight="1" x14ac:dyDescent="0.2">
      <c r="A231" s="313"/>
      <c r="B231" s="198" t="s">
        <v>287</v>
      </c>
      <c r="C231" s="198" t="s">
        <v>287</v>
      </c>
      <c r="D231" s="198" t="s">
        <v>287</v>
      </c>
      <c r="E231" s="198" t="s">
        <v>287</v>
      </c>
      <c r="F231" s="198" t="s">
        <v>288</v>
      </c>
      <c r="G231" s="177"/>
      <c r="H231" s="177"/>
      <c r="I231" s="132"/>
      <c r="J231" s="199"/>
    </row>
    <row r="232" spans="1:10" ht="18" customHeight="1" x14ac:dyDescent="0.2">
      <c r="A232" s="29"/>
      <c r="B232" s="30" t="s">
        <v>124</v>
      </c>
      <c r="C232" s="30" t="s">
        <v>124</v>
      </c>
      <c r="D232" s="30" t="s">
        <v>124</v>
      </c>
      <c r="E232" s="30" t="s">
        <v>124</v>
      </c>
      <c r="F232" s="31" t="s">
        <v>125</v>
      </c>
      <c r="G232" s="31"/>
      <c r="H232" s="31"/>
      <c r="I232" s="45"/>
      <c r="J232" s="32"/>
    </row>
    <row r="233" spans="1:10" ht="18" customHeight="1" x14ac:dyDescent="0.2">
      <c r="A233" s="312">
        <v>5</v>
      </c>
      <c r="B233" s="1786">
        <v>7.75</v>
      </c>
      <c r="C233" s="1786">
        <v>7.75</v>
      </c>
      <c r="D233" s="1786">
        <v>7.75</v>
      </c>
      <c r="E233" s="1786">
        <v>7.75</v>
      </c>
      <c r="F233" s="171">
        <v>6</v>
      </c>
      <c r="G233" s="171"/>
      <c r="H233" s="171"/>
      <c r="I233" s="1786">
        <f>SUM(B233:H233)</f>
        <v>37</v>
      </c>
      <c r="J233" s="172"/>
    </row>
    <row r="234" spans="1:10" ht="18" customHeight="1" x14ac:dyDescent="0.2">
      <c r="A234" s="314"/>
      <c r="B234" s="163" t="s">
        <v>287</v>
      </c>
      <c r="C234" s="163" t="s">
        <v>287</v>
      </c>
      <c r="D234" s="163" t="s">
        <v>287</v>
      </c>
      <c r="E234" s="163" t="s">
        <v>287</v>
      </c>
      <c r="F234" s="163" t="s">
        <v>288</v>
      </c>
      <c r="G234" s="139"/>
      <c r="H234" s="139"/>
      <c r="I234" s="34"/>
      <c r="J234" s="141"/>
    </row>
    <row r="235" spans="1:10" ht="18" customHeight="1" x14ac:dyDescent="0.2">
      <c r="A235" s="29"/>
      <c r="B235" s="30" t="s">
        <v>124</v>
      </c>
      <c r="C235" s="30" t="s">
        <v>124</v>
      </c>
      <c r="D235" s="30" t="s">
        <v>124</v>
      </c>
      <c r="E235" s="30" t="s">
        <v>124</v>
      </c>
      <c r="F235" s="31" t="s">
        <v>125</v>
      </c>
      <c r="G235" s="31"/>
      <c r="H235" s="31"/>
      <c r="I235" s="45"/>
      <c r="J235" s="32"/>
    </row>
    <row r="236" spans="1:10" ht="18" customHeight="1" x14ac:dyDescent="0.2">
      <c r="A236" s="312">
        <v>6</v>
      </c>
      <c r="B236" s="1786">
        <v>7.75</v>
      </c>
      <c r="C236" s="1786">
        <v>7.75</v>
      </c>
      <c r="D236" s="1786">
        <v>7.75</v>
      </c>
      <c r="E236" s="1786">
        <v>7.75</v>
      </c>
      <c r="F236" s="171">
        <v>6</v>
      </c>
      <c r="G236" s="171"/>
      <c r="H236" s="171"/>
      <c r="I236" s="1786">
        <f>SUM(B236:H236)</f>
        <v>37</v>
      </c>
      <c r="J236" s="172"/>
    </row>
    <row r="237" spans="1:10" ht="18" customHeight="1" x14ac:dyDescent="0.2">
      <c r="A237" s="314"/>
      <c r="B237" s="163" t="s">
        <v>287</v>
      </c>
      <c r="C237" s="163" t="s">
        <v>287</v>
      </c>
      <c r="D237" s="163" t="s">
        <v>287</v>
      </c>
      <c r="E237" s="163" t="s">
        <v>287</v>
      </c>
      <c r="F237" s="163" t="s">
        <v>288</v>
      </c>
      <c r="G237" s="139"/>
      <c r="H237" s="139"/>
      <c r="I237" s="34"/>
      <c r="J237" s="141"/>
    </row>
    <row r="238" spans="1:10" ht="18" customHeight="1" x14ac:dyDescent="0.2">
      <c r="A238" s="195" t="s">
        <v>30</v>
      </c>
      <c r="B238" s="195">
        <f t="shared" ref="B238:H238" si="5">SUM(B221,B224,B227,B230,B233,B236)</f>
        <v>46.5</v>
      </c>
      <c r="C238" s="195">
        <f t="shared" si="5"/>
        <v>46.5</v>
      </c>
      <c r="D238" s="195">
        <f t="shared" si="5"/>
        <v>46.5</v>
      </c>
      <c r="E238" s="195">
        <f t="shared" si="5"/>
        <v>46.5</v>
      </c>
      <c r="F238" s="195">
        <f t="shared" si="5"/>
        <v>36</v>
      </c>
      <c r="G238" s="195">
        <f t="shared" si="5"/>
        <v>0</v>
      </c>
      <c r="H238" s="195">
        <f t="shared" si="5"/>
        <v>0</v>
      </c>
      <c r="I238" s="310">
        <f>SUM(I221,I224,I227,I230,I236)</f>
        <v>185</v>
      </c>
      <c r="J238" s="202"/>
    </row>
    <row r="239" spans="1:10" ht="18" customHeight="1" x14ac:dyDescent="0.2">
      <c r="A239" s="311"/>
      <c r="B239" s="72"/>
      <c r="C239" s="72"/>
      <c r="D239" s="72"/>
      <c r="E239" s="72"/>
      <c r="F239" s="138"/>
      <c r="G239" s="203" t="s">
        <v>152</v>
      </c>
      <c r="H239" s="203" t="s">
        <v>153</v>
      </c>
      <c r="I239" s="203" t="s">
        <v>154</v>
      </c>
      <c r="J239" s="73"/>
    </row>
    <row r="240" spans="1:10" ht="18" customHeight="1" x14ac:dyDescent="0.2">
      <c r="A240" s="311"/>
      <c r="B240" s="72"/>
      <c r="C240" s="72"/>
      <c r="D240" s="72"/>
      <c r="E240" s="72"/>
      <c r="F240" s="138"/>
      <c r="G240" s="1786">
        <f>I238</f>
        <v>185</v>
      </c>
      <c r="H240" s="168">
        <f>SUM(G240*13/3)</f>
        <v>801.66666666666663</v>
      </c>
      <c r="I240" s="1786">
        <f>SUM(H240*12)</f>
        <v>9620</v>
      </c>
      <c r="J240" s="73"/>
    </row>
    <row r="241" spans="1:10" ht="18" customHeight="1" x14ac:dyDescent="0.2">
      <c r="A241" s="311"/>
      <c r="B241" s="72"/>
      <c r="C241" s="72"/>
      <c r="D241" s="72"/>
      <c r="E241" s="72"/>
      <c r="F241" s="138"/>
      <c r="G241" s="72"/>
      <c r="H241" s="173"/>
      <c r="I241" s="72"/>
      <c r="J241" s="73"/>
    </row>
    <row r="242" spans="1:10" ht="18" customHeight="1" x14ac:dyDescent="0.2">
      <c r="A242" t="s">
        <v>289</v>
      </c>
      <c r="B242" s="72"/>
      <c r="C242" s="72"/>
      <c r="D242" s="72"/>
      <c r="E242" s="72"/>
      <c r="F242" s="138"/>
      <c r="G242" s="138"/>
      <c r="H242" s="138"/>
      <c r="I242" s="72"/>
      <c r="J242" s="73"/>
    </row>
    <row r="243" spans="1:10" ht="18" customHeight="1" x14ac:dyDescent="0.2">
      <c r="A243" s="315" t="s">
        <v>290</v>
      </c>
      <c r="B243" s="24" t="s">
        <v>2</v>
      </c>
      <c r="C243" s="25" t="s">
        <v>3</v>
      </c>
      <c r="D243" s="25" t="s">
        <v>4</v>
      </c>
      <c r="E243" s="25" t="s">
        <v>5</v>
      </c>
      <c r="F243" s="25" t="s">
        <v>6</v>
      </c>
      <c r="G243" s="25" t="s">
        <v>7</v>
      </c>
      <c r="H243" s="26" t="s">
        <v>8</v>
      </c>
      <c r="I243" s="27" t="s">
        <v>9</v>
      </c>
      <c r="J243" s="28" t="s">
        <v>10</v>
      </c>
    </row>
    <row r="244" spans="1:10" ht="18" customHeight="1" x14ac:dyDescent="0.2">
      <c r="A244" s="316" t="s">
        <v>291</v>
      </c>
      <c r="B244" s="50" t="s">
        <v>292</v>
      </c>
      <c r="C244" s="191" t="s">
        <v>293</v>
      </c>
      <c r="D244" s="50" t="s">
        <v>292</v>
      </c>
      <c r="E244" s="50" t="s">
        <v>292</v>
      </c>
      <c r="F244" s="45" t="s">
        <v>294</v>
      </c>
      <c r="G244" s="191"/>
      <c r="H244" s="50"/>
      <c r="I244" s="45"/>
      <c r="J244" s="32" t="s">
        <v>28</v>
      </c>
    </row>
    <row r="245" spans="1:10" ht="18" customHeight="1" x14ac:dyDescent="0.2">
      <c r="A245" s="317" t="s">
        <v>28</v>
      </c>
      <c r="B245" s="318" t="s">
        <v>295</v>
      </c>
      <c r="C245" s="318" t="s">
        <v>295</v>
      </c>
      <c r="D245" s="318" t="s">
        <v>295</v>
      </c>
      <c r="E245" s="318" t="s">
        <v>295</v>
      </c>
      <c r="F245" s="318" t="s">
        <v>296</v>
      </c>
      <c r="G245" s="192"/>
      <c r="H245" s="152"/>
      <c r="I245" s="318"/>
      <c r="J245" s="172"/>
    </row>
    <row r="246" spans="1:10" ht="18" customHeight="1" x14ac:dyDescent="0.2">
      <c r="A246" s="319"/>
      <c r="B246" s="320">
        <v>7.5</v>
      </c>
      <c r="C246" s="320">
        <v>7.5</v>
      </c>
      <c r="D246" s="320">
        <v>7.5</v>
      </c>
      <c r="E246" s="320">
        <v>7.5</v>
      </c>
      <c r="F246" s="320">
        <v>7</v>
      </c>
      <c r="G246" s="321"/>
      <c r="H246" s="52"/>
      <c r="I246" s="320"/>
      <c r="J246" s="322"/>
    </row>
    <row r="247" spans="1:10" ht="18" customHeight="1" x14ac:dyDescent="0.2">
      <c r="A247" s="195" t="s">
        <v>30</v>
      </c>
      <c r="B247" s="323">
        <f>B246</f>
        <v>7.5</v>
      </c>
      <c r="C247" s="323">
        <f>C246</f>
        <v>7.5</v>
      </c>
      <c r="D247" s="323">
        <f>D246</f>
        <v>7.5</v>
      </c>
      <c r="E247" s="323">
        <f>E246</f>
        <v>7.5</v>
      </c>
      <c r="F247" s="323">
        <f>F246</f>
        <v>7</v>
      </c>
      <c r="G247" s="195">
        <f>SUM(G230,G236,G239,G242,G245)</f>
        <v>0</v>
      </c>
      <c r="H247" s="195">
        <f>SUM(H230,H236,H239,H242,H245)</f>
        <v>0</v>
      </c>
      <c r="I247" s="324">
        <v>37</v>
      </c>
      <c r="J247" s="202"/>
    </row>
    <row r="248" spans="1:10" ht="18" customHeight="1" x14ac:dyDescent="0.2">
      <c r="A248" s="311"/>
      <c r="B248" s="72"/>
      <c r="C248" s="72"/>
      <c r="D248" s="72"/>
      <c r="E248" s="72"/>
      <c r="F248" s="138"/>
      <c r="G248" s="203" t="s">
        <v>152</v>
      </c>
      <c r="H248" s="203" t="s">
        <v>153</v>
      </c>
      <c r="I248" s="203" t="s">
        <v>154</v>
      </c>
      <c r="J248" s="73"/>
    </row>
    <row r="249" spans="1:10" ht="18" customHeight="1" x14ac:dyDescent="0.2">
      <c r="A249" s="311"/>
      <c r="B249" s="72"/>
      <c r="C249" s="72"/>
      <c r="D249" s="72"/>
      <c r="E249" s="72"/>
      <c r="F249" s="138"/>
      <c r="G249" s="1786">
        <f>I247</f>
        <v>37</v>
      </c>
      <c r="H249" s="168">
        <f>SUM(G249*13/3)</f>
        <v>160.33333333333334</v>
      </c>
      <c r="I249" s="1786">
        <f>SUM(H249*12)</f>
        <v>1924</v>
      </c>
      <c r="J249" s="73"/>
    </row>
    <row r="250" spans="1:10" ht="18" customHeight="1" x14ac:dyDescent="0.2">
      <c r="A250" s="311"/>
      <c r="B250" s="72"/>
      <c r="C250" s="72"/>
      <c r="D250" s="72"/>
      <c r="E250" s="72"/>
      <c r="F250" s="138"/>
      <c r="G250" s="138"/>
      <c r="H250" s="138"/>
      <c r="I250" s="72"/>
      <c r="J250" s="73"/>
    </row>
    <row r="251" spans="1:10" ht="18" customHeight="1" x14ac:dyDescent="0.2">
      <c r="A251" s="311"/>
      <c r="B251" s="72"/>
      <c r="C251" s="72"/>
      <c r="D251" s="72"/>
      <c r="E251" s="72"/>
      <c r="F251" s="138"/>
      <c r="G251" s="138"/>
      <c r="H251" s="138"/>
      <c r="I251" s="72"/>
      <c r="J251" s="73"/>
    </row>
    <row r="252" spans="1:10" ht="18" customHeight="1" x14ac:dyDescent="0.2">
      <c r="A252" s="311"/>
      <c r="B252" s="72"/>
      <c r="C252" s="72"/>
      <c r="D252" s="72"/>
      <c r="E252" s="72"/>
      <c r="F252" s="138"/>
      <c r="G252" s="138"/>
      <c r="H252" s="138"/>
      <c r="I252" s="72"/>
      <c r="J252" s="73"/>
    </row>
    <row r="253" spans="1:10" ht="18" customHeight="1" x14ac:dyDescent="0.2">
      <c r="A253" s="311"/>
      <c r="B253" s="72"/>
      <c r="C253" s="72"/>
      <c r="D253" s="72"/>
      <c r="E253" s="72"/>
      <c r="F253" s="138"/>
      <c r="G253" s="138"/>
      <c r="H253" s="138"/>
      <c r="I253" s="72"/>
      <c r="J253" s="73"/>
    </row>
    <row r="254" spans="1:10" ht="20.100000000000001" customHeight="1" x14ac:dyDescent="0.2">
      <c r="A254" s="311" t="s">
        <v>297</v>
      </c>
      <c r="B254" s="72"/>
      <c r="C254" s="72"/>
      <c r="D254" s="72"/>
      <c r="E254" s="72"/>
      <c r="F254" s="138"/>
      <c r="G254" s="138"/>
      <c r="H254" s="138"/>
      <c r="I254" s="72"/>
      <c r="J254" s="73"/>
    </row>
    <row r="255" spans="1:10" ht="20.100000000000001" customHeight="1" x14ac:dyDescent="0.2">
      <c r="A255" s="204" t="s">
        <v>298</v>
      </c>
      <c r="B255" s="24" t="s">
        <v>2</v>
      </c>
      <c r="C255" s="25" t="s">
        <v>3</v>
      </c>
      <c r="D255" s="25" t="s">
        <v>4</v>
      </c>
      <c r="E255" s="25" t="s">
        <v>5</v>
      </c>
      <c r="F255" s="25" t="s">
        <v>6</v>
      </c>
      <c r="G255" s="25" t="s">
        <v>7</v>
      </c>
      <c r="H255" s="26" t="s">
        <v>8</v>
      </c>
      <c r="I255" s="27" t="s">
        <v>9</v>
      </c>
      <c r="J255" s="28" t="s">
        <v>10</v>
      </c>
    </row>
    <row r="256" spans="1:10" ht="20.100000000000001" customHeight="1" x14ac:dyDescent="0.2">
      <c r="A256" s="29" t="s">
        <v>28</v>
      </c>
      <c r="B256" s="5" t="s">
        <v>299</v>
      </c>
      <c r="C256" s="5" t="s">
        <v>299</v>
      </c>
      <c r="D256" s="5" t="s">
        <v>299</v>
      </c>
      <c r="E256" s="5" t="s">
        <v>299</v>
      </c>
      <c r="F256" s="5" t="s">
        <v>299</v>
      </c>
      <c r="G256" s="5"/>
      <c r="H256" s="5"/>
      <c r="I256" s="7"/>
      <c r="J256" s="32"/>
    </row>
    <row r="257" spans="1:10" ht="20.100000000000001" customHeight="1" x14ac:dyDescent="0.2">
      <c r="A257" s="312" t="s">
        <v>300</v>
      </c>
      <c r="B257" s="171">
        <v>8.5</v>
      </c>
      <c r="C257" s="171">
        <v>8.5</v>
      </c>
      <c r="D257" s="171">
        <v>8.5</v>
      </c>
      <c r="E257" s="171">
        <v>8.5</v>
      </c>
      <c r="F257" s="171">
        <v>8.5</v>
      </c>
      <c r="G257" s="171"/>
      <c r="H257" s="171"/>
      <c r="I257" s="1786">
        <f>SUM(B257:H257)</f>
        <v>42.5</v>
      </c>
      <c r="J257" s="172"/>
    </row>
    <row r="258" spans="1:10" ht="20.100000000000001" customHeight="1" x14ac:dyDescent="0.2">
      <c r="A258" s="313"/>
      <c r="B258" s="259" t="s">
        <v>301</v>
      </c>
      <c r="C258" s="259" t="s">
        <v>301</v>
      </c>
      <c r="D258" s="259" t="s">
        <v>301</v>
      </c>
      <c r="E258" s="259" t="s">
        <v>301</v>
      </c>
      <c r="F258" s="259" t="s">
        <v>301</v>
      </c>
      <c r="G258" s="259"/>
      <c r="H258" s="259"/>
      <c r="I258" s="124"/>
      <c r="J258" s="85"/>
    </row>
    <row r="259" spans="1:10" ht="20.100000000000001" customHeight="1" x14ac:dyDescent="0.2">
      <c r="A259" s="29" t="s">
        <v>28</v>
      </c>
      <c r="B259" s="5" t="s">
        <v>302</v>
      </c>
      <c r="C259" s="5" t="s">
        <v>302</v>
      </c>
      <c r="D259" s="5" t="s">
        <v>302</v>
      </c>
      <c r="E259" s="5" t="s">
        <v>302</v>
      </c>
      <c r="F259" s="5" t="s">
        <v>302</v>
      </c>
      <c r="G259" s="5" t="s">
        <v>303</v>
      </c>
      <c r="H259" s="5" t="s">
        <v>303</v>
      </c>
      <c r="I259" s="7"/>
      <c r="J259" s="32" t="s">
        <v>304</v>
      </c>
    </row>
    <row r="260" spans="1:10" ht="20.100000000000001" customHeight="1" x14ac:dyDescent="0.2">
      <c r="A260" s="312" t="s">
        <v>305</v>
      </c>
      <c r="B260" s="1786">
        <v>7</v>
      </c>
      <c r="C260" s="1786">
        <v>7</v>
      </c>
      <c r="D260" s="1786">
        <v>7</v>
      </c>
      <c r="E260" s="1786">
        <v>7</v>
      </c>
      <c r="F260" s="1786">
        <v>7</v>
      </c>
      <c r="G260" s="171">
        <v>12</v>
      </c>
      <c r="H260" s="171">
        <v>12</v>
      </c>
      <c r="I260" s="1786">
        <f>SUM(B260:H260)</f>
        <v>59</v>
      </c>
      <c r="J260" s="172" t="s">
        <v>306</v>
      </c>
    </row>
    <row r="261" spans="1:10" ht="20.100000000000001" customHeight="1" x14ac:dyDescent="0.2">
      <c r="A261" s="313"/>
      <c r="B261" s="259" t="s">
        <v>307</v>
      </c>
      <c r="C261" s="259" t="s">
        <v>307</v>
      </c>
      <c r="D261" s="259" t="s">
        <v>307</v>
      </c>
      <c r="E261" s="259" t="s">
        <v>307</v>
      </c>
      <c r="F261" s="259" t="s">
        <v>307</v>
      </c>
      <c r="G261" s="259" t="s">
        <v>308</v>
      </c>
      <c r="H261" s="259" t="s">
        <v>308</v>
      </c>
      <c r="I261" s="124"/>
      <c r="J261" s="85"/>
    </row>
    <row r="262" spans="1:10" ht="20.100000000000001" customHeight="1" x14ac:dyDescent="0.2">
      <c r="A262" s="29"/>
      <c r="B262" s="30" t="s">
        <v>167</v>
      </c>
      <c r="C262" s="30" t="s">
        <v>167</v>
      </c>
      <c r="D262" s="30" t="s">
        <v>167</v>
      </c>
      <c r="E262" s="30" t="s">
        <v>167</v>
      </c>
      <c r="F262" s="30" t="s">
        <v>167</v>
      </c>
      <c r="G262" s="31"/>
      <c r="H262" s="31"/>
      <c r="I262" s="7"/>
      <c r="J262" s="32"/>
    </row>
    <row r="263" spans="1:10" ht="20.100000000000001" customHeight="1" x14ac:dyDescent="0.2">
      <c r="A263" s="312" t="s">
        <v>309</v>
      </c>
      <c r="B263" s="1786"/>
      <c r="C263" s="1786"/>
      <c r="D263" s="1786"/>
      <c r="E263" s="1786"/>
      <c r="F263" s="1786"/>
      <c r="G263" s="171"/>
      <c r="H263" s="171"/>
      <c r="I263" s="1786">
        <f>SUM(B263:H263)</f>
        <v>0</v>
      </c>
      <c r="J263" s="172"/>
    </row>
    <row r="264" spans="1:10" ht="20.100000000000001" customHeight="1" x14ac:dyDescent="0.2">
      <c r="A264" s="313"/>
      <c r="B264" s="325" t="s">
        <v>310</v>
      </c>
      <c r="C264" s="325" t="s">
        <v>310</v>
      </c>
      <c r="D264" s="325" t="s">
        <v>310</v>
      </c>
      <c r="E264" s="325" t="s">
        <v>310</v>
      </c>
      <c r="F264" s="325" t="s">
        <v>310</v>
      </c>
      <c r="G264" s="124"/>
      <c r="H264" s="125"/>
      <c r="I264" s="124"/>
      <c r="J264" s="85"/>
    </row>
    <row r="265" spans="1:10" ht="20.100000000000001" customHeight="1" x14ac:dyDescent="0.2">
      <c r="A265" s="286"/>
      <c r="B265" s="5" t="s">
        <v>311</v>
      </c>
      <c r="C265" s="5" t="s">
        <v>311</v>
      </c>
      <c r="D265" s="5" t="s">
        <v>311</v>
      </c>
      <c r="E265" s="5" t="s">
        <v>311</v>
      </c>
      <c r="F265" s="5" t="s">
        <v>311</v>
      </c>
      <c r="G265" s="31"/>
      <c r="H265" s="31"/>
      <c r="I265" s="7"/>
      <c r="J265" s="32" t="s">
        <v>28</v>
      </c>
    </row>
    <row r="266" spans="1:10" ht="20.100000000000001" customHeight="1" x14ac:dyDescent="0.2">
      <c r="A266" s="312" t="s">
        <v>312</v>
      </c>
      <c r="B266" s="1786">
        <v>7.75</v>
      </c>
      <c r="C266" s="1786">
        <v>7.75</v>
      </c>
      <c r="D266" s="1786">
        <v>7.75</v>
      </c>
      <c r="E266" s="1786">
        <v>7.75</v>
      </c>
      <c r="F266" s="1786">
        <v>7.75</v>
      </c>
      <c r="G266" s="171"/>
      <c r="H266" s="171"/>
      <c r="I266" s="1786">
        <f>SUM(B266:H266)</f>
        <v>38.75</v>
      </c>
      <c r="J266" s="172"/>
    </row>
    <row r="267" spans="1:10" ht="20.100000000000001" customHeight="1" x14ac:dyDescent="0.2">
      <c r="A267" s="313"/>
      <c r="B267" s="259" t="s">
        <v>313</v>
      </c>
      <c r="C267" s="259" t="s">
        <v>313</v>
      </c>
      <c r="D267" s="259" t="s">
        <v>313</v>
      </c>
      <c r="E267" s="259" t="s">
        <v>313</v>
      </c>
      <c r="F267" s="259" t="s">
        <v>313</v>
      </c>
      <c r="G267" s="125"/>
      <c r="H267" s="125"/>
      <c r="I267" s="124"/>
      <c r="J267" s="85"/>
    </row>
    <row r="268" spans="1:10" ht="20.100000000000001" customHeight="1" x14ac:dyDescent="0.2">
      <c r="A268" s="29"/>
      <c r="B268" s="30"/>
      <c r="C268" s="30"/>
      <c r="D268" s="30"/>
      <c r="E268" s="30"/>
      <c r="F268" s="30"/>
      <c r="G268" s="30"/>
      <c r="H268" s="30"/>
      <c r="I268" s="7"/>
      <c r="J268" s="32" t="s">
        <v>28</v>
      </c>
    </row>
    <row r="269" spans="1:10" ht="20.100000000000001" customHeight="1" x14ac:dyDescent="0.2">
      <c r="A269" s="312" t="s">
        <v>314</v>
      </c>
      <c r="B269" s="1786"/>
      <c r="C269" s="1786"/>
      <c r="D269" s="1786"/>
      <c r="E269" s="1786"/>
      <c r="F269" s="1786"/>
      <c r="G269" s="171"/>
      <c r="H269" s="171"/>
      <c r="I269" s="1786">
        <f>SUM(B269:H269)</f>
        <v>0</v>
      </c>
      <c r="J269" s="172" t="s">
        <v>28</v>
      </c>
    </row>
    <row r="270" spans="1:10" ht="20.100000000000001" customHeight="1" x14ac:dyDescent="0.2">
      <c r="A270" s="314"/>
      <c r="B270" s="259" t="s">
        <v>315</v>
      </c>
      <c r="C270" s="259" t="s">
        <v>315</v>
      </c>
      <c r="D270" s="259" t="s">
        <v>315</v>
      </c>
      <c r="E270" s="259" t="s">
        <v>315</v>
      </c>
      <c r="F270" s="259" t="s">
        <v>315</v>
      </c>
      <c r="G270" s="126"/>
      <c r="H270" s="126"/>
      <c r="I270" s="17"/>
      <c r="J270" s="37"/>
    </row>
    <row r="271" spans="1:10" ht="20.100000000000001" customHeight="1" x14ac:dyDescent="0.2">
      <c r="A271" s="326"/>
      <c r="B271" s="30"/>
      <c r="C271" s="30"/>
      <c r="D271" s="30"/>
      <c r="E271" s="30"/>
      <c r="F271" s="30"/>
      <c r="G271" s="30"/>
      <c r="H271" s="30"/>
      <c r="I271" s="7"/>
      <c r="J271" s="32" t="s">
        <v>28</v>
      </c>
    </row>
    <row r="272" spans="1:10" ht="20.100000000000001" customHeight="1" x14ac:dyDescent="0.2">
      <c r="A272" s="326" t="s">
        <v>316</v>
      </c>
      <c r="B272" s="1786"/>
      <c r="C272" s="1786"/>
      <c r="D272" s="1786"/>
      <c r="E272" s="1786"/>
      <c r="F272" s="1786"/>
      <c r="G272" s="171"/>
      <c r="H272" s="171"/>
      <c r="I272" s="1786">
        <f>SUM(B272:H272)</f>
        <v>0</v>
      </c>
      <c r="J272" s="172"/>
    </row>
    <row r="273" spans="1:10" ht="20.100000000000001" customHeight="1" x14ac:dyDescent="0.2">
      <c r="A273" s="326"/>
      <c r="B273" s="325"/>
      <c r="C273" s="325"/>
      <c r="D273" s="325"/>
      <c r="E273" s="325"/>
      <c r="F273" s="325"/>
      <c r="G273" s="126"/>
      <c r="H273" s="126"/>
      <c r="I273" s="124"/>
      <c r="J273" s="85"/>
    </row>
    <row r="274" spans="1:10" ht="20.100000000000001" customHeight="1" x14ac:dyDescent="0.2">
      <c r="A274" s="29"/>
      <c r="B274" s="30"/>
      <c r="C274" s="30"/>
      <c r="D274" s="30"/>
      <c r="E274" s="30"/>
      <c r="F274" s="30"/>
      <c r="G274" s="31"/>
      <c r="H274" s="31"/>
      <c r="I274" s="7"/>
      <c r="J274" s="32"/>
    </row>
    <row r="275" spans="1:10" ht="20.100000000000001" customHeight="1" x14ac:dyDescent="0.2">
      <c r="A275" s="312" t="s">
        <v>317</v>
      </c>
      <c r="B275" s="1786"/>
      <c r="C275" s="1786"/>
      <c r="D275" s="1786"/>
      <c r="E275" s="1786"/>
      <c r="F275" s="1786"/>
      <c r="G275" s="171"/>
      <c r="H275" s="171"/>
      <c r="I275" s="1786">
        <f>SUM(B275:H275)</f>
        <v>0</v>
      </c>
      <c r="J275" s="172"/>
    </row>
    <row r="276" spans="1:10" ht="20.100000000000001" customHeight="1" x14ac:dyDescent="0.2">
      <c r="A276" s="314"/>
      <c r="B276" s="325"/>
      <c r="C276" s="325"/>
      <c r="D276" s="325"/>
      <c r="E276" s="325"/>
      <c r="F276" s="325"/>
      <c r="G276" s="18"/>
      <c r="H276" s="18"/>
      <c r="I276" s="17"/>
      <c r="J276" s="37"/>
    </row>
    <row r="277" spans="1:10" ht="20.100000000000001" customHeight="1" x14ac:dyDescent="0.2">
      <c r="A277" s="195" t="s">
        <v>30</v>
      </c>
      <c r="B277" s="195">
        <f t="shared" ref="B277:I277" si="6">SUM(B257,B260,B263,B266,B269,B272,B275)</f>
        <v>23.25</v>
      </c>
      <c r="C277" s="195">
        <f t="shared" si="6"/>
        <v>23.25</v>
      </c>
      <c r="D277" s="195">
        <f t="shared" si="6"/>
        <v>23.25</v>
      </c>
      <c r="E277" s="195">
        <f t="shared" si="6"/>
        <v>23.25</v>
      </c>
      <c r="F277" s="195">
        <f t="shared" si="6"/>
        <v>23.25</v>
      </c>
      <c r="G277" s="195">
        <f t="shared" si="6"/>
        <v>12</v>
      </c>
      <c r="H277" s="195">
        <f t="shared" si="6"/>
        <v>12</v>
      </c>
      <c r="I277" s="195">
        <f t="shared" si="6"/>
        <v>140.25</v>
      </c>
      <c r="J277" s="202"/>
    </row>
    <row r="278" spans="1:10" ht="20.100000000000001" customHeight="1" x14ac:dyDescent="0.2">
      <c r="A278" s="311"/>
      <c r="B278" s="72"/>
      <c r="C278" s="72"/>
      <c r="D278" s="72"/>
      <c r="E278" s="72"/>
      <c r="F278" s="138"/>
      <c r="G278" s="203" t="s">
        <v>152</v>
      </c>
      <c r="H278" s="203" t="s">
        <v>153</v>
      </c>
      <c r="I278" s="203" t="s">
        <v>154</v>
      </c>
      <c r="J278" s="73"/>
    </row>
    <row r="279" spans="1:10" ht="20.100000000000001" customHeight="1" x14ac:dyDescent="0.2">
      <c r="A279" s="311"/>
      <c r="B279" s="72"/>
      <c r="C279" s="72"/>
      <c r="D279" s="72"/>
      <c r="E279" s="72"/>
      <c r="F279" s="138"/>
      <c r="G279" s="1786">
        <f>I277</f>
        <v>140.25</v>
      </c>
      <c r="H279" s="168">
        <f>SUM(G279*13/3)</f>
        <v>607.75</v>
      </c>
      <c r="I279" s="1786">
        <f>SUM(H279*12)</f>
        <v>7293</v>
      </c>
      <c r="J279" s="73"/>
    </row>
    <row r="280" spans="1:10" ht="20.100000000000001" customHeight="1" x14ac:dyDescent="0.2">
      <c r="A280" s="72"/>
      <c r="B280" s="72"/>
      <c r="C280" s="72"/>
      <c r="D280" s="72"/>
      <c r="E280" s="72"/>
      <c r="F280" s="138"/>
      <c r="G280" s="138"/>
      <c r="H280" s="138"/>
      <c r="I280" s="72"/>
      <c r="J280" s="73"/>
    </row>
    <row r="281" spans="1:10" ht="20.100000000000001" customHeight="1" x14ac:dyDescent="0.2">
      <c r="A281" s="72"/>
      <c r="B281" s="72"/>
      <c r="C281" s="72"/>
      <c r="D281" s="72"/>
      <c r="E281" s="72"/>
      <c r="F281" s="138"/>
      <c r="G281" s="138"/>
      <c r="H281" s="138"/>
      <c r="I281" s="72"/>
      <c r="J281" s="73"/>
    </row>
    <row r="282" spans="1:10" ht="20.100000000000001" customHeight="1" x14ac:dyDescent="0.2">
      <c r="A282" s="72"/>
      <c r="B282" s="72"/>
      <c r="C282" s="72"/>
      <c r="D282" s="72"/>
      <c r="E282" s="72"/>
      <c r="F282" s="138"/>
      <c r="G282" s="138"/>
      <c r="H282" s="138"/>
      <c r="I282" s="72"/>
      <c r="J282" s="73"/>
    </row>
    <row r="283" spans="1:10" ht="20.100000000000001" customHeight="1" x14ac:dyDescent="0.2">
      <c r="A283" s="72"/>
      <c r="B283" s="72"/>
      <c r="C283" s="72"/>
      <c r="D283" s="72"/>
      <c r="E283" s="72"/>
      <c r="F283" s="138"/>
      <c r="G283" s="138"/>
      <c r="H283" s="138"/>
      <c r="I283" s="72"/>
      <c r="J283" s="73"/>
    </row>
    <row r="284" spans="1:10" ht="20.100000000000001" customHeight="1" x14ac:dyDescent="0.2">
      <c r="A284" s="72"/>
      <c r="B284" s="273"/>
      <c r="C284" s="273"/>
      <c r="D284" s="273"/>
      <c r="E284" s="273"/>
      <c r="F284" s="273"/>
      <c r="G284" s="138"/>
      <c r="H284" s="138"/>
      <c r="I284" s="72"/>
      <c r="J284" s="73"/>
    </row>
    <row r="285" spans="1:10" ht="20.100000000000001" customHeight="1" x14ac:dyDescent="0.2">
      <c r="A285" s="72"/>
      <c r="B285" s="72"/>
      <c r="C285" s="72"/>
      <c r="D285" s="72"/>
      <c r="E285" s="72"/>
      <c r="F285" s="138"/>
      <c r="G285" s="138"/>
      <c r="H285" s="138"/>
      <c r="I285" s="72"/>
      <c r="J285" s="73"/>
    </row>
    <row r="286" spans="1:10" ht="20.100000000000001" customHeight="1" x14ac:dyDescent="0.2">
      <c r="A286" s="327"/>
      <c r="B286" s="149" t="s">
        <v>2</v>
      </c>
      <c r="C286" s="63" t="s">
        <v>3</v>
      </c>
      <c r="D286" s="63" t="s">
        <v>4</v>
      </c>
      <c r="E286" s="63" t="s">
        <v>5</v>
      </c>
      <c r="F286" s="63" t="s">
        <v>6</v>
      </c>
      <c r="G286" s="63" t="s">
        <v>7</v>
      </c>
      <c r="H286" s="150" t="s">
        <v>8</v>
      </c>
      <c r="I286" s="151" t="s">
        <v>137</v>
      </c>
      <c r="J286" s="73"/>
    </row>
    <row r="287" spans="1:10" ht="20.100000000000001" customHeight="1" x14ac:dyDescent="0.2">
      <c r="A287" s="328" t="s">
        <v>138</v>
      </c>
      <c r="B287" s="329">
        <f t="shared" ref="B287:I287" si="7">SUM(B4,B11,B53,B65,B116,B163,B169,B189,B204,B238,B247,B277)</f>
        <v>276</v>
      </c>
      <c r="C287" s="329">
        <f t="shared" si="7"/>
        <v>276</v>
      </c>
      <c r="D287" s="329">
        <f t="shared" si="7"/>
        <v>276</v>
      </c>
      <c r="E287" s="329">
        <f t="shared" si="7"/>
        <v>276</v>
      </c>
      <c r="F287" s="329">
        <f t="shared" si="7"/>
        <v>246.5</v>
      </c>
      <c r="G287" s="329">
        <f t="shared" si="7"/>
        <v>105</v>
      </c>
      <c r="H287" s="329">
        <f t="shared" si="7"/>
        <v>108</v>
      </c>
      <c r="I287" s="329">
        <f t="shared" si="7"/>
        <v>1526.5</v>
      </c>
      <c r="J287" s="73"/>
    </row>
    <row r="288" spans="1:10" ht="20.100000000000001" customHeight="1" x14ac:dyDescent="0.2">
      <c r="A288" s="330" t="s">
        <v>140</v>
      </c>
      <c r="B288" s="17">
        <f t="shared" ref="B288:I288" si="8">SUM(B287*52)</f>
        <v>14352</v>
      </c>
      <c r="C288" s="17">
        <f t="shared" si="8"/>
        <v>14352</v>
      </c>
      <c r="D288" s="17">
        <f t="shared" si="8"/>
        <v>14352</v>
      </c>
      <c r="E288" s="17">
        <f t="shared" si="8"/>
        <v>14352</v>
      </c>
      <c r="F288" s="17">
        <f t="shared" si="8"/>
        <v>12818</v>
      </c>
      <c r="G288" s="17">
        <f t="shared" si="8"/>
        <v>5460</v>
      </c>
      <c r="H288" s="17">
        <f t="shared" si="8"/>
        <v>5616</v>
      </c>
      <c r="I288" s="17">
        <f t="shared" si="8"/>
        <v>79378</v>
      </c>
      <c r="J288" s="73"/>
    </row>
    <row r="289" spans="1:10" ht="20.100000000000001" customHeight="1" x14ac:dyDescent="0.2">
      <c r="J289" s="73"/>
    </row>
    <row r="290" spans="1:10" ht="20.100000000000001" customHeight="1" x14ac:dyDescent="0.2">
      <c r="J290" s="138" t="s">
        <v>28</v>
      </c>
    </row>
    <row r="291" spans="1:10" ht="20.100000000000001" customHeight="1" x14ac:dyDescent="0.2">
      <c r="A291" s="331" t="s">
        <v>318</v>
      </c>
      <c r="B291" s="45"/>
      <c r="C291" s="45"/>
      <c r="D291" s="45"/>
      <c r="E291" s="30">
        <v>56</v>
      </c>
      <c r="F291" s="45"/>
      <c r="G291" s="45"/>
      <c r="H291" s="7"/>
      <c r="I291" s="332">
        <f>SUM(E291)*26</f>
        <v>1456</v>
      </c>
      <c r="J291" s="72" t="s">
        <v>28</v>
      </c>
    </row>
    <row r="292" spans="1:10" ht="20.100000000000001" customHeight="1" x14ac:dyDescent="0.2">
      <c r="A292" s="333" t="s">
        <v>319</v>
      </c>
      <c r="B292" s="156"/>
      <c r="C292" s="156"/>
      <c r="D292" s="156"/>
      <c r="E292" s="156"/>
      <c r="F292" s="156"/>
      <c r="G292" s="156"/>
      <c r="H292" s="156"/>
      <c r="I292" s="334">
        <f>SUM(I291*2)</f>
        <v>2912</v>
      </c>
    </row>
    <row r="293" spans="1:10" ht="20.100000000000001" customHeight="1" x14ac:dyDescent="0.2">
      <c r="A293" s="328" t="s">
        <v>143</v>
      </c>
      <c r="B293" s="152"/>
      <c r="C293" s="154"/>
      <c r="D293" s="156"/>
      <c r="E293" s="156"/>
      <c r="F293" s="156"/>
      <c r="G293" s="156"/>
      <c r="H293" s="156"/>
      <c r="I293" s="334">
        <f>48*12</f>
        <v>576</v>
      </c>
    </row>
    <row r="294" spans="1:10" ht="20.100000000000001" customHeight="1" x14ac:dyDescent="0.2">
      <c r="A294" s="335" t="s">
        <v>137</v>
      </c>
      <c r="B294" s="53"/>
      <c r="C294" s="53"/>
      <c r="D294" s="53"/>
      <c r="E294" s="53"/>
      <c r="F294" s="53"/>
      <c r="G294" s="53"/>
      <c r="H294" s="53"/>
      <c r="I294" s="336">
        <f>SUM(I291:I293)</f>
        <v>4944</v>
      </c>
    </row>
    <row r="295" spans="1:10" ht="20.100000000000001" customHeight="1" x14ac:dyDescent="0.2">
      <c r="I295" s="159"/>
    </row>
    <row r="296" spans="1:10" ht="20.100000000000001" customHeight="1" x14ac:dyDescent="0.2">
      <c r="I296" s="159"/>
    </row>
    <row r="297" spans="1:10" ht="20.100000000000001" customHeight="1" x14ac:dyDescent="0.2">
      <c r="A297" s="157" t="s">
        <v>144</v>
      </c>
      <c r="B297" s="157"/>
      <c r="C297" s="157"/>
      <c r="D297" s="157"/>
      <c r="E297" s="157"/>
      <c r="F297" s="157"/>
      <c r="G297" s="157"/>
      <c r="H297" s="157"/>
      <c r="I297" s="160">
        <f>SUM(I288+I294)</f>
        <v>84322</v>
      </c>
      <c r="J297" t="s">
        <v>320</v>
      </c>
    </row>
  </sheetData>
  <sheetProtection selectLockedCells="1" selectUnlockedCells="1"/>
  <phoneticPr fontId="7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F267"/>
  <sheetViews>
    <sheetView topLeftCell="A82" zoomScale="67" zoomScaleNormal="67" workbookViewId="0">
      <selection activeCell="B168" sqref="B168"/>
    </sheetView>
  </sheetViews>
  <sheetFormatPr defaultRowHeight="12.75" x14ac:dyDescent="0.2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7" width="13.28515625" customWidth="1"/>
    <col min="8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28515625" customWidth="1"/>
    <col min="23" max="23" width="15.85546875" customWidth="1"/>
    <col min="24" max="24" width="19.28515625" customWidth="1"/>
    <col min="25" max="25" width="11.28515625" customWidth="1"/>
  </cols>
  <sheetData>
    <row r="1" spans="1:15" ht="20.100000000000001" customHeight="1" x14ac:dyDescent="0.35">
      <c r="A1" s="1" t="s">
        <v>0</v>
      </c>
      <c r="B1" s="1"/>
      <c r="D1" s="2"/>
      <c r="E1" s="2"/>
    </row>
    <row r="2" spans="1:15" ht="20.100000000000001" customHeight="1" x14ac:dyDescent="0.2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5" ht="20.100000000000001" customHeight="1" x14ac:dyDescent="0.2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5" ht="20.100000000000001" customHeight="1" x14ac:dyDescent="0.2">
      <c r="A4" s="337" t="s">
        <v>321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5" ht="20.100000000000001" customHeight="1" x14ac:dyDescent="0.35">
      <c r="A5" s="1" t="s">
        <v>155</v>
      </c>
      <c r="B5" s="1"/>
      <c r="D5" s="2"/>
      <c r="E5" s="2"/>
    </row>
    <row r="6" spans="1:15" ht="20.100000000000001" customHeight="1" x14ac:dyDescent="0.2">
      <c r="A6" s="200" t="s">
        <v>32</v>
      </c>
      <c r="B6" s="4" t="s">
        <v>2</v>
      </c>
      <c r="C6" s="5" t="s">
        <v>3</v>
      </c>
      <c r="D6" s="5" t="s">
        <v>4</v>
      </c>
      <c r="E6" s="5" t="s">
        <v>5</v>
      </c>
      <c r="F6" s="5" t="s">
        <v>6</v>
      </c>
      <c r="G6" s="5" t="s">
        <v>7</v>
      </c>
      <c r="H6" s="5" t="s">
        <v>8</v>
      </c>
      <c r="I6" s="45" t="s">
        <v>9</v>
      </c>
      <c r="J6" s="8" t="s">
        <v>10</v>
      </c>
    </row>
    <row r="7" spans="1:15" ht="20.100000000000001" customHeight="1" x14ac:dyDescent="0.2">
      <c r="A7" s="305"/>
      <c r="B7" s="171" t="s">
        <v>33</v>
      </c>
      <c r="C7" s="171" t="s">
        <v>33</v>
      </c>
      <c r="D7" s="171" t="s">
        <v>33</v>
      </c>
      <c r="E7" s="171" t="s">
        <v>33</v>
      </c>
      <c r="F7" s="171" t="s">
        <v>34</v>
      </c>
      <c r="G7" s="296"/>
      <c r="H7" s="296"/>
      <c r="I7" s="152"/>
      <c r="J7" s="338"/>
    </row>
    <row r="8" spans="1:15" ht="20.100000000000001" customHeight="1" x14ac:dyDescent="0.2">
      <c r="A8" s="337" t="s">
        <v>156</v>
      </c>
      <c r="B8" s="139">
        <v>7.75</v>
      </c>
      <c r="C8" s="139">
        <v>7.75</v>
      </c>
      <c r="D8" s="139">
        <v>7.75</v>
      </c>
      <c r="E8" s="139">
        <v>7.75</v>
      </c>
      <c r="F8" s="139">
        <v>6</v>
      </c>
      <c r="G8" s="19"/>
      <c r="H8" s="20"/>
      <c r="I8" s="21">
        <f>SUM(B8:H8)</f>
        <v>37</v>
      </c>
      <c r="J8" s="22"/>
    </row>
    <row r="9" spans="1:15" ht="20.100000000000001" customHeight="1" x14ac:dyDescent="0.2">
      <c r="A9" s="72"/>
      <c r="E9" s="72"/>
      <c r="F9" s="138"/>
      <c r="G9" s="203" t="s">
        <v>152</v>
      </c>
      <c r="H9" s="203" t="s">
        <v>153</v>
      </c>
      <c r="I9" s="203" t="s">
        <v>154</v>
      </c>
      <c r="J9" s="167"/>
    </row>
    <row r="10" spans="1:15" ht="20.100000000000001" customHeight="1" x14ac:dyDescent="0.2">
      <c r="A10" s="72"/>
      <c r="E10" s="72"/>
      <c r="F10" s="138"/>
      <c r="G10" s="1786">
        <f>I4+I8</f>
        <v>74</v>
      </c>
      <c r="H10" s="168">
        <f>SUM(G10*13/3)</f>
        <v>320.66666666666669</v>
      </c>
      <c r="I10" s="1786">
        <f>SUM(H10*12)</f>
        <v>3848</v>
      </c>
      <c r="J10" s="167"/>
    </row>
    <row r="11" spans="1:15" ht="20.100000000000001" customHeight="1" x14ac:dyDescent="0.35">
      <c r="A11" s="1" t="s">
        <v>14</v>
      </c>
      <c r="B11" s="1"/>
      <c r="D11" s="2"/>
      <c r="E11" s="2"/>
    </row>
    <row r="12" spans="1:15" ht="18" customHeight="1" x14ac:dyDescent="0.2">
      <c r="A12" s="23" t="s">
        <v>15</v>
      </c>
      <c r="B12" s="24" t="s">
        <v>2</v>
      </c>
      <c r="C12" s="25" t="s">
        <v>3</v>
      </c>
      <c r="D12" s="25" t="s">
        <v>4</v>
      </c>
      <c r="E12" s="25" t="s">
        <v>5</v>
      </c>
      <c r="F12" s="25" t="s">
        <v>6</v>
      </c>
      <c r="G12" s="25" t="s">
        <v>7</v>
      </c>
      <c r="H12" s="26" t="s">
        <v>8</v>
      </c>
      <c r="I12" s="27" t="s">
        <v>9</v>
      </c>
      <c r="J12" s="28" t="s">
        <v>10</v>
      </c>
    </row>
    <row r="13" spans="1:15" ht="18" customHeight="1" x14ac:dyDescent="0.2">
      <c r="A13" s="174" t="s">
        <v>28</v>
      </c>
      <c r="B13" s="5" t="s">
        <v>159</v>
      </c>
      <c r="C13" s="5" t="s">
        <v>159</v>
      </c>
      <c r="D13" s="5" t="s">
        <v>159</v>
      </c>
      <c r="E13" s="5" t="s">
        <v>159</v>
      </c>
      <c r="F13" s="5" t="s">
        <v>159</v>
      </c>
      <c r="G13" s="5" t="s">
        <v>160</v>
      </c>
      <c r="H13" s="5" t="s">
        <v>160</v>
      </c>
      <c r="I13" s="169"/>
      <c r="J13" s="175" t="s">
        <v>161</v>
      </c>
      <c r="M13" s="339"/>
      <c r="N13" s="340" t="s">
        <v>322</v>
      </c>
    </row>
    <row r="14" spans="1:15" ht="18" customHeight="1" x14ac:dyDescent="0.2">
      <c r="A14" s="341" t="s">
        <v>162</v>
      </c>
      <c r="B14" s="139">
        <v>8.25</v>
      </c>
      <c r="C14" s="139">
        <v>8.25</v>
      </c>
      <c r="D14" s="18">
        <v>8.25</v>
      </c>
      <c r="E14" s="18">
        <v>8.25</v>
      </c>
      <c r="F14" s="18">
        <v>8.25</v>
      </c>
      <c r="G14" s="18">
        <v>12.25</v>
      </c>
      <c r="H14" s="18">
        <v>12.25</v>
      </c>
      <c r="I14" s="342">
        <f>SUM(B14:H14)</f>
        <v>65.75</v>
      </c>
      <c r="J14" s="343" t="s">
        <v>163</v>
      </c>
      <c r="K14" s="178"/>
      <c r="M14" s="328"/>
      <c r="N14" s="344" t="s">
        <v>323</v>
      </c>
      <c r="O14" s="72"/>
    </row>
    <row r="15" spans="1:15" ht="18" customHeight="1" x14ac:dyDescent="0.2">
      <c r="A15" s="174" t="s">
        <v>28</v>
      </c>
      <c r="B15" s="30" t="s">
        <v>167</v>
      </c>
      <c r="C15" s="30" t="s">
        <v>167</v>
      </c>
      <c r="D15" s="30" t="s">
        <v>167</v>
      </c>
      <c r="E15" s="30" t="s">
        <v>167</v>
      </c>
      <c r="F15" s="30" t="s">
        <v>167</v>
      </c>
      <c r="G15" s="169"/>
      <c r="H15" s="169"/>
      <c r="I15" s="345"/>
      <c r="J15" s="183" t="s">
        <v>168</v>
      </c>
      <c r="K15" s="72"/>
      <c r="M15" s="328" t="s">
        <v>324</v>
      </c>
      <c r="N15" s="344">
        <f>I14</f>
        <v>65.75</v>
      </c>
      <c r="O15" s="72"/>
    </row>
    <row r="16" spans="1:15" ht="18" customHeight="1" x14ac:dyDescent="0.2">
      <c r="A16" s="341" t="s">
        <v>169</v>
      </c>
      <c r="B16" s="139"/>
      <c r="C16" s="139"/>
      <c r="D16" s="139"/>
      <c r="E16" s="139"/>
      <c r="F16" s="139"/>
      <c r="G16" s="193"/>
      <c r="H16" s="193"/>
      <c r="I16" s="342">
        <f>SUM(B16:H16)</f>
        <v>0</v>
      </c>
      <c r="J16" s="343" t="s">
        <v>170</v>
      </c>
      <c r="K16" s="72"/>
      <c r="M16" s="328" t="s">
        <v>325</v>
      </c>
      <c r="N16" s="344">
        <f>I16</f>
        <v>0</v>
      </c>
      <c r="O16" s="72"/>
    </row>
    <row r="17" spans="1:17" ht="18" customHeight="1" x14ac:dyDescent="0.2">
      <c r="A17" s="174" t="s">
        <v>28</v>
      </c>
      <c r="B17" s="5" t="s">
        <v>172</v>
      </c>
      <c r="C17" s="5" t="s">
        <v>172</v>
      </c>
      <c r="D17" s="5" t="s">
        <v>172</v>
      </c>
      <c r="E17" s="5" t="s">
        <v>172</v>
      </c>
      <c r="F17" s="5" t="s">
        <v>172</v>
      </c>
      <c r="G17" s="188"/>
      <c r="H17" s="188"/>
      <c r="I17" s="345"/>
      <c r="J17" s="183" t="s">
        <v>173</v>
      </c>
      <c r="K17" s="72"/>
      <c r="M17" s="328" t="s">
        <v>326</v>
      </c>
      <c r="N17" s="344">
        <v>0</v>
      </c>
      <c r="O17" s="72"/>
    </row>
    <row r="18" spans="1:17" ht="18" customHeight="1" x14ac:dyDescent="0.2">
      <c r="A18" s="346" t="s">
        <v>174</v>
      </c>
      <c r="B18" s="18">
        <v>8.25</v>
      </c>
      <c r="C18" s="18">
        <v>8.25</v>
      </c>
      <c r="D18" s="18">
        <v>8.25</v>
      </c>
      <c r="E18" s="18">
        <v>8.25</v>
      </c>
      <c r="F18" s="18">
        <v>8.25</v>
      </c>
      <c r="G18" s="139"/>
      <c r="H18" s="139"/>
      <c r="I18" s="342">
        <f>SUM(B18:H18)</f>
        <v>41.25</v>
      </c>
      <c r="J18" s="343" t="s">
        <v>176</v>
      </c>
      <c r="K18" s="143"/>
      <c r="M18" s="328" t="s">
        <v>236</v>
      </c>
      <c r="N18" s="344">
        <f>I20</f>
        <v>64.5</v>
      </c>
      <c r="O18" s="72"/>
    </row>
    <row r="19" spans="1:17" ht="18" customHeight="1" x14ac:dyDescent="0.2">
      <c r="A19" s="347" t="s">
        <v>28</v>
      </c>
      <c r="B19" s="5" t="s">
        <v>177</v>
      </c>
      <c r="C19" s="5" t="s">
        <v>177</v>
      </c>
      <c r="D19" s="5" t="s">
        <v>177</v>
      </c>
      <c r="E19" s="5" t="s">
        <v>177</v>
      </c>
      <c r="F19" s="5" t="s">
        <v>177</v>
      </c>
      <c r="G19" s="188" t="s">
        <v>178</v>
      </c>
      <c r="H19" s="188" t="s">
        <v>178</v>
      </c>
      <c r="I19" s="345"/>
      <c r="J19" s="46"/>
      <c r="K19" s="72"/>
      <c r="M19" s="328" t="s">
        <v>327</v>
      </c>
      <c r="N19" s="344">
        <v>0</v>
      </c>
      <c r="O19" s="72"/>
    </row>
    <row r="20" spans="1:17" ht="18" customHeight="1" x14ac:dyDescent="0.2">
      <c r="A20" s="341" t="s">
        <v>179</v>
      </c>
      <c r="B20" s="139">
        <v>8</v>
      </c>
      <c r="C20" s="139">
        <v>8</v>
      </c>
      <c r="D20" s="139">
        <v>8</v>
      </c>
      <c r="E20" s="139">
        <v>8</v>
      </c>
      <c r="F20" s="139">
        <v>8</v>
      </c>
      <c r="G20" s="171">
        <v>12.25</v>
      </c>
      <c r="H20" s="171">
        <v>12.25</v>
      </c>
      <c r="I20" s="342">
        <f>SUM(B20:H20)</f>
        <v>64.5</v>
      </c>
      <c r="J20" s="49"/>
      <c r="K20" s="72"/>
      <c r="M20" s="328" t="s">
        <v>328</v>
      </c>
      <c r="N20" s="344">
        <f>I24</f>
        <v>36.25</v>
      </c>
      <c r="O20" s="72"/>
    </row>
    <row r="21" spans="1:17" ht="18" customHeight="1" x14ac:dyDescent="0.2">
      <c r="A21" s="174" t="s">
        <v>28</v>
      </c>
      <c r="B21" s="30" t="s">
        <v>167</v>
      </c>
      <c r="C21" s="30" t="s">
        <v>167</v>
      </c>
      <c r="D21" s="30" t="s">
        <v>167</v>
      </c>
      <c r="E21" s="30" t="s">
        <v>167</v>
      </c>
      <c r="F21" s="30" t="s">
        <v>167</v>
      </c>
      <c r="G21" s="191"/>
      <c r="H21" s="348"/>
      <c r="I21" s="345"/>
      <c r="J21" s="46"/>
      <c r="K21" s="72"/>
      <c r="M21" s="330" t="s">
        <v>329</v>
      </c>
      <c r="N21" s="349">
        <f>SUM(N15:N20)</f>
        <v>166.5</v>
      </c>
      <c r="O21" s="72"/>
    </row>
    <row r="22" spans="1:17" ht="18" customHeight="1" x14ac:dyDescent="0.2">
      <c r="A22" s="341" t="s">
        <v>182</v>
      </c>
      <c r="B22" s="124"/>
      <c r="C22" s="124"/>
      <c r="D22" s="124"/>
      <c r="E22" s="124"/>
      <c r="F22" s="124"/>
      <c r="G22" s="193"/>
      <c r="H22" s="350"/>
      <c r="I22" s="342">
        <f>SUM(B22:H22)</f>
        <v>0</v>
      </c>
      <c r="J22" s="49"/>
      <c r="K22" s="72"/>
    </row>
    <row r="23" spans="1:17" ht="18" customHeight="1" x14ac:dyDescent="0.2">
      <c r="A23" s="174" t="s">
        <v>28</v>
      </c>
      <c r="B23" s="5" t="s">
        <v>330</v>
      </c>
      <c r="C23" s="5" t="s">
        <v>330</v>
      </c>
      <c r="D23" s="5" t="s">
        <v>330</v>
      </c>
      <c r="E23" s="5" t="s">
        <v>330</v>
      </c>
      <c r="F23" s="5" t="s">
        <v>330</v>
      </c>
      <c r="G23" s="169"/>
      <c r="H23" s="348"/>
      <c r="I23" s="345"/>
      <c r="J23" s="46" t="s">
        <v>331</v>
      </c>
      <c r="K23" s="72"/>
      <c r="M23" t="s">
        <v>332</v>
      </c>
      <c r="N23" t="s">
        <v>333</v>
      </c>
      <c r="P23">
        <v>222</v>
      </c>
      <c r="Q23" t="s">
        <v>334</v>
      </c>
    </row>
    <row r="24" spans="1:17" ht="18" customHeight="1" x14ac:dyDescent="0.2">
      <c r="A24" s="341" t="s">
        <v>335</v>
      </c>
      <c r="B24" s="139">
        <v>7.25</v>
      </c>
      <c r="C24" s="139">
        <v>7.25</v>
      </c>
      <c r="D24" s="139">
        <v>7.25</v>
      </c>
      <c r="E24" s="139">
        <v>7.25</v>
      </c>
      <c r="F24" s="139">
        <v>7.25</v>
      </c>
      <c r="G24" s="193"/>
      <c r="H24" s="351"/>
      <c r="I24" s="342">
        <f>SUM(B24:H24)</f>
        <v>36.25</v>
      </c>
      <c r="J24" s="49"/>
      <c r="K24" s="72"/>
      <c r="O24" t="s">
        <v>28</v>
      </c>
    </row>
    <row r="25" spans="1:17" ht="18" customHeight="1" x14ac:dyDescent="0.2">
      <c r="A25" s="58" t="s">
        <v>30</v>
      </c>
      <c r="B25" s="352">
        <f t="shared" ref="B25:I25" si="0">SUM(B14,B16,B18,B20,B22,B24)</f>
        <v>31.75</v>
      </c>
      <c r="C25" s="352">
        <f t="shared" si="0"/>
        <v>31.75</v>
      </c>
      <c r="D25" s="352">
        <f t="shared" si="0"/>
        <v>31.75</v>
      </c>
      <c r="E25" s="352">
        <f t="shared" si="0"/>
        <v>31.75</v>
      </c>
      <c r="F25" s="352">
        <f t="shared" si="0"/>
        <v>31.75</v>
      </c>
      <c r="G25" s="352">
        <f t="shared" si="0"/>
        <v>24.5</v>
      </c>
      <c r="H25" s="352">
        <f t="shared" si="0"/>
        <v>24.5</v>
      </c>
      <c r="I25" s="352">
        <f t="shared" si="0"/>
        <v>207.75</v>
      </c>
      <c r="J25" s="59"/>
      <c r="K25" s="72"/>
      <c r="M25" t="s">
        <v>336</v>
      </c>
      <c r="O25" s="353">
        <f>N21</f>
        <v>166.5</v>
      </c>
    </row>
    <row r="26" spans="1:17" ht="18" customHeight="1" x14ac:dyDescent="0.35">
      <c r="A26" s="60" t="s">
        <v>31</v>
      </c>
      <c r="D26" s="2"/>
      <c r="E26" s="2"/>
    </row>
    <row r="27" spans="1:17" ht="18" customHeight="1" x14ac:dyDescent="0.2">
      <c r="A27" s="23" t="s">
        <v>32</v>
      </c>
      <c r="B27" s="24" t="s">
        <v>2</v>
      </c>
      <c r="C27" s="25" t="s">
        <v>3</v>
      </c>
      <c r="D27" s="25" t="s">
        <v>4</v>
      </c>
      <c r="E27" s="25" t="s">
        <v>5</v>
      </c>
      <c r="F27" s="25" t="s">
        <v>6</v>
      </c>
      <c r="G27" s="25" t="s">
        <v>7</v>
      </c>
      <c r="H27" s="26" t="s">
        <v>8</v>
      </c>
      <c r="I27" s="27" t="s">
        <v>9</v>
      </c>
      <c r="J27" s="28" t="s">
        <v>10</v>
      </c>
      <c r="M27">
        <f>O25</f>
        <v>166.5</v>
      </c>
      <c r="N27" t="s">
        <v>337</v>
      </c>
      <c r="P27" s="159">
        <f>SUM(N21/37)</f>
        <v>4.5</v>
      </c>
      <c r="Q27" t="s">
        <v>334</v>
      </c>
    </row>
    <row r="28" spans="1:17" ht="18" customHeight="1" x14ac:dyDescent="0.2">
      <c r="A28" s="29"/>
      <c r="B28" s="31" t="s">
        <v>33</v>
      </c>
      <c r="C28" s="31" t="s">
        <v>33</v>
      </c>
      <c r="D28" s="31" t="s">
        <v>33</v>
      </c>
      <c r="E28" s="31" t="s">
        <v>33</v>
      </c>
      <c r="F28" s="31" t="s">
        <v>34</v>
      </c>
      <c r="G28" s="31"/>
      <c r="H28" s="31"/>
      <c r="I28" s="169"/>
      <c r="J28" s="32"/>
    </row>
    <row r="29" spans="1:17" ht="18" customHeight="1" x14ac:dyDescent="0.2">
      <c r="A29" s="33" t="s">
        <v>186</v>
      </c>
      <c r="B29" s="139">
        <v>7.75</v>
      </c>
      <c r="C29" s="139">
        <v>7.75</v>
      </c>
      <c r="D29" s="139">
        <v>7.75</v>
      </c>
      <c r="E29" s="139">
        <v>7.75</v>
      </c>
      <c r="F29" s="139">
        <v>6</v>
      </c>
      <c r="G29" s="139"/>
      <c r="H29" s="139"/>
      <c r="I29" s="139">
        <f>SUM(B29:H29)</f>
        <v>37</v>
      </c>
      <c r="J29" s="141"/>
      <c r="M29" s="159">
        <f>P27</f>
        <v>4.5</v>
      </c>
      <c r="N29" t="s">
        <v>338</v>
      </c>
      <c r="P29" s="159">
        <f>SUM(P27*3)</f>
        <v>13.5</v>
      </c>
      <c r="Q29" t="s">
        <v>334</v>
      </c>
    </row>
    <row r="30" spans="1:17" ht="18" customHeight="1" x14ac:dyDescent="0.2">
      <c r="A30" s="29"/>
      <c r="B30" s="31" t="s">
        <v>33</v>
      </c>
      <c r="C30" s="31" t="s">
        <v>33</v>
      </c>
      <c r="D30" s="31" t="s">
        <v>33</v>
      </c>
      <c r="E30" s="31" t="s">
        <v>33</v>
      </c>
      <c r="F30" s="31" t="s">
        <v>34</v>
      </c>
      <c r="G30" s="31"/>
      <c r="H30" s="31"/>
      <c r="I30" s="169"/>
      <c r="J30" s="32"/>
      <c r="M30" s="159"/>
      <c r="P30" s="159"/>
    </row>
    <row r="31" spans="1:17" ht="18" customHeight="1" x14ac:dyDescent="0.2">
      <c r="A31" s="16" t="s">
        <v>187</v>
      </c>
      <c r="B31" s="139">
        <v>7.75</v>
      </c>
      <c r="C31" s="139">
        <v>7.75</v>
      </c>
      <c r="D31" s="139">
        <v>7.75</v>
      </c>
      <c r="E31" s="139">
        <v>7.75</v>
      </c>
      <c r="F31" s="139">
        <v>6</v>
      </c>
      <c r="G31" s="139"/>
      <c r="H31" s="139"/>
      <c r="I31" s="139">
        <f>SUM(B31:H31)</f>
        <v>37</v>
      </c>
      <c r="J31" s="141"/>
      <c r="M31" s="159"/>
      <c r="P31" s="159"/>
    </row>
    <row r="32" spans="1:17" ht="18" customHeight="1" x14ac:dyDescent="0.2">
      <c r="A32" s="38"/>
      <c r="B32" s="11" t="s">
        <v>33</v>
      </c>
      <c r="C32" s="11" t="s">
        <v>33</v>
      </c>
      <c r="D32" s="11" t="s">
        <v>33</v>
      </c>
      <c r="E32" s="11" t="s">
        <v>33</v>
      </c>
      <c r="F32" s="11" t="s">
        <v>34</v>
      </c>
      <c r="G32" s="11"/>
      <c r="H32" s="39"/>
      <c r="I32" s="354"/>
      <c r="J32" s="40"/>
    </row>
    <row r="33" spans="1:25" ht="18" customHeight="1" x14ac:dyDescent="0.2">
      <c r="A33" s="16" t="s">
        <v>188</v>
      </c>
      <c r="B33" s="139">
        <v>7.75</v>
      </c>
      <c r="C33" s="139">
        <v>7.75</v>
      </c>
      <c r="D33" s="139">
        <v>7.75</v>
      </c>
      <c r="E33" s="139">
        <v>7.75</v>
      </c>
      <c r="F33" s="139">
        <v>6</v>
      </c>
      <c r="G33" s="18"/>
      <c r="H33" s="35"/>
      <c r="I33" s="342">
        <f>SUM(B33:H33)</f>
        <v>37</v>
      </c>
      <c r="J33" s="37"/>
      <c r="M33">
        <f>P23</f>
        <v>222</v>
      </c>
      <c r="N33" t="s">
        <v>339</v>
      </c>
      <c r="P33" s="355">
        <f>P29</f>
        <v>13.5</v>
      </c>
      <c r="Q33" t="s">
        <v>340</v>
      </c>
      <c r="R33" s="159">
        <f>SUM(M33-P33)</f>
        <v>208.5</v>
      </c>
      <c r="S33" t="s">
        <v>341</v>
      </c>
    </row>
    <row r="34" spans="1:25" ht="18" customHeight="1" x14ac:dyDescent="0.2">
      <c r="A34" s="58" t="s">
        <v>30</v>
      </c>
      <c r="B34" s="356">
        <f t="shared" ref="B34:I34" si="1">SUM(B29,B31,B33)</f>
        <v>23.25</v>
      </c>
      <c r="C34" s="356">
        <f t="shared" si="1"/>
        <v>23.25</v>
      </c>
      <c r="D34" s="356">
        <f t="shared" si="1"/>
        <v>23.25</v>
      </c>
      <c r="E34" s="356">
        <f t="shared" si="1"/>
        <v>23.25</v>
      </c>
      <c r="F34" s="356">
        <f t="shared" si="1"/>
        <v>18</v>
      </c>
      <c r="G34" s="356">
        <f t="shared" si="1"/>
        <v>0</v>
      </c>
      <c r="H34" s="356">
        <f t="shared" si="1"/>
        <v>0</v>
      </c>
      <c r="I34" s="356">
        <f t="shared" si="1"/>
        <v>111</v>
      </c>
      <c r="J34" s="71"/>
    </row>
    <row r="35" spans="1:25" ht="18" customHeight="1" x14ac:dyDescent="0.2">
      <c r="A35" s="72"/>
      <c r="B35" s="72"/>
      <c r="C35" s="72"/>
      <c r="D35" s="72"/>
      <c r="E35" s="72"/>
      <c r="F35" s="72"/>
      <c r="G35" s="203" t="s">
        <v>152</v>
      </c>
      <c r="H35" s="203" t="s">
        <v>153</v>
      </c>
      <c r="I35" s="203" t="s">
        <v>154</v>
      </c>
      <c r="J35" s="73"/>
      <c r="M35">
        <f>I25</f>
        <v>207.75</v>
      </c>
      <c r="N35" t="s">
        <v>342</v>
      </c>
      <c r="O35" s="159">
        <f>R33</f>
        <v>208.5</v>
      </c>
      <c r="P35" s="357">
        <f>SUM(M35-O35)</f>
        <v>-0.75</v>
      </c>
    </row>
    <row r="36" spans="1:25" ht="18" customHeight="1" x14ac:dyDescent="0.2">
      <c r="A36" s="72"/>
      <c r="B36" s="72"/>
      <c r="C36" s="72"/>
      <c r="D36" s="72"/>
      <c r="E36" s="72"/>
      <c r="F36" s="72"/>
      <c r="G36" s="1786">
        <f>I25+I34</f>
        <v>318.75</v>
      </c>
      <c r="H36" s="168">
        <f>SUM(G36*13/3)</f>
        <v>1381.25</v>
      </c>
      <c r="I36" s="1786">
        <f>SUM(H36*12)</f>
        <v>16575</v>
      </c>
      <c r="J36" s="73"/>
    </row>
    <row r="37" spans="1:25" ht="18" customHeight="1" x14ac:dyDescent="0.2">
      <c r="A37" s="72"/>
      <c r="B37" s="72"/>
      <c r="C37" s="72"/>
      <c r="D37" s="72"/>
      <c r="E37" s="72"/>
      <c r="F37" s="72"/>
      <c r="G37" s="72"/>
      <c r="H37" s="173"/>
      <c r="I37" s="72"/>
      <c r="J37" s="73"/>
    </row>
    <row r="38" spans="1:25" ht="17.45" customHeight="1" x14ac:dyDescent="0.2">
      <c r="A38" s="1" t="s">
        <v>189</v>
      </c>
      <c r="B38" s="72"/>
      <c r="C38" s="72"/>
      <c r="D38" s="72"/>
      <c r="E38" s="72"/>
      <c r="F38" s="72"/>
    </row>
    <row r="39" spans="1:25" ht="17.45" customHeight="1" x14ac:dyDescent="0.2">
      <c r="A39" s="204" t="s">
        <v>190</v>
      </c>
      <c r="B39" s="24" t="s">
        <v>2</v>
      </c>
      <c r="C39" s="25" t="s">
        <v>3</v>
      </c>
      <c r="D39" s="25" t="s">
        <v>4</v>
      </c>
      <c r="E39" s="25" t="s">
        <v>5</v>
      </c>
      <c r="F39" s="25" t="s">
        <v>6</v>
      </c>
      <c r="G39" s="25" t="s">
        <v>7</v>
      </c>
      <c r="H39" s="205" t="s">
        <v>8</v>
      </c>
      <c r="I39" s="206" t="s">
        <v>9</v>
      </c>
      <c r="J39" s="207" t="s">
        <v>10</v>
      </c>
      <c r="K39" t="s">
        <v>28</v>
      </c>
      <c r="M39" s="358" t="s">
        <v>322</v>
      </c>
      <c r="N39" s="359"/>
      <c r="P39" s="360"/>
      <c r="Q39" s="360"/>
      <c r="R39" s="360"/>
      <c r="S39" t="s">
        <v>343</v>
      </c>
      <c r="V39" s="1" t="s">
        <v>28</v>
      </c>
    </row>
    <row r="40" spans="1:25" ht="17.45" customHeight="1" x14ac:dyDescent="0.2">
      <c r="A40" s="361" t="s">
        <v>40</v>
      </c>
      <c r="B40" s="209" t="s">
        <v>191</v>
      </c>
      <c r="C40" s="209" t="s">
        <v>191</v>
      </c>
      <c r="D40" s="209" t="s">
        <v>191</v>
      </c>
      <c r="E40" s="209" t="s">
        <v>191</v>
      </c>
      <c r="F40" s="209" t="s">
        <v>191</v>
      </c>
      <c r="G40" s="210" t="s">
        <v>192</v>
      </c>
      <c r="H40" s="210" t="s">
        <v>192</v>
      </c>
      <c r="I40" s="206"/>
      <c r="J40" s="362" t="s">
        <v>40</v>
      </c>
      <c r="M40" s="363"/>
      <c r="N40" s="364" t="s">
        <v>344</v>
      </c>
      <c r="S40" s="365" t="s">
        <v>345</v>
      </c>
      <c r="T40" s="366"/>
      <c r="U40" s="367"/>
      <c r="V40" s="367"/>
      <c r="W40" s="360"/>
      <c r="Y40" s="72"/>
    </row>
    <row r="41" spans="1:25" ht="17.45" customHeight="1" x14ac:dyDescent="0.2">
      <c r="A41" s="95" t="s">
        <v>43</v>
      </c>
      <c r="B41" s="218">
        <v>8.25</v>
      </c>
      <c r="C41" s="218">
        <v>8.25</v>
      </c>
      <c r="D41" s="218">
        <v>8.25</v>
      </c>
      <c r="E41" s="218">
        <v>8.25</v>
      </c>
      <c r="F41" s="218">
        <v>8.25</v>
      </c>
      <c r="G41" s="219">
        <v>12.25</v>
      </c>
      <c r="H41" s="219">
        <v>12.25</v>
      </c>
      <c r="I41" s="17">
        <f>SUM(B41:H41)</f>
        <v>65.75</v>
      </c>
      <c r="J41" s="220" t="s">
        <v>196</v>
      </c>
      <c r="M41" s="328" t="s">
        <v>324</v>
      </c>
      <c r="N41" s="344">
        <f>I41</f>
        <v>65.75</v>
      </c>
      <c r="S41" s="368" t="s">
        <v>346</v>
      </c>
      <c r="T41" s="369"/>
      <c r="U41" s="369"/>
      <c r="V41" s="369"/>
      <c r="Y41" s="72"/>
    </row>
    <row r="42" spans="1:25" ht="17.45" customHeight="1" x14ac:dyDescent="0.2">
      <c r="A42" s="208"/>
      <c r="B42" s="221" t="s">
        <v>197</v>
      </c>
      <c r="C42" s="221" t="s">
        <v>197</v>
      </c>
      <c r="D42" s="221" t="s">
        <v>197</v>
      </c>
      <c r="E42" s="221" t="s">
        <v>197</v>
      </c>
      <c r="F42" s="221" t="s">
        <v>197</v>
      </c>
      <c r="G42" s="222" t="s">
        <v>198</v>
      </c>
      <c r="H42" s="223" t="s">
        <v>198</v>
      </c>
      <c r="I42" s="206"/>
      <c r="J42" s="212"/>
      <c r="M42" s="328" t="s">
        <v>325</v>
      </c>
      <c r="N42" s="344">
        <f>I47</f>
        <v>0</v>
      </c>
      <c r="S42" s="370" t="s">
        <v>347</v>
      </c>
      <c r="T42" s="371"/>
      <c r="U42" s="371"/>
      <c r="V42" s="371"/>
      <c r="Y42" s="72"/>
    </row>
    <row r="43" spans="1:25" ht="17.45" customHeight="1" x14ac:dyDescent="0.2">
      <c r="A43" s="95" t="s">
        <v>201</v>
      </c>
      <c r="B43" s="91">
        <v>7</v>
      </c>
      <c r="C43" s="91">
        <v>7</v>
      </c>
      <c r="D43" s="91">
        <v>7</v>
      </c>
      <c r="E43" s="91">
        <v>7</v>
      </c>
      <c r="F43" s="91">
        <v>7</v>
      </c>
      <c r="G43" s="227">
        <v>11</v>
      </c>
      <c r="H43" s="228">
        <v>11</v>
      </c>
      <c r="I43" s="17">
        <f>SUM(B43:H43)</f>
        <v>57</v>
      </c>
      <c r="J43" s="220" t="s">
        <v>202</v>
      </c>
      <c r="K43" s="1" t="s">
        <v>28</v>
      </c>
      <c r="M43" s="328" t="s">
        <v>326</v>
      </c>
      <c r="N43" s="344">
        <f>I53</f>
        <v>58.5</v>
      </c>
      <c r="S43" s="372" t="s">
        <v>348</v>
      </c>
      <c r="T43" s="373"/>
      <c r="U43" s="373"/>
      <c r="V43" s="373"/>
      <c r="Y43" s="72"/>
    </row>
    <row r="44" spans="1:25" ht="17.45" customHeight="1" x14ac:dyDescent="0.2">
      <c r="A44" s="208"/>
      <c r="B44" s="229" t="s">
        <v>203</v>
      </c>
      <c r="C44" s="229" t="s">
        <v>203</v>
      </c>
      <c r="D44" s="229" t="s">
        <v>203</v>
      </c>
      <c r="E44" s="229" t="s">
        <v>203</v>
      </c>
      <c r="F44" s="229" t="s">
        <v>203</v>
      </c>
      <c r="G44" s="223" t="s">
        <v>204</v>
      </c>
      <c r="H44" s="223" t="s">
        <v>204</v>
      </c>
      <c r="I44" s="206"/>
      <c r="J44" s="212"/>
      <c r="M44" s="328" t="s">
        <v>236</v>
      </c>
      <c r="N44" s="344">
        <f>I59</f>
        <v>0</v>
      </c>
      <c r="S44" s="374"/>
      <c r="T44" s="375"/>
      <c r="Y44" s="72"/>
    </row>
    <row r="45" spans="1:25" ht="17.45" customHeight="1" x14ac:dyDescent="0.2">
      <c r="A45" s="95" t="s">
        <v>207</v>
      </c>
      <c r="B45" s="232">
        <v>8</v>
      </c>
      <c r="C45" s="232">
        <v>8</v>
      </c>
      <c r="D45" s="232">
        <v>8</v>
      </c>
      <c r="E45" s="232">
        <v>8</v>
      </c>
      <c r="F45" s="232">
        <v>8</v>
      </c>
      <c r="G45" s="227">
        <v>12</v>
      </c>
      <c r="H45" s="227">
        <v>12</v>
      </c>
      <c r="I45" s="17">
        <f>SUM(B45:H45)</f>
        <v>64</v>
      </c>
      <c r="J45" s="220" t="s">
        <v>208</v>
      </c>
      <c r="M45" s="328" t="s">
        <v>327</v>
      </c>
      <c r="N45" s="344">
        <v>0</v>
      </c>
      <c r="Y45" s="72"/>
    </row>
    <row r="46" spans="1:25" ht="17.45" customHeight="1" x14ac:dyDescent="0.2">
      <c r="A46" s="361" t="s">
        <v>52</v>
      </c>
      <c r="B46" s="30" t="s">
        <v>16</v>
      </c>
      <c r="C46" s="30" t="s">
        <v>16</v>
      </c>
      <c r="D46" s="30" t="s">
        <v>16</v>
      </c>
      <c r="E46" s="30" t="s">
        <v>16</v>
      </c>
      <c r="F46" s="30" t="s">
        <v>16</v>
      </c>
      <c r="G46" s="376"/>
      <c r="H46" s="377"/>
      <c r="I46" s="251"/>
      <c r="J46" s="362" t="s">
        <v>52</v>
      </c>
      <c r="M46" s="328" t="s">
        <v>328</v>
      </c>
      <c r="N46" s="344">
        <f>I43</f>
        <v>57</v>
      </c>
      <c r="S46" s="378" t="s">
        <v>349</v>
      </c>
      <c r="T46" s="379"/>
      <c r="U46" s="379"/>
      <c r="V46" s="379"/>
      <c r="Y46" s="72"/>
    </row>
    <row r="47" spans="1:25" ht="17.45" customHeight="1" x14ac:dyDescent="0.2">
      <c r="A47" s="95" t="s">
        <v>350</v>
      </c>
      <c r="B47" s="34"/>
      <c r="C47" s="34"/>
      <c r="D47" s="34"/>
      <c r="E47" s="34"/>
      <c r="F47" s="34"/>
      <c r="G47" s="18"/>
      <c r="H47" s="236"/>
      <c r="I47" s="17">
        <f>SUM(B47:H47)</f>
        <v>0</v>
      </c>
      <c r="J47" s="220" t="s">
        <v>210</v>
      </c>
      <c r="M47" s="328" t="s">
        <v>212</v>
      </c>
      <c r="N47" s="344">
        <f>I49</f>
        <v>0</v>
      </c>
      <c r="S47" s="1"/>
      <c r="Y47" s="72"/>
    </row>
    <row r="48" spans="1:25" ht="17.45" customHeight="1" x14ac:dyDescent="0.2">
      <c r="A48" s="208"/>
      <c r="B48" s="30" t="s">
        <v>16</v>
      </c>
      <c r="C48" s="30" t="s">
        <v>16</v>
      </c>
      <c r="D48" s="30" t="s">
        <v>16</v>
      </c>
      <c r="E48" s="30" t="s">
        <v>16</v>
      </c>
      <c r="F48" s="30" t="s">
        <v>16</v>
      </c>
      <c r="G48" s="206"/>
      <c r="H48" s="237"/>
      <c r="I48" s="206"/>
      <c r="J48" s="212"/>
      <c r="M48" s="328" t="s">
        <v>230</v>
      </c>
      <c r="N48" s="344">
        <f>I55</f>
        <v>56</v>
      </c>
      <c r="S48" s="378" t="s">
        <v>351</v>
      </c>
      <c r="T48" s="379"/>
      <c r="U48" s="379"/>
      <c r="V48" s="379"/>
      <c r="Y48" s="72"/>
    </row>
    <row r="49" spans="1:32" ht="17.45" customHeight="1" x14ac:dyDescent="0.2">
      <c r="A49" s="95" t="s">
        <v>211</v>
      </c>
      <c r="B49" s="34"/>
      <c r="C49" s="34"/>
      <c r="D49" s="34"/>
      <c r="E49" s="34"/>
      <c r="F49" s="34"/>
      <c r="G49" s="137"/>
      <c r="H49" s="239"/>
      <c r="I49" s="17">
        <f>SUM(B49:H49)</f>
        <v>0</v>
      </c>
      <c r="J49" s="220" t="s">
        <v>212</v>
      </c>
      <c r="M49" s="328" t="s">
        <v>238</v>
      </c>
      <c r="N49" s="344">
        <f>I61</f>
        <v>0</v>
      </c>
      <c r="S49" s="1"/>
      <c r="Y49" s="72"/>
    </row>
    <row r="50" spans="1:32" ht="17.45" customHeight="1" x14ac:dyDescent="0.2">
      <c r="A50" s="204"/>
      <c r="B50" s="30" t="s">
        <v>16</v>
      </c>
      <c r="C50" s="30" t="s">
        <v>16</v>
      </c>
      <c r="D50" s="30" t="s">
        <v>16</v>
      </c>
      <c r="E50" s="30" t="s">
        <v>16</v>
      </c>
      <c r="F50" s="30" t="s">
        <v>16</v>
      </c>
      <c r="G50" s="240" t="s">
        <v>213</v>
      </c>
      <c r="H50" s="241" t="s">
        <v>214</v>
      </c>
      <c r="I50" s="206"/>
      <c r="J50" s="242"/>
      <c r="M50" s="328" t="s">
        <v>352</v>
      </c>
      <c r="N50" s="344">
        <f>I67</f>
        <v>37.5</v>
      </c>
      <c r="S50" s="378" t="s">
        <v>353</v>
      </c>
      <c r="T50" s="379"/>
      <c r="U50" s="379"/>
      <c r="V50" s="379"/>
      <c r="Y50" s="72"/>
    </row>
    <row r="51" spans="1:32" ht="17.45" customHeight="1" x14ac:dyDescent="0.2">
      <c r="A51" s="95" t="s">
        <v>216</v>
      </c>
      <c r="B51" s="34"/>
      <c r="C51" s="34"/>
      <c r="D51" s="34"/>
      <c r="E51" s="34"/>
      <c r="F51" s="34"/>
      <c r="G51" s="245">
        <v>12.25</v>
      </c>
      <c r="H51" s="246">
        <v>12.25</v>
      </c>
      <c r="I51" s="17">
        <f>SUM(B51:H51)</f>
        <v>24.5</v>
      </c>
      <c r="J51" s="220" t="s">
        <v>217</v>
      </c>
      <c r="M51" s="328" t="s">
        <v>354</v>
      </c>
      <c r="N51" s="344">
        <f>I45</f>
        <v>64</v>
      </c>
      <c r="Y51" s="72"/>
    </row>
    <row r="52" spans="1:32" ht="17.45" customHeight="1" x14ac:dyDescent="0.2">
      <c r="A52" s="361" t="s">
        <v>59</v>
      </c>
      <c r="B52" s="247" t="s">
        <v>218</v>
      </c>
      <c r="C52" s="247" t="s">
        <v>218</v>
      </c>
      <c r="D52" s="247" t="s">
        <v>218</v>
      </c>
      <c r="E52" s="247" t="s">
        <v>218</v>
      </c>
      <c r="F52" s="247" t="s">
        <v>219</v>
      </c>
      <c r="G52" s="240" t="s">
        <v>220</v>
      </c>
      <c r="H52" s="241" t="s">
        <v>220</v>
      </c>
      <c r="I52" s="206"/>
      <c r="J52" s="362" t="s">
        <v>59</v>
      </c>
      <c r="K52" s="1" t="s">
        <v>28</v>
      </c>
      <c r="M52" s="328" t="s">
        <v>355</v>
      </c>
      <c r="N52" s="344">
        <f>I51</f>
        <v>24.5</v>
      </c>
      <c r="S52" t="s">
        <v>356</v>
      </c>
      <c r="Y52" s="72"/>
    </row>
    <row r="53" spans="1:32" ht="17.45" customHeight="1" x14ac:dyDescent="0.2">
      <c r="A53" s="95" t="s">
        <v>61</v>
      </c>
      <c r="B53" s="249">
        <v>7</v>
      </c>
      <c r="C53" s="249">
        <v>7</v>
      </c>
      <c r="D53" s="249">
        <v>7</v>
      </c>
      <c r="E53" s="249">
        <v>7</v>
      </c>
      <c r="F53" s="249">
        <v>6.5</v>
      </c>
      <c r="G53" s="245">
        <v>12</v>
      </c>
      <c r="H53" s="246">
        <v>12</v>
      </c>
      <c r="I53" s="17">
        <f>SUM(B53:H53)</f>
        <v>58.5</v>
      </c>
      <c r="J53" s="220" t="s">
        <v>224</v>
      </c>
      <c r="M53" s="328" t="s">
        <v>234</v>
      </c>
      <c r="N53" s="344">
        <f>I57</f>
        <v>40</v>
      </c>
      <c r="S53" s="380" t="s">
        <v>357</v>
      </c>
      <c r="T53" s="381"/>
      <c r="U53" s="381"/>
      <c r="V53" s="381"/>
      <c r="Y53" s="72"/>
    </row>
    <row r="54" spans="1:32" ht="17.45" customHeight="1" x14ac:dyDescent="0.2">
      <c r="A54" s="208"/>
      <c r="B54" s="250" t="s">
        <v>225</v>
      </c>
      <c r="C54" s="250" t="s">
        <v>225</v>
      </c>
      <c r="D54" s="250" t="s">
        <v>225</v>
      </c>
      <c r="E54" s="250" t="s">
        <v>225</v>
      </c>
      <c r="F54" s="250" t="s">
        <v>225</v>
      </c>
      <c r="G54" s="240" t="s">
        <v>226</v>
      </c>
      <c r="H54" s="241" t="s">
        <v>220</v>
      </c>
      <c r="I54" s="251"/>
      <c r="J54" s="212"/>
      <c r="M54" s="328" t="s">
        <v>358</v>
      </c>
      <c r="N54" s="344">
        <f>I63</f>
        <v>40</v>
      </c>
      <c r="S54" s="382" t="s">
        <v>359</v>
      </c>
      <c r="T54" s="383"/>
      <c r="U54" s="383"/>
      <c r="V54" s="383"/>
      <c r="Y54" s="72"/>
    </row>
    <row r="55" spans="1:32" ht="17.45" customHeight="1" x14ac:dyDescent="0.2">
      <c r="A55" s="145" t="s">
        <v>229</v>
      </c>
      <c r="B55" s="254">
        <v>7</v>
      </c>
      <c r="C55" s="254">
        <v>7</v>
      </c>
      <c r="D55" s="254">
        <v>7</v>
      </c>
      <c r="E55" s="254">
        <v>7</v>
      </c>
      <c r="F55" s="254">
        <v>7</v>
      </c>
      <c r="G55" s="255">
        <v>9</v>
      </c>
      <c r="H55" s="246">
        <v>12</v>
      </c>
      <c r="I55" s="17">
        <f>SUM(B55:H55)</f>
        <v>56</v>
      </c>
      <c r="J55" s="220" t="s">
        <v>230</v>
      </c>
      <c r="M55" s="328" t="s">
        <v>360</v>
      </c>
      <c r="N55" s="344">
        <v>0</v>
      </c>
      <c r="S55" s="384" t="s">
        <v>361</v>
      </c>
      <c r="T55" s="385"/>
      <c r="U55" s="386"/>
      <c r="V55" s="386"/>
      <c r="Y55" s="72"/>
    </row>
    <row r="56" spans="1:32" ht="17.45" customHeight="1" x14ac:dyDescent="0.2">
      <c r="A56" s="208"/>
      <c r="B56" s="256" t="s">
        <v>231</v>
      </c>
      <c r="C56" s="256" t="s">
        <v>231</v>
      </c>
      <c r="D56" s="256" t="s">
        <v>231</v>
      </c>
      <c r="E56" s="256" t="s">
        <v>231</v>
      </c>
      <c r="F56" s="256" t="s">
        <v>231</v>
      </c>
      <c r="G56" s="376"/>
      <c r="H56" s="377"/>
      <c r="I56" s="206"/>
      <c r="J56" s="212"/>
      <c r="M56" s="330" t="s">
        <v>329</v>
      </c>
      <c r="N56" s="349">
        <f>SUM(N41:N55)</f>
        <v>443.25</v>
      </c>
      <c r="S56" s="387" t="s">
        <v>362</v>
      </c>
      <c r="T56" s="388"/>
      <c r="U56" s="388"/>
      <c r="V56" s="388"/>
      <c r="Y56" s="72"/>
    </row>
    <row r="57" spans="1:32" ht="17.45" customHeight="1" x14ac:dyDescent="0.2">
      <c r="A57" s="95" t="s">
        <v>233</v>
      </c>
      <c r="B57" s="261">
        <v>8</v>
      </c>
      <c r="C57" s="261">
        <v>8</v>
      </c>
      <c r="D57" s="261">
        <v>8</v>
      </c>
      <c r="E57" s="261">
        <v>8</v>
      </c>
      <c r="F57" s="261">
        <v>8</v>
      </c>
      <c r="G57" s="125"/>
      <c r="H57" s="389"/>
      <c r="I57" s="17">
        <f>SUM(B57:H57)</f>
        <v>40</v>
      </c>
      <c r="J57" s="220" t="s">
        <v>234</v>
      </c>
      <c r="N57" s="72"/>
      <c r="S57" s="374"/>
      <c r="T57" s="375"/>
      <c r="Y57" s="72"/>
      <c r="AE57" s="273"/>
      <c r="AF57" s="273"/>
    </row>
    <row r="58" spans="1:32" ht="17.45" customHeight="1" x14ac:dyDescent="0.2">
      <c r="A58" s="361" t="s">
        <v>64</v>
      </c>
      <c r="B58" s="30" t="s">
        <v>16</v>
      </c>
      <c r="C58" s="30" t="s">
        <v>16</v>
      </c>
      <c r="D58" s="30" t="s">
        <v>16</v>
      </c>
      <c r="E58" s="30" t="s">
        <v>16</v>
      </c>
      <c r="F58" s="30" t="s">
        <v>16</v>
      </c>
      <c r="G58" s="376"/>
      <c r="H58" s="377"/>
      <c r="I58" s="206"/>
      <c r="J58" s="362" t="s">
        <v>64</v>
      </c>
      <c r="M58" t="s">
        <v>332</v>
      </c>
      <c r="N58" t="s">
        <v>363</v>
      </c>
      <c r="P58">
        <v>555</v>
      </c>
      <c r="Q58" t="s">
        <v>334</v>
      </c>
      <c r="S58" t="s">
        <v>364</v>
      </c>
      <c r="AE58" s="72"/>
      <c r="AF58" s="72"/>
    </row>
    <row r="59" spans="1:32" ht="17.45" customHeight="1" x14ac:dyDescent="0.2">
      <c r="A59" s="145" t="s">
        <v>235</v>
      </c>
      <c r="B59" s="132"/>
      <c r="C59" s="132"/>
      <c r="D59" s="132"/>
      <c r="E59" s="132"/>
      <c r="F59" s="132"/>
      <c r="G59" s="125"/>
      <c r="H59" s="389"/>
      <c r="I59" s="124">
        <f>SUM(B59:H59)</f>
        <v>0</v>
      </c>
      <c r="J59" s="220" t="s">
        <v>236</v>
      </c>
      <c r="O59" t="s">
        <v>28</v>
      </c>
      <c r="S59" s="390" t="s">
        <v>365</v>
      </c>
      <c r="T59" s="391"/>
    </row>
    <row r="60" spans="1:32" ht="17.45" customHeight="1" x14ac:dyDescent="0.2">
      <c r="A60" s="208"/>
      <c r="B60" s="30" t="s">
        <v>16</v>
      </c>
      <c r="C60" s="30" t="s">
        <v>16</v>
      </c>
      <c r="D60" s="30" t="s">
        <v>16</v>
      </c>
      <c r="E60" s="30" t="s">
        <v>16</v>
      </c>
      <c r="F60" s="30" t="s">
        <v>16</v>
      </c>
      <c r="G60" s="206"/>
      <c r="H60" s="237"/>
      <c r="I60" s="206"/>
      <c r="J60" s="212"/>
      <c r="M60" t="s">
        <v>336</v>
      </c>
      <c r="O60" s="353">
        <f>N56</f>
        <v>443.25</v>
      </c>
      <c r="S60" s="392" t="s">
        <v>366</v>
      </c>
      <c r="T60" s="393"/>
    </row>
    <row r="61" spans="1:32" ht="17.45" customHeight="1" x14ac:dyDescent="0.2">
      <c r="A61" s="111" t="s">
        <v>367</v>
      </c>
      <c r="B61" s="132"/>
      <c r="C61" s="132"/>
      <c r="D61" s="34"/>
      <c r="E61" s="34"/>
      <c r="F61" s="34"/>
      <c r="G61" s="226"/>
      <c r="H61" s="238"/>
      <c r="I61" s="124">
        <f>SUM(B61:H61)</f>
        <v>0</v>
      </c>
      <c r="J61" s="278" t="s">
        <v>238</v>
      </c>
      <c r="S61" s="394" t="s">
        <v>368</v>
      </c>
      <c r="T61" s="395"/>
      <c r="AE61" s="127"/>
      <c r="AF61" s="127"/>
    </row>
    <row r="62" spans="1:32" ht="17.45" customHeight="1" x14ac:dyDescent="0.2">
      <c r="A62" s="208" t="s">
        <v>28</v>
      </c>
      <c r="B62" s="264" t="s">
        <v>239</v>
      </c>
      <c r="C62" s="264" t="s">
        <v>239</v>
      </c>
      <c r="D62" s="264" t="s">
        <v>239</v>
      </c>
      <c r="E62" s="264" t="s">
        <v>239</v>
      </c>
      <c r="F62" s="264" t="s">
        <v>239</v>
      </c>
      <c r="G62" s="265"/>
      <c r="H62" s="237"/>
      <c r="I62" s="206"/>
      <c r="J62" s="212" t="s">
        <v>28</v>
      </c>
      <c r="M62">
        <f>O60</f>
        <v>443.25</v>
      </c>
      <c r="N62" t="s">
        <v>337</v>
      </c>
      <c r="P62" s="159">
        <f>SUM(M62/37)</f>
        <v>11.97972972972973</v>
      </c>
      <c r="Q62" t="s">
        <v>334</v>
      </c>
      <c r="AE62" s="138"/>
      <c r="AF62" s="138"/>
    </row>
    <row r="63" spans="1:32" ht="17.45" customHeight="1" x14ac:dyDescent="0.2">
      <c r="A63" s="145" t="s">
        <v>241</v>
      </c>
      <c r="B63" s="396">
        <v>8</v>
      </c>
      <c r="C63" s="396">
        <v>8</v>
      </c>
      <c r="D63" s="396">
        <v>8</v>
      </c>
      <c r="E63" s="396">
        <v>8</v>
      </c>
      <c r="F63" s="396">
        <v>8</v>
      </c>
      <c r="G63" s="226"/>
      <c r="H63" s="238"/>
      <c r="I63" s="124">
        <f>SUM(B63:H63)</f>
        <v>40</v>
      </c>
      <c r="J63" s="220" t="s">
        <v>242</v>
      </c>
      <c r="S63" s="397" t="s">
        <v>369</v>
      </c>
      <c r="T63" s="398"/>
      <c r="U63" s="399"/>
    </row>
    <row r="64" spans="1:32" ht="17.45" customHeight="1" x14ac:dyDescent="0.2">
      <c r="A64" s="361" t="s">
        <v>70</v>
      </c>
      <c r="B64" s="269" t="s">
        <v>243</v>
      </c>
      <c r="C64" s="269" t="s">
        <v>243</v>
      </c>
      <c r="D64" s="269" t="s">
        <v>243</v>
      </c>
      <c r="E64" s="269" t="s">
        <v>243</v>
      </c>
      <c r="F64" s="269" t="s">
        <v>243</v>
      </c>
      <c r="G64" s="24"/>
      <c r="H64" s="257"/>
      <c r="I64" s="206"/>
      <c r="J64" s="362" t="s">
        <v>70</v>
      </c>
      <c r="M64" s="159">
        <f>P62</f>
        <v>11.97972972972973</v>
      </c>
      <c r="N64" t="s">
        <v>338</v>
      </c>
      <c r="P64" s="159">
        <f>SUM(P62*3)</f>
        <v>35.939189189189193</v>
      </c>
      <c r="Q64" t="s">
        <v>334</v>
      </c>
    </row>
    <row r="65" spans="1:31" ht="17.45" customHeight="1" x14ac:dyDescent="0.2">
      <c r="A65" s="145" t="s">
        <v>71</v>
      </c>
      <c r="B65" s="274">
        <v>7</v>
      </c>
      <c r="C65" s="274">
        <v>7</v>
      </c>
      <c r="D65" s="274">
        <v>7</v>
      </c>
      <c r="E65" s="274">
        <v>7</v>
      </c>
      <c r="F65" s="274">
        <v>7</v>
      </c>
      <c r="G65" s="124"/>
      <c r="H65" s="400"/>
      <c r="I65" s="124">
        <f>SUM(B65:H65)</f>
        <v>35</v>
      </c>
      <c r="J65" s="244" t="s">
        <v>245</v>
      </c>
      <c r="S65" s="397" t="s">
        <v>370</v>
      </c>
      <c r="T65" s="398"/>
      <c r="U65" s="399"/>
    </row>
    <row r="66" spans="1:31" ht="17.45" customHeight="1" x14ac:dyDescent="0.2">
      <c r="A66" s="208"/>
      <c r="B66" s="275" t="s">
        <v>246</v>
      </c>
      <c r="C66" s="275" t="s">
        <v>246</v>
      </c>
      <c r="D66" s="275" t="s">
        <v>246</v>
      </c>
      <c r="E66" s="275" t="s">
        <v>246</v>
      </c>
      <c r="F66" s="275" t="s">
        <v>246</v>
      </c>
      <c r="G66" s="24"/>
      <c r="H66" s="257"/>
      <c r="I66" s="211"/>
      <c r="J66" s="212"/>
      <c r="M66">
        <f>P58</f>
        <v>555</v>
      </c>
      <c r="N66" t="s">
        <v>339</v>
      </c>
      <c r="P66" s="355">
        <f>P64</f>
        <v>35.939189189189193</v>
      </c>
      <c r="Q66" t="s">
        <v>340</v>
      </c>
      <c r="R66" s="401">
        <f>SUM(M66-P66)</f>
        <v>519.06081081081084</v>
      </c>
    </row>
    <row r="67" spans="1:31" ht="17.45" customHeight="1" x14ac:dyDescent="0.2">
      <c r="A67" s="115" t="s">
        <v>72</v>
      </c>
      <c r="B67" s="277">
        <v>7.5</v>
      </c>
      <c r="C67" s="277">
        <v>7.5</v>
      </c>
      <c r="D67" s="277">
        <v>7.5</v>
      </c>
      <c r="E67" s="277">
        <v>7.5</v>
      </c>
      <c r="F67" s="277">
        <v>7.5</v>
      </c>
      <c r="G67" s="17"/>
      <c r="H67" s="262"/>
      <c r="I67" s="284">
        <f>SUM(B67:H67)</f>
        <v>37.5</v>
      </c>
      <c r="J67" s="278" t="s">
        <v>248</v>
      </c>
      <c r="S67" s="402" t="s">
        <v>371</v>
      </c>
      <c r="T67" s="403"/>
      <c r="U67" s="404"/>
      <c r="AE67" s="127"/>
    </row>
    <row r="68" spans="1:31" ht="17.45" customHeight="1" x14ac:dyDescent="0.2">
      <c r="A68" s="208"/>
      <c r="B68" s="279" t="s">
        <v>249</v>
      </c>
      <c r="C68" s="280" t="s">
        <v>249</v>
      </c>
      <c r="D68" s="280" t="s">
        <v>249</v>
      </c>
      <c r="E68" s="280" t="s">
        <v>249</v>
      </c>
      <c r="F68" s="280" t="s">
        <v>249</v>
      </c>
      <c r="G68" s="24"/>
      <c r="H68" s="257"/>
      <c r="I68" s="235"/>
      <c r="J68" s="212"/>
      <c r="M68" s="159">
        <f>I70</f>
        <v>518.25</v>
      </c>
      <c r="N68" t="s">
        <v>342</v>
      </c>
      <c r="O68" s="355">
        <f>R66</f>
        <v>519.06081081081084</v>
      </c>
      <c r="P68" s="357">
        <f>SUM(M68-O68)</f>
        <v>-0.81081081081083539</v>
      </c>
      <c r="S68" s="374"/>
      <c r="T68" s="375"/>
      <c r="AE68" s="138"/>
    </row>
    <row r="69" spans="1:31" ht="17.45" customHeight="1" x14ac:dyDescent="0.2">
      <c r="A69" s="95" t="s">
        <v>73</v>
      </c>
      <c r="B69" s="283">
        <v>8</v>
      </c>
      <c r="C69" s="283">
        <v>8</v>
      </c>
      <c r="D69" s="283">
        <v>8</v>
      </c>
      <c r="E69" s="283">
        <v>8</v>
      </c>
      <c r="F69" s="283">
        <v>8</v>
      </c>
      <c r="G69" s="17"/>
      <c r="H69" s="17"/>
      <c r="I69" s="284">
        <f>SUM(B69:H69)</f>
        <v>40</v>
      </c>
      <c r="J69" s="220" t="s">
        <v>251</v>
      </c>
    </row>
    <row r="70" spans="1:31" ht="17.45" customHeight="1" x14ac:dyDescent="0.2">
      <c r="A70" s="195" t="s">
        <v>30</v>
      </c>
      <c r="B70" s="285">
        <f t="shared" ref="B70:I70" si="2">SUM(B41,B43,B45,B47,B49,B51,B53,B55,B57,B59,B61,B63,B65,B67,B69)</f>
        <v>75.75</v>
      </c>
      <c r="C70" s="285">
        <f t="shared" si="2"/>
        <v>75.75</v>
      </c>
      <c r="D70" s="285">
        <f t="shared" si="2"/>
        <v>75.75</v>
      </c>
      <c r="E70" s="285">
        <f t="shared" si="2"/>
        <v>75.75</v>
      </c>
      <c r="F70" s="285">
        <f t="shared" si="2"/>
        <v>75.25</v>
      </c>
      <c r="G70" s="285">
        <f t="shared" si="2"/>
        <v>68.5</v>
      </c>
      <c r="H70" s="285">
        <f t="shared" si="2"/>
        <v>71.5</v>
      </c>
      <c r="I70" s="285">
        <f t="shared" si="2"/>
        <v>518.25</v>
      </c>
      <c r="J70" s="197"/>
    </row>
    <row r="71" spans="1:31" ht="17.45" customHeight="1" x14ac:dyDescent="0.2">
      <c r="A71" s="72"/>
      <c r="B71" s="72"/>
      <c r="C71" s="72"/>
      <c r="D71" s="72"/>
      <c r="E71" s="72"/>
      <c r="F71" s="72"/>
      <c r="G71" s="203" t="s">
        <v>152</v>
      </c>
      <c r="H71" s="203" t="s">
        <v>153</v>
      </c>
      <c r="I71" s="203" t="s">
        <v>154</v>
      </c>
      <c r="M71" s="273"/>
      <c r="N71" s="273"/>
      <c r="O71" s="273"/>
      <c r="P71" s="273"/>
      <c r="Q71" s="273"/>
      <c r="R71" s="273"/>
    </row>
    <row r="72" spans="1:31" ht="17.45" customHeight="1" x14ac:dyDescent="0.2">
      <c r="A72" s="72"/>
      <c r="B72" s="127"/>
      <c r="C72" s="127"/>
      <c r="D72" s="127"/>
      <c r="E72" s="127"/>
      <c r="F72" s="127"/>
      <c r="G72" s="1786">
        <f>I70</f>
        <v>518.25</v>
      </c>
      <c r="H72" s="168">
        <f>SUM(G72*13/3)</f>
        <v>2245.75</v>
      </c>
      <c r="I72" s="1786">
        <f>SUM(H72*12)</f>
        <v>26949</v>
      </c>
      <c r="M72" s="72"/>
      <c r="N72" s="72"/>
      <c r="O72" s="72"/>
      <c r="P72" s="72"/>
      <c r="Q72" s="72"/>
      <c r="R72" s="72"/>
    </row>
    <row r="73" spans="1:31" ht="17.45" customHeight="1" x14ac:dyDescent="0.2">
      <c r="A73" s="72"/>
      <c r="B73" s="138"/>
      <c r="C73" s="138"/>
      <c r="D73" s="138"/>
      <c r="E73" s="138"/>
      <c r="F73" s="138"/>
      <c r="G73" s="72"/>
      <c r="H73" s="173"/>
      <c r="I73" s="72"/>
      <c r="N73" s="72"/>
      <c r="O73" s="72"/>
      <c r="P73" s="72"/>
      <c r="Q73" s="72"/>
      <c r="R73" s="72"/>
    </row>
    <row r="74" spans="1:31" ht="17.45" customHeight="1" x14ac:dyDescent="0.2">
      <c r="A74" s="72"/>
      <c r="B74" s="72"/>
      <c r="C74" s="72"/>
      <c r="D74" s="72"/>
      <c r="E74" s="72"/>
      <c r="F74" s="72"/>
      <c r="G74" s="72"/>
      <c r="H74" s="173"/>
      <c r="I74" s="72"/>
      <c r="N74" s="72"/>
      <c r="O74" s="72"/>
      <c r="P74" s="72"/>
      <c r="Q74" s="72"/>
      <c r="R74" s="72"/>
    </row>
    <row r="75" spans="1:31" ht="17.100000000000001" customHeight="1" x14ac:dyDescent="0.2">
      <c r="A75" s="1" t="s">
        <v>372</v>
      </c>
      <c r="B75" s="72"/>
      <c r="C75" s="72"/>
      <c r="D75" s="72"/>
      <c r="E75" s="72"/>
      <c r="F75" s="72"/>
      <c r="N75" s="72"/>
      <c r="O75" s="72"/>
      <c r="P75" s="72"/>
      <c r="Q75" s="72"/>
      <c r="R75" s="72"/>
    </row>
    <row r="76" spans="1:31" ht="17.100000000000001" customHeight="1" x14ac:dyDescent="0.2">
      <c r="A76" s="204" t="s">
        <v>190</v>
      </c>
      <c r="B76" s="24" t="s">
        <v>2</v>
      </c>
      <c r="C76" s="25" t="s">
        <v>3</v>
      </c>
      <c r="D76" s="25" t="s">
        <v>4</v>
      </c>
      <c r="E76" s="25" t="s">
        <v>5</v>
      </c>
      <c r="F76" s="25" t="s">
        <v>6</v>
      </c>
      <c r="G76" s="25" t="s">
        <v>7</v>
      </c>
      <c r="H76" s="205" t="s">
        <v>8</v>
      </c>
      <c r="I76" s="206" t="s">
        <v>9</v>
      </c>
      <c r="J76" s="207" t="s">
        <v>10</v>
      </c>
      <c r="N76" s="72"/>
      <c r="O76" s="72"/>
      <c r="P76" s="72"/>
      <c r="Q76" s="72"/>
      <c r="R76" s="72"/>
    </row>
    <row r="77" spans="1:31" ht="17.100000000000001" customHeight="1" x14ac:dyDescent="0.2">
      <c r="A77" s="208"/>
      <c r="B77" s="209" t="s">
        <v>191</v>
      </c>
      <c r="C77" s="209" t="s">
        <v>191</v>
      </c>
      <c r="D77" s="209" t="s">
        <v>191</v>
      </c>
      <c r="E77" s="209" t="s">
        <v>191</v>
      </c>
      <c r="F77" s="209" t="s">
        <v>191</v>
      </c>
      <c r="G77" s="210" t="s">
        <v>192</v>
      </c>
      <c r="H77" s="210" t="s">
        <v>192</v>
      </c>
      <c r="I77" s="211"/>
      <c r="J77" s="212"/>
      <c r="N77" s="72"/>
      <c r="O77" s="72"/>
      <c r="P77" s="72"/>
      <c r="Q77" s="72"/>
      <c r="R77" s="72"/>
    </row>
    <row r="78" spans="1:31" ht="17.100000000000001" customHeight="1" x14ac:dyDescent="0.2">
      <c r="A78" s="95" t="s">
        <v>43</v>
      </c>
      <c r="B78" s="218">
        <v>8.25</v>
      </c>
      <c r="C78" s="218">
        <v>8.25</v>
      </c>
      <c r="D78" s="218">
        <v>8.25</v>
      </c>
      <c r="E78" s="218">
        <v>8.25</v>
      </c>
      <c r="F78" s="218">
        <v>8.25</v>
      </c>
      <c r="G78" s="219">
        <v>12.25</v>
      </c>
      <c r="H78" s="219">
        <v>12.25</v>
      </c>
      <c r="I78" s="17">
        <f>SUM(B78:H78)</f>
        <v>65.75</v>
      </c>
      <c r="J78" s="220" t="s">
        <v>196</v>
      </c>
      <c r="N78" s="72"/>
      <c r="O78" s="72"/>
      <c r="P78" s="72"/>
      <c r="Q78" s="72"/>
      <c r="R78" s="72"/>
    </row>
    <row r="79" spans="1:31" ht="17.100000000000001" customHeight="1" x14ac:dyDescent="0.2">
      <c r="A79" s="208"/>
      <c r="B79" s="30" t="s">
        <v>16</v>
      </c>
      <c r="C79" s="30" t="s">
        <v>16</v>
      </c>
      <c r="D79" s="30" t="s">
        <v>16</v>
      </c>
      <c r="E79" s="30" t="s">
        <v>16</v>
      </c>
      <c r="F79" s="30" t="s">
        <v>16</v>
      </c>
      <c r="G79" s="233"/>
      <c r="H79" s="234"/>
      <c r="I79" s="235"/>
      <c r="J79" s="212"/>
      <c r="L79" s="127"/>
      <c r="M79" s="127"/>
      <c r="N79" s="127"/>
      <c r="O79" s="72"/>
      <c r="P79" s="72"/>
      <c r="Q79" s="72"/>
      <c r="R79" s="72"/>
    </row>
    <row r="80" spans="1:31" ht="17.100000000000001" customHeight="1" x14ac:dyDescent="0.2">
      <c r="A80" s="95" t="s">
        <v>373</v>
      </c>
      <c r="B80" s="34"/>
      <c r="C80" s="34"/>
      <c r="D80" s="34"/>
      <c r="E80" s="34"/>
      <c r="F80" s="34"/>
      <c r="G80" s="18"/>
      <c r="H80" s="236"/>
      <c r="I80" s="17">
        <f>SUM(B80:H80)</f>
        <v>0</v>
      </c>
      <c r="J80" s="220" t="s">
        <v>210</v>
      </c>
      <c r="L80" s="138"/>
      <c r="M80" s="138"/>
      <c r="N80" s="138"/>
      <c r="O80" s="72"/>
      <c r="P80" s="72"/>
      <c r="Q80" s="72"/>
      <c r="R80" s="72"/>
    </row>
    <row r="81" spans="1:18" ht="17.100000000000001" customHeight="1" x14ac:dyDescent="0.2">
      <c r="A81" s="208"/>
      <c r="B81" s="247" t="s">
        <v>218</v>
      </c>
      <c r="C81" s="247" t="s">
        <v>218</v>
      </c>
      <c r="D81" s="247" t="s">
        <v>218</v>
      </c>
      <c r="E81" s="247" t="s">
        <v>218</v>
      </c>
      <c r="F81" s="247" t="s">
        <v>219</v>
      </c>
      <c r="G81" s="240" t="s">
        <v>220</v>
      </c>
      <c r="H81" s="241" t="s">
        <v>220</v>
      </c>
      <c r="I81" s="206"/>
      <c r="J81" s="212"/>
      <c r="N81" s="72"/>
      <c r="O81" s="72"/>
      <c r="P81" s="72"/>
      <c r="Q81" s="72"/>
      <c r="R81" s="72"/>
    </row>
    <row r="82" spans="1:18" ht="17.100000000000001" customHeight="1" x14ac:dyDescent="0.2">
      <c r="A82" s="95" t="s">
        <v>61</v>
      </c>
      <c r="B82" s="249">
        <v>7</v>
      </c>
      <c r="C82" s="249">
        <v>7</v>
      </c>
      <c r="D82" s="249">
        <v>7</v>
      </c>
      <c r="E82" s="249">
        <v>7</v>
      </c>
      <c r="F82" s="249">
        <v>6.5</v>
      </c>
      <c r="G82" s="245">
        <v>12</v>
      </c>
      <c r="H82" s="246">
        <v>12</v>
      </c>
      <c r="I82" s="17">
        <f>SUM(B82:H82)</f>
        <v>58.5</v>
      </c>
      <c r="J82" s="220" t="s">
        <v>224</v>
      </c>
      <c r="N82" s="72"/>
      <c r="O82" s="72"/>
      <c r="P82" s="72"/>
      <c r="Q82" s="72"/>
      <c r="R82" s="72"/>
    </row>
    <row r="83" spans="1:18" ht="17.100000000000001" customHeight="1" x14ac:dyDescent="0.2">
      <c r="A83" s="208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233"/>
      <c r="H83" s="234"/>
      <c r="I83" s="211"/>
      <c r="J83" s="212"/>
      <c r="N83" s="72"/>
      <c r="O83" s="72"/>
      <c r="P83" s="72"/>
      <c r="Q83" s="72"/>
      <c r="R83" s="72"/>
    </row>
    <row r="84" spans="1:18" ht="17.100000000000001" customHeight="1" x14ac:dyDescent="0.2">
      <c r="A84" s="95" t="s">
        <v>235</v>
      </c>
      <c r="B84" s="132"/>
      <c r="C84" s="132"/>
      <c r="D84" s="132"/>
      <c r="E84" s="132"/>
      <c r="F84" s="132"/>
      <c r="G84" s="18"/>
      <c r="H84" s="236"/>
      <c r="I84" s="17">
        <f>SUM(B84:H84)</f>
        <v>0</v>
      </c>
      <c r="J84" s="220" t="s">
        <v>236</v>
      </c>
      <c r="N84" s="72"/>
      <c r="O84" s="72"/>
      <c r="P84" s="72"/>
      <c r="Q84" s="72"/>
      <c r="R84" s="72"/>
    </row>
    <row r="85" spans="1:18" ht="17.100000000000001" customHeight="1" x14ac:dyDescent="0.2">
      <c r="A85" s="208"/>
      <c r="B85" s="269" t="s">
        <v>243</v>
      </c>
      <c r="C85" s="269" t="s">
        <v>243</v>
      </c>
      <c r="D85" s="269" t="s">
        <v>243</v>
      </c>
      <c r="E85" s="269" t="s">
        <v>243</v>
      </c>
      <c r="F85" s="269" t="s">
        <v>243</v>
      </c>
      <c r="G85" s="270"/>
      <c r="H85" s="271"/>
      <c r="I85" s="211"/>
      <c r="J85" s="212"/>
      <c r="N85" s="72"/>
      <c r="O85" s="72"/>
      <c r="P85" s="72"/>
      <c r="Q85" s="72"/>
      <c r="R85" s="72"/>
    </row>
    <row r="86" spans="1:18" ht="17.100000000000001" customHeight="1" x14ac:dyDescent="0.2">
      <c r="A86" s="95" t="s">
        <v>71</v>
      </c>
      <c r="B86" s="274">
        <v>7</v>
      </c>
      <c r="C86" s="274">
        <v>7</v>
      </c>
      <c r="D86" s="274">
        <v>7</v>
      </c>
      <c r="E86" s="274">
        <v>7</v>
      </c>
      <c r="F86" s="274">
        <v>7</v>
      </c>
      <c r="G86" s="17"/>
      <c r="H86" s="262"/>
      <c r="I86" s="17">
        <f>SUM(B86:H86)</f>
        <v>35</v>
      </c>
      <c r="J86" s="220" t="s">
        <v>245</v>
      </c>
      <c r="N86" s="72"/>
      <c r="O86" s="72"/>
      <c r="P86" s="72"/>
      <c r="Q86" s="72"/>
      <c r="R86" s="72"/>
    </row>
    <row r="87" spans="1:18" ht="17.100000000000001" customHeight="1" x14ac:dyDescent="0.2">
      <c r="A87" s="208"/>
      <c r="B87" s="221" t="s">
        <v>197</v>
      </c>
      <c r="C87" s="221" t="s">
        <v>197</v>
      </c>
      <c r="D87" s="221" t="s">
        <v>197</v>
      </c>
      <c r="E87" s="221" t="s">
        <v>197</v>
      </c>
      <c r="F87" s="221" t="s">
        <v>197</v>
      </c>
      <c r="G87" s="222" t="s">
        <v>198</v>
      </c>
      <c r="H87" s="223" t="s">
        <v>198</v>
      </c>
      <c r="I87" s="206"/>
      <c r="J87" s="212"/>
      <c r="N87" s="72"/>
      <c r="O87" s="72"/>
      <c r="P87" s="72"/>
      <c r="Q87" s="72"/>
      <c r="R87" s="72"/>
    </row>
    <row r="88" spans="1:18" ht="17.100000000000001" customHeight="1" x14ac:dyDescent="0.2">
      <c r="A88" s="95" t="s">
        <v>201</v>
      </c>
      <c r="B88" s="91">
        <v>7</v>
      </c>
      <c r="C88" s="91">
        <v>7</v>
      </c>
      <c r="D88" s="91">
        <v>7</v>
      </c>
      <c r="E88" s="91">
        <v>7</v>
      </c>
      <c r="F88" s="91">
        <v>7</v>
      </c>
      <c r="G88" s="227">
        <v>11</v>
      </c>
      <c r="H88" s="228">
        <v>11</v>
      </c>
      <c r="I88" s="17">
        <f>SUM(B88:H88)</f>
        <v>57</v>
      </c>
      <c r="J88" s="220" t="s">
        <v>202</v>
      </c>
      <c r="N88" s="72"/>
      <c r="O88" s="72"/>
      <c r="P88" s="72"/>
      <c r="Q88" s="72"/>
      <c r="R88" s="72"/>
    </row>
    <row r="89" spans="1:18" ht="17.100000000000001" customHeight="1" x14ac:dyDescent="0.2">
      <c r="A89" s="208"/>
      <c r="B89" s="30" t="s">
        <v>16</v>
      </c>
      <c r="C89" s="30" t="s">
        <v>16</v>
      </c>
      <c r="D89" s="30" t="s">
        <v>16</v>
      </c>
      <c r="E89" s="30" t="s">
        <v>16</v>
      </c>
      <c r="F89" s="30" t="s">
        <v>16</v>
      </c>
      <c r="G89" s="206"/>
      <c r="H89" s="237"/>
      <c r="I89" s="206"/>
      <c r="J89" s="212"/>
      <c r="N89" s="72"/>
      <c r="O89" s="72"/>
      <c r="P89" s="72"/>
      <c r="Q89" s="72"/>
      <c r="R89" s="72"/>
    </row>
    <row r="90" spans="1:18" ht="17.100000000000001" customHeight="1" x14ac:dyDescent="0.2">
      <c r="A90" s="95" t="s">
        <v>211</v>
      </c>
      <c r="B90" s="34"/>
      <c r="C90" s="34"/>
      <c r="D90" s="34"/>
      <c r="E90" s="34"/>
      <c r="F90" s="34"/>
      <c r="G90" s="137"/>
      <c r="H90" s="239"/>
      <c r="I90" s="17">
        <f>SUM(B90:H90)</f>
        <v>0</v>
      </c>
      <c r="J90" s="220" t="s">
        <v>212</v>
      </c>
      <c r="N90" s="72"/>
      <c r="O90" s="72"/>
      <c r="P90" s="72"/>
      <c r="Q90" s="72"/>
      <c r="R90" s="72"/>
    </row>
    <row r="91" spans="1:18" ht="17.100000000000001" customHeight="1" x14ac:dyDescent="0.2">
      <c r="A91" s="208"/>
      <c r="B91" s="250" t="s">
        <v>225</v>
      </c>
      <c r="C91" s="250" t="s">
        <v>225</v>
      </c>
      <c r="D91" s="250" t="s">
        <v>225</v>
      </c>
      <c r="E91" s="250" t="s">
        <v>225</v>
      </c>
      <c r="F91" s="250" t="s">
        <v>225</v>
      </c>
      <c r="G91" s="240" t="s">
        <v>226</v>
      </c>
      <c r="H91" s="241" t="s">
        <v>220</v>
      </c>
      <c r="I91" s="251"/>
      <c r="J91" s="212"/>
      <c r="N91" s="72"/>
      <c r="O91" s="72"/>
      <c r="P91" s="72"/>
      <c r="Q91" s="72"/>
      <c r="R91" s="72"/>
    </row>
    <row r="92" spans="1:18" ht="17.100000000000001" customHeight="1" x14ac:dyDescent="0.2">
      <c r="A92" s="95" t="s">
        <v>229</v>
      </c>
      <c r="B92" s="254">
        <v>7</v>
      </c>
      <c r="C92" s="254">
        <v>7</v>
      </c>
      <c r="D92" s="254">
        <v>7</v>
      </c>
      <c r="E92" s="254">
        <v>7</v>
      </c>
      <c r="F92" s="254">
        <v>7</v>
      </c>
      <c r="G92" s="255">
        <v>9</v>
      </c>
      <c r="H92" s="246">
        <v>12</v>
      </c>
      <c r="I92" s="17">
        <f>SUM(B92:H92)</f>
        <v>56</v>
      </c>
      <c r="J92" s="220" t="s">
        <v>230</v>
      </c>
      <c r="L92" s="127"/>
      <c r="M92" s="127"/>
      <c r="N92" s="127"/>
      <c r="O92" s="72"/>
      <c r="P92" s="72"/>
      <c r="Q92" s="72"/>
      <c r="R92" s="72"/>
    </row>
    <row r="93" spans="1:18" ht="17.100000000000001" customHeight="1" x14ac:dyDescent="0.2">
      <c r="A93" s="208"/>
      <c r="B93" s="30" t="s">
        <v>16</v>
      </c>
      <c r="C93" s="30" t="s">
        <v>16</v>
      </c>
      <c r="D93" s="30" t="s">
        <v>16</v>
      </c>
      <c r="E93" s="30" t="s">
        <v>16</v>
      </c>
      <c r="F93" s="30" t="s">
        <v>16</v>
      </c>
      <c r="G93" s="206"/>
      <c r="H93" s="237"/>
      <c r="I93" s="206"/>
      <c r="J93" s="212"/>
      <c r="L93" s="138"/>
      <c r="M93" s="138"/>
      <c r="N93" s="138"/>
      <c r="O93" s="72"/>
      <c r="P93" s="72"/>
      <c r="Q93" s="72"/>
      <c r="R93" s="72"/>
    </row>
    <row r="94" spans="1:18" ht="17.100000000000001" customHeight="1" x14ac:dyDescent="0.2">
      <c r="A94" s="111" t="s">
        <v>237</v>
      </c>
      <c r="B94" s="132"/>
      <c r="C94" s="132"/>
      <c r="D94" s="34"/>
      <c r="E94" s="34"/>
      <c r="F94" s="34"/>
      <c r="G94" s="226"/>
      <c r="H94" s="238"/>
      <c r="I94" s="124">
        <f>SUM(B94:H94)</f>
        <v>0</v>
      </c>
      <c r="J94" s="263" t="s">
        <v>238</v>
      </c>
      <c r="N94" s="72"/>
      <c r="O94" s="72"/>
      <c r="P94" s="72"/>
      <c r="Q94" s="72"/>
      <c r="R94" s="72"/>
    </row>
    <row r="95" spans="1:18" ht="17.100000000000001" customHeight="1" x14ac:dyDescent="0.2">
      <c r="A95" s="208"/>
      <c r="B95" s="275" t="s">
        <v>246</v>
      </c>
      <c r="C95" s="275" t="s">
        <v>246</v>
      </c>
      <c r="D95" s="275" t="s">
        <v>246</v>
      </c>
      <c r="E95" s="275" t="s">
        <v>246</v>
      </c>
      <c r="F95" s="275" t="s">
        <v>246</v>
      </c>
      <c r="G95" s="24"/>
      <c r="H95" s="257"/>
      <c r="I95" s="27"/>
      <c r="J95" s="212"/>
      <c r="N95" s="273"/>
      <c r="O95" s="273"/>
      <c r="P95" s="72"/>
      <c r="Q95" s="72"/>
      <c r="R95" s="72"/>
    </row>
    <row r="96" spans="1:18" ht="17.100000000000001" customHeight="1" x14ac:dyDescent="0.2">
      <c r="A96" s="115" t="s">
        <v>72</v>
      </c>
      <c r="B96" s="277">
        <v>7.5</v>
      </c>
      <c r="C96" s="277">
        <v>7.5</v>
      </c>
      <c r="D96" s="277">
        <v>7.5</v>
      </c>
      <c r="E96" s="277">
        <v>7.5</v>
      </c>
      <c r="F96" s="277">
        <v>7.5</v>
      </c>
      <c r="G96" s="17"/>
      <c r="H96" s="262"/>
      <c r="I96" s="36">
        <f>SUM(B96:H96)</f>
        <v>37.5</v>
      </c>
      <c r="J96" s="278" t="s">
        <v>248</v>
      </c>
      <c r="L96" s="273"/>
      <c r="M96" s="273"/>
      <c r="N96" s="72"/>
      <c r="O96" s="72"/>
      <c r="P96" s="273"/>
      <c r="Q96" s="72"/>
      <c r="R96" s="72"/>
    </row>
    <row r="97" spans="1:19" ht="17.100000000000001" customHeight="1" x14ac:dyDescent="0.2">
      <c r="A97" s="208"/>
      <c r="B97" s="229" t="s">
        <v>203</v>
      </c>
      <c r="C97" s="229" t="s">
        <v>203</v>
      </c>
      <c r="D97" s="229" t="s">
        <v>203</v>
      </c>
      <c r="E97" s="229" t="s">
        <v>203</v>
      </c>
      <c r="F97" s="229" t="s">
        <v>203</v>
      </c>
      <c r="G97" s="223" t="s">
        <v>204</v>
      </c>
      <c r="H97" s="223" t="s">
        <v>204</v>
      </c>
      <c r="I97" s="206"/>
      <c r="J97" s="212"/>
      <c r="L97" s="72"/>
      <c r="M97" s="72"/>
      <c r="N97" s="72"/>
      <c r="O97" s="72"/>
      <c r="P97" s="72"/>
      <c r="Q97" s="72"/>
      <c r="R97" s="72"/>
    </row>
    <row r="98" spans="1:19" ht="17.100000000000001" customHeight="1" x14ac:dyDescent="0.2">
      <c r="A98" s="95" t="s">
        <v>207</v>
      </c>
      <c r="B98" s="232">
        <v>8</v>
      </c>
      <c r="C98" s="232">
        <v>8</v>
      </c>
      <c r="D98" s="232">
        <v>8</v>
      </c>
      <c r="E98" s="232">
        <v>8</v>
      </c>
      <c r="F98" s="232">
        <v>8</v>
      </c>
      <c r="G98" s="227">
        <v>12</v>
      </c>
      <c r="H98" s="227">
        <v>12</v>
      </c>
      <c r="I98" s="17">
        <f>SUM(B98:H98)</f>
        <v>64</v>
      </c>
      <c r="J98" s="220" t="s">
        <v>208</v>
      </c>
      <c r="N98" s="72"/>
      <c r="O98" s="72"/>
      <c r="P98" s="72"/>
      <c r="Q98" s="72"/>
      <c r="R98" s="72"/>
    </row>
    <row r="99" spans="1:19" ht="17.100000000000001" customHeight="1" x14ac:dyDescent="0.2">
      <c r="A99" s="204"/>
      <c r="B99" s="30" t="s">
        <v>16</v>
      </c>
      <c r="C99" s="30" t="s">
        <v>16</v>
      </c>
      <c r="D99" s="30" t="s">
        <v>16</v>
      </c>
      <c r="E99" s="30" t="s">
        <v>16</v>
      </c>
      <c r="F99" s="30" t="s">
        <v>16</v>
      </c>
      <c r="G99" s="240" t="s">
        <v>213</v>
      </c>
      <c r="H99" s="241" t="s">
        <v>214</v>
      </c>
      <c r="I99" s="206"/>
      <c r="J99" s="242"/>
      <c r="N99" s="72"/>
      <c r="O99" s="72"/>
      <c r="P99" s="72"/>
      <c r="Q99" s="72"/>
      <c r="R99" s="72"/>
    </row>
    <row r="100" spans="1:19" ht="17.100000000000001" customHeight="1" x14ac:dyDescent="0.2">
      <c r="A100" s="95" t="s">
        <v>216</v>
      </c>
      <c r="B100" s="34"/>
      <c r="C100" s="34"/>
      <c r="D100" s="34"/>
      <c r="E100" s="34"/>
      <c r="F100" s="34"/>
      <c r="G100" s="245">
        <v>12.25</v>
      </c>
      <c r="H100" s="246">
        <v>12.25</v>
      </c>
      <c r="I100" s="17">
        <f>SUM(B100:H100)</f>
        <v>24.5</v>
      </c>
      <c r="J100" s="220" t="s">
        <v>217</v>
      </c>
      <c r="N100" s="72"/>
      <c r="O100" s="72"/>
      <c r="P100" s="72"/>
      <c r="Q100" s="72"/>
      <c r="R100" s="72"/>
    </row>
    <row r="101" spans="1:19" ht="17.100000000000001" customHeight="1" x14ac:dyDescent="0.2">
      <c r="A101" s="208"/>
      <c r="B101" s="256" t="s">
        <v>231</v>
      </c>
      <c r="C101" s="256" t="s">
        <v>231</v>
      </c>
      <c r="D101" s="256" t="s">
        <v>231</v>
      </c>
      <c r="E101" s="256" t="s">
        <v>231</v>
      </c>
      <c r="F101" s="256" t="s">
        <v>231</v>
      </c>
      <c r="G101" s="24"/>
      <c r="H101" s="257"/>
      <c r="I101" s="206"/>
      <c r="J101" s="212"/>
      <c r="N101" s="72"/>
      <c r="O101" s="72"/>
      <c r="P101" s="72"/>
      <c r="Q101" s="72"/>
      <c r="R101" s="72"/>
    </row>
    <row r="102" spans="1:19" ht="17.100000000000001" customHeight="1" x14ac:dyDescent="0.2">
      <c r="A102" s="95" t="s">
        <v>233</v>
      </c>
      <c r="B102" s="261">
        <v>8</v>
      </c>
      <c r="C102" s="261">
        <v>8</v>
      </c>
      <c r="D102" s="261">
        <v>8</v>
      </c>
      <c r="E102" s="261">
        <v>8</v>
      </c>
      <c r="F102" s="261">
        <v>8</v>
      </c>
      <c r="G102" s="17"/>
      <c r="H102" s="262"/>
      <c r="I102" s="17">
        <f>SUM(B102:H102)</f>
        <v>40</v>
      </c>
      <c r="J102" s="220" t="s">
        <v>234</v>
      </c>
      <c r="N102" s="72"/>
      <c r="O102" s="72"/>
      <c r="P102" s="72"/>
      <c r="Q102" s="72"/>
      <c r="R102" s="72"/>
    </row>
    <row r="103" spans="1:19" ht="17.100000000000001" customHeight="1" x14ac:dyDescent="0.2">
      <c r="A103" s="208" t="s">
        <v>28</v>
      </c>
      <c r="B103" s="264" t="s">
        <v>239</v>
      </c>
      <c r="C103" s="264" t="s">
        <v>239</v>
      </c>
      <c r="D103" s="264" t="s">
        <v>239</v>
      </c>
      <c r="E103" s="264" t="s">
        <v>239</v>
      </c>
      <c r="F103" s="264" t="s">
        <v>239</v>
      </c>
      <c r="G103" s="265"/>
      <c r="H103" s="237"/>
      <c r="I103" s="206"/>
      <c r="J103" s="212" t="s">
        <v>28</v>
      </c>
      <c r="N103" s="72"/>
      <c r="O103" s="72"/>
      <c r="P103" s="72"/>
      <c r="Q103" s="72"/>
      <c r="R103" s="72"/>
    </row>
    <row r="104" spans="1:19" ht="17.100000000000001" customHeight="1" x14ac:dyDescent="0.2">
      <c r="A104" s="145" t="s">
        <v>241</v>
      </c>
      <c r="B104" s="268">
        <v>8</v>
      </c>
      <c r="C104" s="268">
        <v>8</v>
      </c>
      <c r="D104" s="268">
        <v>8</v>
      </c>
      <c r="E104" s="268">
        <v>8</v>
      </c>
      <c r="F104" s="268">
        <v>8</v>
      </c>
      <c r="G104" s="226"/>
      <c r="H104" s="238"/>
      <c r="I104" s="124">
        <f>SUM(B104:H104)</f>
        <v>40</v>
      </c>
      <c r="J104" s="244" t="s">
        <v>242</v>
      </c>
      <c r="N104" s="72"/>
      <c r="O104" s="72"/>
      <c r="P104" s="72"/>
      <c r="Q104" s="72"/>
      <c r="R104" s="72"/>
    </row>
    <row r="105" spans="1:19" ht="17.100000000000001" customHeight="1" x14ac:dyDescent="0.2">
      <c r="A105" s="208"/>
      <c r="B105" s="279" t="s">
        <v>249</v>
      </c>
      <c r="C105" s="280" t="s">
        <v>249</v>
      </c>
      <c r="D105" s="280" t="s">
        <v>249</v>
      </c>
      <c r="E105" s="280" t="s">
        <v>249</v>
      </c>
      <c r="F105" s="280" t="s">
        <v>249</v>
      </c>
      <c r="G105" s="24"/>
      <c r="H105" s="257"/>
      <c r="I105" s="235"/>
      <c r="J105" s="212"/>
      <c r="N105" s="72"/>
      <c r="O105" s="72"/>
      <c r="P105" s="72"/>
      <c r="Q105" s="72"/>
      <c r="R105" s="72"/>
    </row>
    <row r="106" spans="1:19" ht="17.100000000000001" customHeight="1" x14ac:dyDescent="0.2">
      <c r="A106" s="95" t="s">
        <v>73</v>
      </c>
      <c r="B106" s="283">
        <v>8</v>
      </c>
      <c r="C106" s="283">
        <v>8</v>
      </c>
      <c r="D106" s="283">
        <v>8</v>
      </c>
      <c r="E106" s="283">
        <v>8</v>
      </c>
      <c r="F106" s="283">
        <v>8</v>
      </c>
      <c r="G106" s="17"/>
      <c r="H106" s="17"/>
      <c r="I106" s="284">
        <f>SUM(B106:H106)</f>
        <v>40</v>
      </c>
      <c r="J106" s="220" t="s">
        <v>251</v>
      </c>
      <c r="N106" s="72"/>
      <c r="O106" s="72"/>
      <c r="P106" s="72"/>
      <c r="Q106" s="72"/>
      <c r="R106" s="72"/>
    </row>
    <row r="107" spans="1:19" ht="17.45" customHeight="1" x14ac:dyDescent="0.2">
      <c r="A107" s="195" t="s">
        <v>30</v>
      </c>
      <c r="B107" s="285">
        <f t="shared" ref="B107:I107" si="3">SUM(B78,B80,B82,B84,B86,B88,B90,B92,B94,B96,B98,B100,B102,B104,B106)</f>
        <v>75.75</v>
      </c>
      <c r="C107" s="285">
        <f t="shared" si="3"/>
        <v>75.75</v>
      </c>
      <c r="D107" s="285">
        <f t="shared" si="3"/>
        <v>75.75</v>
      </c>
      <c r="E107" s="285">
        <f t="shared" si="3"/>
        <v>75.75</v>
      </c>
      <c r="F107" s="285">
        <f t="shared" si="3"/>
        <v>75.25</v>
      </c>
      <c r="G107" s="285">
        <f t="shared" si="3"/>
        <v>68.5</v>
      </c>
      <c r="H107" s="285">
        <f t="shared" si="3"/>
        <v>71.5</v>
      </c>
      <c r="I107" s="285">
        <f t="shared" si="3"/>
        <v>518.25</v>
      </c>
      <c r="J107" s="197"/>
      <c r="N107" s="72"/>
      <c r="O107" s="72"/>
      <c r="P107" s="72"/>
      <c r="Q107" s="72"/>
      <c r="R107" s="72"/>
    </row>
    <row r="108" spans="1:19" ht="17.45" customHeight="1" x14ac:dyDescent="0.2">
      <c r="A108" s="72"/>
      <c r="B108" s="72"/>
      <c r="C108" s="72"/>
      <c r="D108" s="72"/>
      <c r="E108" s="72"/>
      <c r="F108" s="72"/>
      <c r="G108" s="203" t="s">
        <v>152</v>
      </c>
      <c r="H108" s="203" t="s">
        <v>153</v>
      </c>
      <c r="I108" s="203" t="s">
        <v>154</v>
      </c>
      <c r="N108" s="72"/>
      <c r="O108" s="72"/>
      <c r="P108" s="72"/>
      <c r="Q108" s="72"/>
      <c r="R108" s="72"/>
    </row>
    <row r="109" spans="1:19" ht="17.45" customHeight="1" x14ac:dyDescent="0.2">
      <c r="A109" s="273"/>
      <c r="B109" s="273"/>
      <c r="C109" s="273"/>
      <c r="D109" s="273"/>
      <c r="E109" s="273"/>
      <c r="F109" s="72"/>
      <c r="G109" s="1786">
        <f>I107</f>
        <v>518.25</v>
      </c>
      <c r="H109" s="168">
        <f>SUM(G109*13/3)</f>
        <v>2245.75</v>
      </c>
      <c r="I109" s="1786">
        <f>SUM(H109*12)</f>
        <v>26949</v>
      </c>
      <c r="N109" s="72"/>
      <c r="O109" s="72"/>
      <c r="P109" s="72"/>
      <c r="Q109" s="72"/>
      <c r="R109" s="72"/>
    </row>
    <row r="110" spans="1:19" ht="17.45" customHeight="1" x14ac:dyDescent="0.2">
      <c r="A110" s="405"/>
      <c r="B110" s="405"/>
      <c r="C110" s="405"/>
      <c r="D110" s="405"/>
      <c r="E110" s="405"/>
      <c r="F110" s="72"/>
      <c r="G110" s="72"/>
      <c r="H110" s="173"/>
      <c r="I110" s="72"/>
      <c r="N110" s="72"/>
      <c r="O110" s="72"/>
      <c r="P110" s="72"/>
      <c r="Q110" s="72"/>
      <c r="R110" s="72"/>
    </row>
    <row r="111" spans="1:19" ht="17.100000000000001" customHeight="1" x14ac:dyDescent="0.2">
      <c r="A111" s="1" t="s">
        <v>253</v>
      </c>
      <c r="B111" s="72"/>
      <c r="C111" s="72"/>
      <c r="D111" s="72"/>
      <c r="E111" s="72"/>
      <c r="F111" s="72"/>
      <c r="L111" s="72"/>
      <c r="M111" s="273"/>
      <c r="N111" s="273"/>
      <c r="O111" s="273"/>
      <c r="P111" s="273"/>
      <c r="Q111" s="273"/>
      <c r="R111" s="273"/>
      <c r="S111" s="406"/>
    </row>
    <row r="112" spans="1:19" ht="17.100000000000001" customHeight="1" x14ac:dyDescent="0.2">
      <c r="A112" s="61" t="s">
        <v>254</v>
      </c>
      <c r="B112" s="62" t="s">
        <v>2</v>
      </c>
      <c r="C112" s="63" t="s">
        <v>3</v>
      </c>
      <c r="D112" s="63" t="s">
        <v>4</v>
      </c>
      <c r="E112" s="63" t="s">
        <v>5</v>
      </c>
      <c r="F112" s="63" t="s">
        <v>6</v>
      </c>
      <c r="G112" s="63" t="s">
        <v>7</v>
      </c>
      <c r="H112" s="64" t="s">
        <v>8</v>
      </c>
      <c r="I112" s="65" t="s">
        <v>9</v>
      </c>
      <c r="J112" s="66" t="s">
        <v>10</v>
      </c>
      <c r="L112" s="273"/>
      <c r="M112" s="72"/>
      <c r="N112" s="72"/>
      <c r="O112" s="72"/>
      <c r="P112" s="72"/>
      <c r="Q112" s="72"/>
      <c r="R112" s="72"/>
      <c r="S112" s="407"/>
    </row>
    <row r="113" spans="1:20" ht="17.100000000000001" customHeight="1" x14ac:dyDescent="0.2">
      <c r="A113" s="41" t="s">
        <v>28</v>
      </c>
      <c r="B113" s="10" t="s">
        <v>374</v>
      </c>
      <c r="C113" s="10" t="s">
        <v>374</v>
      </c>
      <c r="D113" s="10" t="s">
        <v>374</v>
      </c>
      <c r="E113" s="10" t="s">
        <v>374</v>
      </c>
      <c r="F113" s="10" t="s">
        <v>375</v>
      </c>
      <c r="G113" s="5"/>
      <c r="H113" s="119"/>
      <c r="I113" s="118"/>
      <c r="J113" s="32" t="s">
        <v>376</v>
      </c>
      <c r="L113" s="72"/>
      <c r="M113" s="127"/>
      <c r="N113" s="127"/>
      <c r="O113" s="127"/>
      <c r="P113" s="127"/>
      <c r="Q113" s="127"/>
      <c r="R113" s="406"/>
      <c r="S113" s="406"/>
    </row>
    <row r="114" spans="1:20" ht="17.100000000000001" customHeight="1" x14ac:dyDescent="0.2">
      <c r="A114" s="16" t="s">
        <v>117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9"/>
      <c r="H114" s="20"/>
      <c r="I114" s="36">
        <f>SUM(B114:H114)</f>
        <v>37</v>
      </c>
      <c r="J114" s="37" t="s">
        <v>377</v>
      </c>
      <c r="L114" s="273"/>
      <c r="M114" s="138"/>
      <c r="N114" s="138"/>
      <c r="O114" s="138"/>
      <c r="P114" s="138"/>
      <c r="Q114" s="138"/>
      <c r="R114" s="407"/>
      <c r="S114" s="407"/>
    </row>
    <row r="115" spans="1:20" ht="17.100000000000001" customHeight="1" x14ac:dyDescent="0.2">
      <c r="A115" s="61" t="s">
        <v>146</v>
      </c>
      <c r="B115" s="62" t="s">
        <v>2</v>
      </c>
      <c r="C115" s="63" t="s">
        <v>3</v>
      </c>
      <c r="D115" s="63" t="s">
        <v>4</v>
      </c>
      <c r="E115" s="63" t="s">
        <v>5</v>
      </c>
      <c r="F115" s="63" t="s">
        <v>6</v>
      </c>
      <c r="G115" s="63" t="s">
        <v>7</v>
      </c>
      <c r="H115" s="64" t="s">
        <v>8</v>
      </c>
      <c r="I115" s="65" t="s">
        <v>9</v>
      </c>
      <c r="J115" s="66" t="s">
        <v>10</v>
      </c>
      <c r="L115" s="273"/>
      <c r="M115" s="138"/>
      <c r="N115" s="138"/>
      <c r="O115" s="138"/>
      <c r="P115" s="138"/>
      <c r="Q115" s="138"/>
      <c r="R115" s="407"/>
      <c r="S115" s="407"/>
    </row>
    <row r="116" spans="1:20" ht="17.100000000000001" customHeight="1" x14ac:dyDescent="0.2">
      <c r="A116" s="41" t="s">
        <v>28</v>
      </c>
      <c r="B116" s="10" t="s">
        <v>378</v>
      </c>
      <c r="C116" s="10" t="s">
        <v>378</v>
      </c>
      <c r="D116" s="10" t="s">
        <v>378</v>
      </c>
      <c r="E116" s="10" t="s">
        <v>378</v>
      </c>
      <c r="F116" s="10" t="s">
        <v>379</v>
      </c>
      <c r="G116" s="5"/>
      <c r="H116" s="119"/>
      <c r="I116" s="118"/>
      <c r="J116" s="32" t="s">
        <v>376</v>
      </c>
      <c r="L116" s="273"/>
      <c r="M116" s="138"/>
      <c r="N116" s="138"/>
      <c r="O116" s="138"/>
      <c r="P116" s="138"/>
      <c r="Q116" s="138"/>
      <c r="R116" s="407"/>
      <c r="S116" s="407"/>
    </row>
    <row r="117" spans="1:20" ht="17.100000000000001" customHeight="1" x14ac:dyDescent="0.2">
      <c r="A117" s="16" t="s">
        <v>261</v>
      </c>
      <c r="B117" s="17">
        <v>7.75</v>
      </c>
      <c r="C117" s="17">
        <v>7.75</v>
      </c>
      <c r="D117" s="17">
        <v>7.75</v>
      </c>
      <c r="E117" s="17">
        <v>7.75</v>
      </c>
      <c r="F117" s="17">
        <v>6</v>
      </c>
      <c r="G117" s="19"/>
      <c r="H117" s="20"/>
      <c r="I117" s="36">
        <f>SUM(B117:H117)</f>
        <v>37</v>
      </c>
      <c r="J117" s="37" t="s">
        <v>377</v>
      </c>
      <c r="L117" s="273"/>
      <c r="M117" s="138"/>
      <c r="N117" s="138"/>
      <c r="O117" s="138"/>
      <c r="P117" s="138"/>
      <c r="Q117" s="138"/>
      <c r="R117" s="407"/>
      <c r="S117" s="407"/>
    </row>
    <row r="118" spans="1:20" ht="17.100000000000001" customHeight="1" x14ac:dyDescent="0.2">
      <c r="A118" s="273"/>
      <c r="B118" s="72"/>
      <c r="C118" s="72"/>
      <c r="D118" s="72"/>
      <c r="E118" s="72"/>
      <c r="F118" s="138"/>
      <c r="G118" s="203" t="s">
        <v>152</v>
      </c>
      <c r="H118" s="203" t="s">
        <v>153</v>
      </c>
      <c r="I118" s="203" t="s">
        <v>154</v>
      </c>
      <c r="J118" s="73"/>
      <c r="L118" s="72"/>
      <c r="M118" s="127"/>
      <c r="N118" s="127"/>
      <c r="O118" s="127"/>
      <c r="P118" s="127"/>
      <c r="Q118" s="127"/>
      <c r="R118" s="406"/>
      <c r="S118" s="406"/>
    </row>
    <row r="119" spans="1:20" ht="17.100000000000001" customHeight="1" x14ac:dyDescent="0.2">
      <c r="A119" s="273"/>
      <c r="B119" s="72"/>
      <c r="C119" s="72"/>
      <c r="D119" s="72"/>
      <c r="E119" s="72"/>
      <c r="F119" s="138"/>
      <c r="G119" s="1786">
        <f>SUM(I114,I117)</f>
        <v>74</v>
      </c>
      <c r="H119" s="168">
        <f>SUM(G119*13/3)</f>
        <v>320.66666666666669</v>
      </c>
      <c r="I119" s="1786">
        <f>SUM(H119*12)</f>
        <v>3848</v>
      </c>
      <c r="J119" s="73"/>
      <c r="M119" s="138"/>
      <c r="N119" s="138"/>
      <c r="O119" s="138"/>
      <c r="P119" s="138"/>
      <c r="Q119" s="138"/>
      <c r="R119" s="407"/>
      <c r="S119" s="407"/>
    </row>
    <row r="120" spans="1:20" ht="17.100000000000001" customHeight="1" x14ac:dyDescent="0.2">
      <c r="A120" s="1" t="s">
        <v>262</v>
      </c>
      <c r="B120" s="72"/>
      <c r="C120" s="72"/>
      <c r="D120" s="72"/>
      <c r="E120" s="72"/>
      <c r="F120" s="72"/>
    </row>
    <row r="121" spans="1:20" ht="17.100000000000001" customHeight="1" x14ac:dyDescent="0.2">
      <c r="A121" s="61" t="s">
        <v>263</v>
      </c>
      <c r="B121" s="62" t="s">
        <v>2</v>
      </c>
      <c r="C121" s="63" t="s">
        <v>3</v>
      </c>
      <c r="D121" s="63" t="s">
        <v>4</v>
      </c>
      <c r="E121" s="63" t="s">
        <v>5</v>
      </c>
      <c r="F121" s="63" t="s">
        <v>6</v>
      </c>
      <c r="G121" s="63" t="s">
        <v>7</v>
      </c>
      <c r="H121" s="64" t="s">
        <v>8</v>
      </c>
      <c r="I121" s="65" t="s">
        <v>9</v>
      </c>
      <c r="J121" s="66" t="s">
        <v>10</v>
      </c>
    </row>
    <row r="122" spans="1:20" ht="17.100000000000001" customHeight="1" x14ac:dyDescent="0.2">
      <c r="A122" s="41" t="s">
        <v>28</v>
      </c>
      <c r="B122" s="10" t="s">
        <v>264</v>
      </c>
      <c r="C122" s="10" t="s">
        <v>264</v>
      </c>
      <c r="D122" s="10" t="s">
        <v>264</v>
      </c>
      <c r="E122" s="10" t="s">
        <v>264</v>
      </c>
      <c r="F122" s="10" t="s">
        <v>265</v>
      </c>
      <c r="G122" s="5"/>
      <c r="H122" s="119"/>
      <c r="I122" s="118"/>
      <c r="J122" s="32"/>
    </row>
    <row r="123" spans="1:20" ht="17.100000000000001" customHeight="1" x14ac:dyDescent="0.2">
      <c r="A123" s="16" t="s">
        <v>119</v>
      </c>
      <c r="B123" s="17">
        <v>8</v>
      </c>
      <c r="C123" s="17">
        <v>8</v>
      </c>
      <c r="D123" s="17">
        <v>8</v>
      </c>
      <c r="E123" s="17">
        <v>8</v>
      </c>
      <c r="F123" s="17">
        <v>5</v>
      </c>
      <c r="G123" s="19"/>
      <c r="H123" s="20"/>
      <c r="I123" s="36">
        <f>SUM(B123:H123)</f>
        <v>37</v>
      </c>
      <c r="J123" s="37"/>
      <c r="L123" s="273"/>
      <c r="M123" s="273"/>
      <c r="N123" s="273"/>
      <c r="O123" s="273"/>
      <c r="P123" s="273"/>
    </row>
    <row r="124" spans="1:20" ht="17.100000000000001" customHeight="1" x14ac:dyDescent="0.2">
      <c r="A124" s="273"/>
      <c r="B124" s="72"/>
      <c r="C124" s="72"/>
      <c r="D124" s="72"/>
      <c r="E124" s="72"/>
      <c r="F124" s="138"/>
      <c r="G124" s="203" t="s">
        <v>152</v>
      </c>
      <c r="H124" s="203" t="s">
        <v>153</v>
      </c>
      <c r="I124" s="203" t="s">
        <v>154</v>
      </c>
      <c r="J124" s="73"/>
      <c r="L124" s="72"/>
      <c r="M124" s="72"/>
      <c r="N124" s="72"/>
      <c r="O124" s="72"/>
      <c r="P124" s="72"/>
    </row>
    <row r="125" spans="1:20" ht="17.100000000000001" customHeight="1" x14ac:dyDescent="0.2">
      <c r="A125" s="273"/>
      <c r="B125" s="72"/>
      <c r="C125" s="72"/>
      <c r="D125" s="72"/>
      <c r="E125" s="72"/>
      <c r="F125" s="138"/>
      <c r="G125" s="1786">
        <f>I123</f>
        <v>37</v>
      </c>
      <c r="H125" s="168">
        <f>SUM(G125*13/3)</f>
        <v>160.33333333333334</v>
      </c>
      <c r="I125" s="1786">
        <f>SUM(H125*12)</f>
        <v>1924</v>
      </c>
      <c r="J125" s="73"/>
      <c r="L125" s="273"/>
      <c r="M125" s="273"/>
      <c r="N125" s="273"/>
      <c r="O125" s="273"/>
      <c r="P125" s="273"/>
    </row>
    <row r="126" spans="1:20" ht="17.100000000000001" customHeight="1" x14ac:dyDescent="0.2">
      <c r="A126" s="1" t="s">
        <v>380</v>
      </c>
      <c r="B126" s="72"/>
      <c r="C126" s="72"/>
      <c r="D126" s="72"/>
      <c r="E126" s="72"/>
      <c r="F126" s="72"/>
    </row>
    <row r="127" spans="1:20" ht="17.100000000000001" customHeight="1" x14ac:dyDescent="0.2">
      <c r="A127" s="23" t="s">
        <v>123</v>
      </c>
      <c r="B127" s="24" t="s">
        <v>2</v>
      </c>
      <c r="C127" s="25" t="s">
        <v>3</v>
      </c>
      <c r="D127" s="25" t="s">
        <v>4</v>
      </c>
      <c r="E127" s="25" t="s">
        <v>5</v>
      </c>
      <c r="F127" s="25" t="s">
        <v>6</v>
      </c>
      <c r="G127" s="25" t="s">
        <v>7</v>
      </c>
      <c r="H127" s="26" t="s">
        <v>8</v>
      </c>
      <c r="I127" s="27" t="s">
        <v>9</v>
      </c>
      <c r="J127" s="28" t="s">
        <v>10</v>
      </c>
      <c r="M127" s="339"/>
      <c r="N127" s="340" t="s">
        <v>322</v>
      </c>
      <c r="O127">
        <v>37</v>
      </c>
      <c r="P127" t="s">
        <v>381</v>
      </c>
      <c r="Q127">
        <v>2</v>
      </c>
      <c r="R127" t="s">
        <v>382</v>
      </c>
      <c r="S127">
        <f>O127*Q127</f>
        <v>74</v>
      </c>
      <c r="T127" t="s">
        <v>383</v>
      </c>
    </row>
    <row r="128" spans="1:20" ht="17.100000000000001" customHeight="1" x14ac:dyDescent="0.2">
      <c r="A128" s="29" t="s">
        <v>87</v>
      </c>
      <c r="B128" s="30" t="s">
        <v>269</v>
      </c>
      <c r="C128" s="30" t="s">
        <v>269</v>
      </c>
      <c r="D128" s="30" t="s">
        <v>269</v>
      </c>
      <c r="E128" s="30" t="s">
        <v>269</v>
      </c>
      <c r="F128" s="408" t="s">
        <v>270</v>
      </c>
      <c r="G128" s="5"/>
      <c r="H128" s="5"/>
      <c r="I128" s="30"/>
      <c r="J128" s="32" t="s">
        <v>384</v>
      </c>
      <c r="M128" s="328"/>
      <c r="N128" s="344" t="s">
        <v>323</v>
      </c>
      <c r="O128" t="s">
        <v>28</v>
      </c>
    </row>
    <row r="129" spans="1:22" ht="17.100000000000001" customHeight="1" x14ac:dyDescent="0.2">
      <c r="A129" s="180"/>
      <c r="B129" s="132">
        <v>0</v>
      </c>
      <c r="C129" s="132">
        <v>0</v>
      </c>
      <c r="D129" s="132">
        <v>0</v>
      </c>
      <c r="E129" s="132">
        <v>0</v>
      </c>
      <c r="F129" s="177">
        <v>0</v>
      </c>
      <c r="G129" s="181"/>
      <c r="H129" s="181"/>
      <c r="I129" s="132">
        <f>SUM(B129:H129)</f>
        <v>0</v>
      </c>
      <c r="J129" s="199"/>
      <c r="M129" s="328" t="s">
        <v>324</v>
      </c>
      <c r="N129" s="344">
        <v>0</v>
      </c>
      <c r="O129" t="s">
        <v>385</v>
      </c>
      <c r="Q129">
        <f>I131</f>
        <v>0</v>
      </c>
    </row>
    <row r="130" spans="1:22" ht="17.100000000000001" customHeight="1" x14ac:dyDescent="0.2">
      <c r="A130" s="29" t="s">
        <v>91</v>
      </c>
      <c r="B130" s="30" t="s">
        <v>273</v>
      </c>
      <c r="C130" s="30" t="s">
        <v>273</v>
      </c>
      <c r="D130" s="30" t="s">
        <v>273</v>
      </c>
      <c r="E130" s="30" t="s">
        <v>273</v>
      </c>
      <c r="F130" s="30" t="s">
        <v>274</v>
      </c>
      <c r="G130" s="409"/>
      <c r="H130" s="409"/>
      <c r="I130" s="30"/>
      <c r="J130" s="32" t="s">
        <v>386</v>
      </c>
      <c r="M130" s="328" t="s">
        <v>325</v>
      </c>
      <c r="N130" s="344">
        <f>I131</f>
        <v>0</v>
      </c>
    </row>
    <row r="131" spans="1:22" ht="17.100000000000001" customHeight="1" x14ac:dyDescent="0.2">
      <c r="A131" s="162"/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139"/>
      <c r="H131" s="139"/>
      <c r="I131" s="34">
        <f>SUM(B131:H131)</f>
        <v>0</v>
      </c>
      <c r="J131" s="141"/>
      <c r="M131" s="328" t="s">
        <v>326</v>
      </c>
      <c r="N131" s="344">
        <v>0</v>
      </c>
      <c r="O131">
        <f>Q129</f>
        <v>0</v>
      </c>
      <c r="P131" t="s">
        <v>387</v>
      </c>
      <c r="Q131" s="159">
        <f>SUM(O131/37)</f>
        <v>0</v>
      </c>
    </row>
    <row r="132" spans="1:22" ht="17.100000000000001" customHeight="1" x14ac:dyDescent="0.2">
      <c r="A132" s="195" t="s">
        <v>30</v>
      </c>
      <c r="B132" s="195">
        <f t="shared" ref="B132:I132" si="4">SUM(B129,B131)</f>
        <v>0</v>
      </c>
      <c r="C132" s="195">
        <f t="shared" si="4"/>
        <v>0</v>
      </c>
      <c r="D132" s="195">
        <f t="shared" si="4"/>
        <v>0</v>
      </c>
      <c r="E132" s="195">
        <f t="shared" si="4"/>
        <v>0</v>
      </c>
      <c r="F132" s="195">
        <f t="shared" si="4"/>
        <v>0</v>
      </c>
      <c r="G132" s="195">
        <f t="shared" si="4"/>
        <v>0</v>
      </c>
      <c r="H132" s="195">
        <f t="shared" si="4"/>
        <v>0</v>
      </c>
      <c r="I132" s="195">
        <f t="shared" si="4"/>
        <v>0</v>
      </c>
      <c r="J132" s="197"/>
      <c r="O132" t="s">
        <v>388</v>
      </c>
      <c r="Q132" s="159"/>
    </row>
    <row r="133" spans="1:22" ht="17.100000000000001" customHeight="1" x14ac:dyDescent="0.2">
      <c r="A133" s="72"/>
      <c r="B133" s="72"/>
      <c r="C133" s="72"/>
      <c r="D133" s="72"/>
      <c r="E133" s="72"/>
      <c r="F133" s="72"/>
      <c r="G133" s="203" t="s">
        <v>152</v>
      </c>
      <c r="H133" s="203" t="s">
        <v>153</v>
      </c>
      <c r="I133" s="203" t="s">
        <v>154</v>
      </c>
      <c r="Q133" s="159"/>
      <c r="V133" s="410"/>
    </row>
    <row r="134" spans="1:22" ht="17.100000000000001" customHeight="1" x14ac:dyDescent="0.2">
      <c r="A134" s="72"/>
      <c r="B134" s="72"/>
      <c r="C134" s="72"/>
      <c r="D134" s="72"/>
      <c r="E134" s="72"/>
      <c r="F134" s="72"/>
      <c r="G134" s="1786">
        <f>I132</f>
        <v>0</v>
      </c>
      <c r="H134" s="168">
        <f>SUM(G134*13/3)</f>
        <v>0</v>
      </c>
      <c r="I134" s="1786">
        <f>SUM(H134*12)</f>
        <v>0</v>
      </c>
      <c r="O134" t="s">
        <v>389</v>
      </c>
      <c r="Q134" s="159"/>
    </row>
    <row r="135" spans="1:22" ht="17.100000000000001" customHeight="1" x14ac:dyDescent="0.2">
      <c r="A135" s="72"/>
      <c r="B135" s="72"/>
      <c r="C135" s="72"/>
      <c r="D135" s="72"/>
      <c r="E135" s="72"/>
      <c r="F135" s="72"/>
      <c r="G135" s="72"/>
      <c r="H135" s="173"/>
      <c r="I135" s="72"/>
      <c r="O135" t="s">
        <v>390</v>
      </c>
      <c r="Q135" s="360"/>
      <c r="S135" s="159"/>
      <c r="U135" s="411"/>
    </row>
    <row r="136" spans="1:22" ht="18" customHeight="1" x14ac:dyDescent="0.2">
      <c r="A136" s="1" t="s">
        <v>103</v>
      </c>
      <c r="B136" s="72"/>
      <c r="C136" s="72"/>
      <c r="D136" s="72"/>
      <c r="E136" s="72"/>
      <c r="F136" s="72"/>
    </row>
    <row r="137" spans="1:22" ht="18" customHeight="1" x14ac:dyDescent="0.2">
      <c r="A137" s="61" t="s">
        <v>104</v>
      </c>
      <c r="B137" s="62" t="s">
        <v>2</v>
      </c>
      <c r="C137" s="63" t="s">
        <v>3</v>
      </c>
      <c r="D137" s="63" t="s">
        <v>4</v>
      </c>
      <c r="E137" s="63" t="s">
        <v>5</v>
      </c>
      <c r="F137" s="63" t="s">
        <v>6</v>
      </c>
      <c r="G137" s="63" t="s">
        <v>7</v>
      </c>
      <c r="H137" s="64" t="s">
        <v>8</v>
      </c>
      <c r="I137" s="65" t="s">
        <v>9</v>
      </c>
      <c r="J137" s="66" t="s">
        <v>10</v>
      </c>
      <c r="M137" s="339"/>
      <c r="N137" s="340" t="s">
        <v>322</v>
      </c>
      <c r="O137" t="s">
        <v>391</v>
      </c>
    </row>
    <row r="138" spans="1:22" ht="18" customHeight="1" x14ac:dyDescent="0.2">
      <c r="A138" s="41" t="s">
        <v>105</v>
      </c>
      <c r="B138" s="118" t="s">
        <v>89</v>
      </c>
      <c r="C138" s="118" t="s">
        <v>89</v>
      </c>
      <c r="D138" s="118" t="s">
        <v>89</v>
      </c>
      <c r="E138" s="118" t="s">
        <v>89</v>
      </c>
      <c r="F138" s="118" t="s">
        <v>77</v>
      </c>
      <c r="G138" s="5"/>
      <c r="H138" s="119"/>
      <c r="I138" s="118"/>
      <c r="J138" s="32"/>
      <c r="M138" s="328"/>
      <c r="N138" s="344" t="s">
        <v>323</v>
      </c>
      <c r="O138" t="s">
        <v>28</v>
      </c>
    </row>
    <row r="139" spans="1:22" ht="18" customHeight="1" x14ac:dyDescent="0.2">
      <c r="A139" s="120"/>
      <c r="B139" s="17">
        <v>7.5</v>
      </c>
      <c r="C139" s="17">
        <v>7.5</v>
      </c>
      <c r="D139" s="17">
        <v>7.5</v>
      </c>
      <c r="E139" s="17">
        <v>7.5</v>
      </c>
      <c r="F139" s="18">
        <v>7</v>
      </c>
      <c r="G139" s="19"/>
      <c r="H139" s="20"/>
      <c r="I139" s="36">
        <f>SUM(B139:H139)</f>
        <v>37</v>
      </c>
      <c r="J139" s="37"/>
      <c r="M139" s="328" t="s">
        <v>324</v>
      </c>
      <c r="N139" s="344">
        <v>0</v>
      </c>
      <c r="O139" t="s">
        <v>392</v>
      </c>
    </row>
    <row r="140" spans="1:22" ht="18" customHeight="1" x14ac:dyDescent="0.2">
      <c r="A140" s="129" t="s">
        <v>106</v>
      </c>
      <c r="B140" s="30" t="s">
        <v>279</v>
      </c>
      <c r="C140" s="30" t="s">
        <v>279</v>
      </c>
      <c r="D140" s="30" t="s">
        <v>279</v>
      </c>
      <c r="E140" s="30" t="s">
        <v>279</v>
      </c>
      <c r="F140" s="30" t="s">
        <v>280</v>
      </c>
      <c r="G140" s="12"/>
      <c r="H140" s="13"/>
      <c r="I140" s="122"/>
      <c r="J140" s="40"/>
      <c r="M140" s="328" t="s">
        <v>325</v>
      </c>
      <c r="N140" s="344">
        <v>34</v>
      </c>
    </row>
    <row r="141" spans="1:22" ht="18" customHeight="1" x14ac:dyDescent="0.2">
      <c r="A141" s="123"/>
      <c r="B141" s="1786">
        <v>7</v>
      </c>
      <c r="C141" s="1786">
        <v>7</v>
      </c>
      <c r="D141" s="1786">
        <v>7</v>
      </c>
      <c r="E141" s="1786">
        <v>7</v>
      </c>
      <c r="F141" s="125">
        <v>6</v>
      </c>
      <c r="G141" s="126"/>
      <c r="H141" s="127"/>
      <c r="I141" s="36">
        <f>SUM(B141:H141)</f>
        <v>34</v>
      </c>
      <c r="J141" s="85"/>
      <c r="M141" s="328" t="s">
        <v>326</v>
      </c>
      <c r="N141" s="344">
        <v>0</v>
      </c>
      <c r="O141" t="s">
        <v>393</v>
      </c>
    </row>
    <row r="142" spans="1:22" ht="18" customHeight="1" x14ac:dyDescent="0.2">
      <c r="A142" s="29" t="s">
        <v>108</v>
      </c>
      <c r="B142" s="118" t="s">
        <v>109</v>
      </c>
      <c r="C142" s="118" t="s">
        <v>109</v>
      </c>
      <c r="D142" s="118" t="s">
        <v>109</v>
      </c>
      <c r="E142" s="118" t="s">
        <v>109</v>
      </c>
      <c r="F142" s="118" t="s">
        <v>110</v>
      </c>
      <c r="G142" s="118"/>
      <c r="H142" s="118"/>
      <c r="I142" s="118"/>
      <c r="J142" s="32"/>
      <c r="M142" s="330" t="s">
        <v>329</v>
      </c>
      <c r="N142" s="349">
        <f>SUM(N139:N141)</f>
        <v>34</v>
      </c>
    </row>
    <row r="143" spans="1:22" ht="18" customHeight="1" x14ac:dyDescent="0.2">
      <c r="A143" s="16"/>
      <c r="B143" s="17" t="s">
        <v>283</v>
      </c>
      <c r="C143" s="17" t="s">
        <v>283</v>
      </c>
      <c r="D143" s="17" t="s">
        <v>283</v>
      </c>
      <c r="E143" s="17" t="s">
        <v>283</v>
      </c>
      <c r="F143" s="17" t="s">
        <v>283</v>
      </c>
      <c r="G143" s="18"/>
      <c r="H143" s="35"/>
      <c r="I143" s="36">
        <f>SUM(B143:H143)</f>
        <v>0</v>
      </c>
      <c r="J143" s="37"/>
      <c r="O143" t="s">
        <v>394</v>
      </c>
    </row>
    <row r="144" spans="1:22" ht="18" customHeight="1" x14ac:dyDescent="0.2">
      <c r="A144" s="58" t="s">
        <v>30</v>
      </c>
      <c r="B144" s="58">
        <f t="shared" ref="B144:I144" si="5">SUM(B139,B141,B143)</f>
        <v>14.5</v>
      </c>
      <c r="C144" s="58">
        <f t="shared" si="5"/>
        <v>14.5</v>
      </c>
      <c r="D144" s="58">
        <f t="shared" si="5"/>
        <v>14.5</v>
      </c>
      <c r="E144" s="58">
        <f t="shared" si="5"/>
        <v>14.5</v>
      </c>
      <c r="F144" s="58">
        <f t="shared" si="5"/>
        <v>13</v>
      </c>
      <c r="G144" s="58">
        <f t="shared" si="5"/>
        <v>0</v>
      </c>
      <c r="H144" s="58">
        <f t="shared" si="5"/>
        <v>0</v>
      </c>
      <c r="I144" s="70">
        <f t="shared" si="5"/>
        <v>71</v>
      </c>
      <c r="J144" s="71"/>
    </row>
    <row r="145" spans="1:20" ht="18" customHeight="1" x14ac:dyDescent="0.2">
      <c r="A145" s="72"/>
      <c r="B145" s="72"/>
      <c r="C145" s="72"/>
      <c r="D145" s="72"/>
      <c r="E145" s="72"/>
      <c r="F145" s="138"/>
      <c r="G145" s="203" t="s">
        <v>152</v>
      </c>
      <c r="H145" s="203" t="s">
        <v>153</v>
      </c>
      <c r="I145" s="203" t="s">
        <v>154</v>
      </c>
      <c r="J145" s="73"/>
      <c r="O145" t="s">
        <v>395</v>
      </c>
      <c r="P145" s="72"/>
      <c r="T145" t="s">
        <v>341</v>
      </c>
    </row>
    <row r="146" spans="1:20" ht="18" customHeight="1" x14ac:dyDescent="0.2">
      <c r="A146" s="72"/>
      <c r="B146" s="72"/>
      <c r="C146" s="72"/>
      <c r="D146" s="72"/>
      <c r="E146" s="72"/>
      <c r="F146" s="72"/>
      <c r="G146" s="1786">
        <f>I144</f>
        <v>71</v>
      </c>
      <c r="H146" s="168">
        <f>SUM(G146*13/3)</f>
        <v>307.66666666666669</v>
      </c>
      <c r="I146" s="1786">
        <f>SUM(H146*12)</f>
        <v>3692</v>
      </c>
      <c r="J146" s="73"/>
    </row>
    <row r="147" spans="1:20" ht="18" customHeight="1" x14ac:dyDescent="0.2">
      <c r="A147" s="72"/>
      <c r="B147" s="72"/>
      <c r="C147" s="72"/>
      <c r="D147" s="72"/>
      <c r="E147" s="72"/>
      <c r="F147" s="72"/>
      <c r="G147" s="72"/>
      <c r="H147" s="173"/>
      <c r="I147" s="72"/>
      <c r="J147" s="73"/>
      <c r="O147" t="s">
        <v>396</v>
      </c>
    </row>
    <row r="148" spans="1:20" ht="18" customHeight="1" x14ac:dyDescent="0.2">
      <c r="A148" s="311" t="s">
        <v>286</v>
      </c>
      <c r="B148" s="72"/>
      <c r="C148" s="72"/>
      <c r="D148" s="72"/>
      <c r="E148" s="72"/>
      <c r="F148" s="138"/>
      <c r="G148" s="138"/>
      <c r="H148" s="138"/>
      <c r="I148" s="72"/>
      <c r="J148" s="73"/>
      <c r="N148" s="72"/>
    </row>
    <row r="149" spans="1:20" ht="18" customHeight="1" x14ac:dyDescent="0.2">
      <c r="A149" s="61" t="s">
        <v>128</v>
      </c>
      <c r="B149" s="62" t="s">
        <v>2</v>
      </c>
      <c r="C149" s="63" t="s">
        <v>3</v>
      </c>
      <c r="D149" s="63" t="s">
        <v>4</v>
      </c>
      <c r="E149" s="63" t="s">
        <v>5</v>
      </c>
      <c r="F149" s="63" t="s">
        <v>6</v>
      </c>
      <c r="G149" s="63" t="s">
        <v>7</v>
      </c>
      <c r="H149" s="64" t="s">
        <v>8</v>
      </c>
      <c r="I149" s="65" t="s">
        <v>9</v>
      </c>
      <c r="J149" s="66" t="s">
        <v>10</v>
      </c>
      <c r="N149" s="72"/>
    </row>
    <row r="150" spans="1:20" ht="18" customHeight="1" x14ac:dyDescent="0.2">
      <c r="A150" s="29" t="s">
        <v>28</v>
      </c>
      <c r="B150" s="30" t="s">
        <v>124</v>
      </c>
      <c r="C150" s="30" t="s">
        <v>124</v>
      </c>
      <c r="D150" s="30" t="s">
        <v>124</v>
      </c>
      <c r="E150" s="30" t="s">
        <v>124</v>
      </c>
      <c r="F150" s="31" t="s">
        <v>125</v>
      </c>
      <c r="G150" s="4"/>
      <c r="H150" s="412" t="s">
        <v>28</v>
      </c>
      <c r="I150" s="7"/>
      <c r="J150" s="32" t="s">
        <v>28</v>
      </c>
      <c r="N150" s="72"/>
    </row>
    <row r="151" spans="1:20" ht="18" customHeight="1" x14ac:dyDescent="0.2">
      <c r="A151" s="314">
        <v>1</v>
      </c>
      <c r="B151" s="34">
        <v>7.75</v>
      </c>
      <c r="C151" s="34">
        <v>7.75</v>
      </c>
      <c r="D151" s="34">
        <v>7.75</v>
      </c>
      <c r="E151" s="34">
        <v>7.75</v>
      </c>
      <c r="F151" s="139">
        <v>6</v>
      </c>
      <c r="G151" s="17"/>
      <c r="H151" s="262" t="s">
        <v>28</v>
      </c>
      <c r="I151" s="34">
        <f>SUM(B151:H151)</f>
        <v>37</v>
      </c>
      <c r="J151" s="37"/>
      <c r="N151" s="72"/>
    </row>
    <row r="152" spans="1:20" ht="18" customHeight="1" x14ac:dyDescent="0.2">
      <c r="A152" s="146" t="s">
        <v>28</v>
      </c>
      <c r="B152" s="30" t="s">
        <v>124</v>
      </c>
      <c r="C152" s="30" t="s">
        <v>124</v>
      </c>
      <c r="D152" s="30" t="s">
        <v>124</v>
      </c>
      <c r="E152" s="30" t="s">
        <v>124</v>
      </c>
      <c r="F152" s="31" t="s">
        <v>125</v>
      </c>
      <c r="G152" s="413"/>
      <c r="H152" s="11"/>
      <c r="I152" s="54"/>
      <c r="J152" s="40"/>
      <c r="N152" s="72"/>
    </row>
    <row r="153" spans="1:20" ht="18" customHeight="1" x14ac:dyDescent="0.2">
      <c r="A153" s="314">
        <v>2</v>
      </c>
      <c r="B153" s="34">
        <v>7.75</v>
      </c>
      <c r="C153" s="34">
        <v>7.75</v>
      </c>
      <c r="D153" s="34">
        <v>7.75</v>
      </c>
      <c r="E153" s="34">
        <v>7.75</v>
      </c>
      <c r="F153" s="139">
        <v>6</v>
      </c>
      <c r="G153" s="18"/>
      <c r="H153" s="139"/>
      <c r="I153" s="34">
        <f>SUM(B153:H153)</f>
        <v>37</v>
      </c>
      <c r="J153" s="141"/>
      <c r="N153" s="72"/>
    </row>
    <row r="154" spans="1:20" ht="18" customHeight="1" x14ac:dyDescent="0.2">
      <c r="A154" s="29"/>
      <c r="B154" s="30" t="s">
        <v>124</v>
      </c>
      <c r="C154" s="30" t="s">
        <v>124</v>
      </c>
      <c r="D154" s="30" t="s">
        <v>124</v>
      </c>
      <c r="E154" s="30" t="s">
        <v>124</v>
      </c>
      <c r="F154" s="31" t="s">
        <v>125</v>
      </c>
      <c r="G154" s="118"/>
      <c r="H154" s="31"/>
      <c r="I154" s="7"/>
      <c r="J154" s="32"/>
      <c r="N154" s="72"/>
    </row>
    <row r="155" spans="1:20" ht="18" customHeight="1" x14ac:dyDescent="0.2">
      <c r="A155" s="314">
        <v>3</v>
      </c>
      <c r="B155" s="34">
        <v>7.75</v>
      </c>
      <c r="C155" s="34">
        <v>7.75</v>
      </c>
      <c r="D155" s="34">
        <v>7.75</v>
      </c>
      <c r="E155" s="34">
        <v>7.75</v>
      </c>
      <c r="F155" s="139">
        <v>6</v>
      </c>
      <c r="G155" s="17"/>
      <c r="H155" s="139"/>
      <c r="I155" s="34">
        <f>SUM(B155:H155)</f>
        <v>37</v>
      </c>
      <c r="J155" s="37"/>
    </row>
    <row r="156" spans="1:20" ht="18" customHeight="1" x14ac:dyDescent="0.2">
      <c r="A156" s="414"/>
      <c r="B156" s="30" t="s">
        <v>124</v>
      </c>
      <c r="C156" s="30" t="s">
        <v>124</v>
      </c>
      <c r="D156" s="30" t="s">
        <v>124</v>
      </c>
      <c r="E156" s="30" t="s">
        <v>124</v>
      </c>
      <c r="F156" s="31" t="s">
        <v>125</v>
      </c>
      <c r="G156" s="11"/>
      <c r="H156" s="11"/>
      <c r="I156" s="14"/>
      <c r="J156" s="40"/>
      <c r="P156" s="72"/>
    </row>
    <row r="157" spans="1:20" ht="18" customHeight="1" x14ac:dyDescent="0.2">
      <c r="A157" s="314">
        <v>4</v>
      </c>
      <c r="B157" s="34">
        <v>7.75</v>
      </c>
      <c r="C157" s="34">
        <v>7.75</v>
      </c>
      <c r="D157" s="34">
        <v>7.75</v>
      </c>
      <c r="E157" s="34">
        <v>7.75</v>
      </c>
      <c r="F157" s="139">
        <v>6</v>
      </c>
      <c r="G157" s="139"/>
      <c r="H157" s="139"/>
      <c r="I157" s="34">
        <f>SUM(B157:H157)</f>
        <v>37</v>
      </c>
      <c r="J157" s="37"/>
      <c r="P157" s="72"/>
    </row>
    <row r="158" spans="1:20" ht="18" customHeight="1" x14ac:dyDescent="0.2">
      <c r="A158" s="415"/>
      <c r="B158" s="30" t="s">
        <v>124</v>
      </c>
      <c r="C158" s="30" t="s">
        <v>124</v>
      </c>
      <c r="D158" s="30" t="s">
        <v>124</v>
      </c>
      <c r="E158" s="30" t="s">
        <v>124</v>
      </c>
      <c r="F158" s="31" t="s">
        <v>125</v>
      </c>
      <c r="G158" s="376"/>
      <c r="H158" s="376"/>
      <c r="I158" s="416"/>
      <c r="J158" s="417"/>
      <c r="P158" s="72"/>
    </row>
    <row r="159" spans="1:20" ht="18" customHeight="1" x14ac:dyDescent="0.2">
      <c r="A159" s="314">
        <v>5</v>
      </c>
      <c r="B159" s="34">
        <v>7.75</v>
      </c>
      <c r="C159" s="34">
        <v>7.75</v>
      </c>
      <c r="D159" s="34">
        <v>7.75</v>
      </c>
      <c r="E159" s="34">
        <v>7.75</v>
      </c>
      <c r="F159" s="139">
        <v>6</v>
      </c>
      <c r="G159" s="18"/>
      <c r="H159" s="18"/>
      <c r="I159" s="34">
        <f>SUM(B159:H159)</f>
        <v>37</v>
      </c>
      <c r="J159" s="37"/>
    </row>
    <row r="160" spans="1:20" ht="18" customHeight="1" x14ac:dyDescent="0.2">
      <c r="A160" s="146"/>
      <c r="B160" s="30" t="s">
        <v>124</v>
      </c>
      <c r="C160" s="30" t="s">
        <v>124</v>
      </c>
      <c r="D160" s="30" t="s">
        <v>124</v>
      </c>
      <c r="E160" s="30" t="s">
        <v>124</v>
      </c>
      <c r="F160" s="31" t="s">
        <v>125</v>
      </c>
      <c r="G160" s="11"/>
      <c r="H160" s="11"/>
      <c r="I160" s="14"/>
      <c r="J160" s="40"/>
    </row>
    <row r="161" spans="1:20" ht="18" customHeight="1" x14ac:dyDescent="0.2">
      <c r="A161" s="314">
        <v>6</v>
      </c>
      <c r="B161" s="34">
        <v>7.75</v>
      </c>
      <c r="C161" s="34">
        <v>7.75</v>
      </c>
      <c r="D161" s="34">
        <v>7.75</v>
      </c>
      <c r="E161" s="34">
        <v>7.75</v>
      </c>
      <c r="F161" s="139">
        <v>6</v>
      </c>
      <c r="G161" s="139"/>
      <c r="H161" s="139"/>
      <c r="I161" s="34">
        <f>SUM(B161:H161)</f>
        <v>37</v>
      </c>
      <c r="J161" s="37"/>
    </row>
    <row r="162" spans="1:20" ht="18" customHeight="1" x14ac:dyDescent="0.2">
      <c r="A162" s="58" t="s">
        <v>30</v>
      </c>
      <c r="B162" s="58">
        <f t="shared" ref="B162:H162" si="6">SUM(B151,B153,B155,B157,B159,B161)</f>
        <v>46.5</v>
      </c>
      <c r="C162" s="58">
        <f t="shared" si="6"/>
        <v>46.5</v>
      </c>
      <c r="D162" s="58">
        <f t="shared" si="6"/>
        <v>46.5</v>
      </c>
      <c r="E162" s="58">
        <f t="shared" si="6"/>
        <v>46.5</v>
      </c>
      <c r="F162" s="58">
        <f t="shared" si="6"/>
        <v>36</v>
      </c>
      <c r="G162" s="58">
        <f t="shared" si="6"/>
        <v>0</v>
      </c>
      <c r="H162" s="58">
        <f t="shared" si="6"/>
        <v>0</v>
      </c>
      <c r="I162" s="70">
        <f>SUM(I151,I153,I155,I157,I161)</f>
        <v>185</v>
      </c>
      <c r="J162" s="71"/>
      <c r="M162" s="72"/>
      <c r="N162" s="72"/>
    </row>
    <row r="163" spans="1:20" ht="18" customHeight="1" x14ac:dyDescent="0.2">
      <c r="A163" s="311"/>
      <c r="B163" s="72"/>
      <c r="C163" s="72"/>
      <c r="D163" s="72"/>
      <c r="E163" s="72"/>
      <c r="F163" s="138"/>
      <c r="G163" s="203" t="s">
        <v>152</v>
      </c>
      <c r="H163" s="203" t="s">
        <v>153</v>
      </c>
      <c r="I163" s="203" t="s">
        <v>154</v>
      </c>
      <c r="J163" s="73"/>
      <c r="M163" s="72"/>
      <c r="N163" s="72"/>
    </row>
    <row r="164" spans="1:20" ht="18" customHeight="1" x14ac:dyDescent="0.2">
      <c r="A164" s="311"/>
      <c r="B164" s="72"/>
      <c r="C164" s="72"/>
      <c r="D164" s="72"/>
      <c r="E164" s="72"/>
      <c r="F164" s="138"/>
      <c r="G164" s="1786">
        <f>I162</f>
        <v>185</v>
      </c>
      <c r="H164" s="168">
        <f>SUM(G164*13/3)</f>
        <v>801.66666666666663</v>
      </c>
      <c r="I164" s="1786">
        <f>SUM(H164*12)</f>
        <v>9620</v>
      </c>
      <c r="J164" s="73"/>
      <c r="M164" s="72"/>
      <c r="N164" s="72"/>
    </row>
    <row r="165" spans="1:20" ht="18" customHeight="1" x14ac:dyDescent="0.2">
      <c r="A165" s="273"/>
      <c r="B165" s="72"/>
      <c r="C165" s="72"/>
      <c r="D165" s="72"/>
      <c r="E165" s="72"/>
      <c r="F165" s="138"/>
      <c r="G165" s="72"/>
      <c r="H165" s="173"/>
      <c r="I165" s="72"/>
      <c r="J165" s="73"/>
      <c r="M165" s="72"/>
      <c r="N165" s="72"/>
    </row>
    <row r="166" spans="1:20" ht="17.100000000000001" customHeight="1" x14ac:dyDescent="0.2">
      <c r="A166" s="1" t="s">
        <v>397</v>
      </c>
      <c r="B166" s="72"/>
      <c r="C166" s="72"/>
      <c r="D166" s="72"/>
      <c r="E166" s="72"/>
      <c r="F166" s="72"/>
      <c r="O166">
        <v>37</v>
      </c>
      <c r="P166" t="s">
        <v>381</v>
      </c>
      <c r="Q166">
        <v>4</v>
      </c>
      <c r="R166" t="s">
        <v>382</v>
      </c>
      <c r="S166">
        <f>O166*Q166</f>
        <v>148</v>
      </c>
      <c r="T166" t="s">
        <v>383</v>
      </c>
    </row>
    <row r="167" spans="1:20" ht="17.100000000000001" customHeight="1" x14ac:dyDescent="0.2">
      <c r="A167" s="204" t="s">
        <v>398</v>
      </c>
      <c r="B167" s="24" t="s">
        <v>2</v>
      </c>
      <c r="C167" s="25" t="s">
        <v>3</v>
      </c>
      <c r="D167" s="25" t="s">
        <v>4</v>
      </c>
      <c r="E167" s="25" t="s">
        <v>5</v>
      </c>
      <c r="F167" s="25" t="s">
        <v>6</v>
      </c>
      <c r="G167" s="25" t="s">
        <v>7</v>
      </c>
      <c r="H167" s="26" t="s">
        <v>8</v>
      </c>
      <c r="I167" s="27" t="s">
        <v>9</v>
      </c>
      <c r="J167" s="28" t="s">
        <v>10</v>
      </c>
      <c r="M167" s="339"/>
      <c r="N167" s="340" t="s">
        <v>322</v>
      </c>
      <c r="O167" t="s">
        <v>28</v>
      </c>
    </row>
    <row r="168" spans="1:20" ht="17.100000000000001" customHeight="1" x14ac:dyDescent="0.2">
      <c r="A168" s="418"/>
      <c r="B168" s="5" t="s">
        <v>399</v>
      </c>
      <c r="C168" s="5" t="s">
        <v>399</v>
      </c>
      <c r="D168" s="5" t="s">
        <v>399</v>
      </c>
      <c r="E168" s="5" t="s">
        <v>167</v>
      </c>
      <c r="F168" s="5" t="s">
        <v>167</v>
      </c>
      <c r="G168" s="5"/>
      <c r="H168" s="5"/>
      <c r="I168" s="345"/>
      <c r="J168" s="32"/>
      <c r="M168" s="328"/>
      <c r="N168" s="344" t="s">
        <v>323</v>
      </c>
      <c r="O168" t="s">
        <v>385</v>
      </c>
      <c r="Q168">
        <f>N174</f>
        <v>136.75</v>
      </c>
    </row>
    <row r="169" spans="1:20" ht="17.100000000000001" customHeight="1" x14ac:dyDescent="0.2">
      <c r="A169" s="419">
        <v>1</v>
      </c>
      <c r="B169" s="139">
        <v>8.5</v>
      </c>
      <c r="C169" s="139">
        <v>8.5</v>
      </c>
      <c r="D169" s="139">
        <v>8.5</v>
      </c>
      <c r="E169" s="139">
        <v>0</v>
      </c>
      <c r="F169" s="139">
        <v>0</v>
      </c>
      <c r="G169" s="139"/>
      <c r="H169" s="139"/>
      <c r="I169" s="139">
        <f>SUM(B169:H169)</f>
        <v>25.5</v>
      </c>
      <c r="J169" s="37"/>
      <c r="M169" s="328" t="s">
        <v>324</v>
      </c>
      <c r="N169" s="344">
        <f>I169</f>
        <v>25.5</v>
      </c>
    </row>
    <row r="170" spans="1:20" ht="17.100000000000001" customHeight="1" x14ac:dyDescent="0.2">
      <c r="A170" s="418"/>
      <c r="B170" s="5" t="s">
        <v>400</v>
      </c>
      <c r="C170" s="5" t="s">
        <v>400</v>
      </c>
      <c r="D170" s="5" t="s">
        <v>400</v>
      </c>
      <c r="E170" s="5" t="s">
        <v>401</v>
      </c>
      <c r="F170" s="5" t="s">
        <v>401</v>
      </c>
      <c r="G170" s="5" t="s">
        <v>402</v>
      </c>
      <c r="H170" s="5" t="s">
        <v>402</v>
      </c>
      <c r="I170" s="345"/>
      <c r="J170" s="32"/>
      <c r="M170" s="328" t="s">
        <v>325</v>
      </c>
      <c r="N170" s="344">
        <f>I171</f>
        <v>63.75</v>
      </c>
      <c r="O170">
        <f>Q168</f>
        <v>136.75</v>
      </c>
      <c r="P170" t="s">
        <v>387</v>
      </c>
      <c r="Q170" s="159">
        <f>SUM(O170/37)</f>
        <v>3.6959459459459461</v>
      </c>
    </row>
    <row r="171" spans="1:20" ht="17.100000000000001" customHeight="1" x14ac:dyDescent="0.2">
      <c r="A171" s="419">
        <v>2</v>
      </c>
      <c r="B171" s="139">
        <v>8.25</v>
      </c>
      <c r="C171" s="139">
        <v>8.25</v>
      </c>
      <c r="D171" s="139">
        <v>8.25</v>
      </c>
      <c r="E171" s="139">
        <v>8.5</v>
      </c>
      <c r="F171" s="139">
        <v>8.5</v>
      </c>
      <c r="G171" s="139">
        <v>11</v>
      </c>
      <c r="H171" s="139">
        <v>11</v>
      </c>
      <c r="I171" s="139">
        <f>SUM(B171:H171)</f>
        <v>63.75</v>
      </c>
      <c r="J171" s="37"/>
      <c r="M171" s="328" t="s">
        <v>326</v>
      </c>
      <c r="N171" s="344">
        <f>I173</f>
        <v>0</v>
      </c>
    </row>
    <row r="172" spans="1:20" ht="17.100000000000001" customHeight="1" x14ac:dyDescent="0.2">
      <c r="A172" s="418"/>
      <c r="B172" s="31" t="s">
        <v>167</v>
      </c>
      <c r="C172" s="31" t="s">
        <v>167</v>
      </c>
      <c r="D172" s="31" t="s">
        <v>167</v>
      </c>
      <c r="E172" s="31" t="s">
        <v>167</v>
      </c>
      <c r="F172" s="31" t="s">
        <v>167</v>
      </c>
      <c r="G172" s="31"/>
      <c r="H172" s="31"/>
      <c r="I172" s="345"/>
      <c r="J172" s="32"/>
      <c r="M172" s="328" t="s">
        <v>236</v>
      </c>
      <c r="N172" s="344">
        <f>I175</f>
        <v>47.5</v>
      </c>
      <c r="O172" s="159">
        <f>Q170</f>
        <v>3.6959459459459461</v>
      </c>
      <c r="P172" t="s">
        <v>403</v>
      </c>
      <c r="S172" s="420">
        <f>SUM(O172*3)</f>
        <v>11.087837837837839</v>
      </c>
      <c r="T172" t="s">
        <v>404</v>
      </c>
    </row>
    <row r="173" spans="1:20" ht="17.100000000000001" customHeight="1" x14ac:dyDescent="0.2">
      <c r="A173" s="419">
        <v>3</v>
      </c>
      <c r="B173" s="139">
        <v>0</v>
      </c>
      <c r="C173" s="139">
        <v>0</v>
      </c>
      <c r="D173" s="139">
        <v>0</v>
      </c>
      <c r="E173" s="139">
        <v>0</v>
      </c>
      <c r="F173" s="139">
        <v>0</v>
      </c>
      <c r="G173" s="139"/>
      <c r="H173" s="139"/>
      <c r="I173" s="139">
        <f>SUM(B173:H173)</f>
        <v>0</v>
      </c>
      <c r="J173" s="37"/>
      <c r="M173" s="421" t="s">
        <v>28</v>
      </c>
      <c r="N173" s="422">
        <f>I177</f>
        <v>0</v>
      </c>
    </row>
    <row r="174" spans="1:20" ht="17.100000000000001" customHeight="1" x14ac:dyDescent="0.2">
      <c r="A174" s="418"/>
      <c r="B174" s="5" t="s">
        <v>405</v>
      </c>
      <c r="C174" s="5" t="s">
        <v>405</v>
      </c>
      <c r="D174" s="5" t="s">
        <v>405</v>
      </c>
      <c r="E174" s="5" t="s">
        <v>405</v>
      </c>
      <c r="F174" s="5" t="s">
        <v>405</v>
      </c>
      <c r="G174" s="31"/>
      <c r="H174" s="31"/>
      <c r="I174" s="345"/>
      <c r="J174" s="32"/>
      <c r="M174" s="330" t="s">
        <v>329</v>
      </c>
      <c r="N174" s="349">
        <f>SUM(N169:N173)</f>
        <v>136.75</v>
      </c>
      <c r="O174" t="s">
        <v>28</v>
      </c>
      <c r="P174" s="353"/>
      <c r="Q174" s="353" t="s">
        <v>406</v>
      </c>
      <c r="S174" s="159">
        <f>S166-S172</f>
        <v>136.91216216216216</v>
      </c>
      <c r="T174" t="s">
        <v>407</v>
      </c>
    </row>
    <row r="175" spans="1:20" ht="17.100000000000001" customHeight="1" x14ac:dyDescent="0.2">
      <c r="A175" s="419">
        <v>4</v>
      </c>
      <c r="B175" s="139">
        <v>9.5</v>
      </c>
      <c r="C175" s="139">
        <v>9.5</v>
      </c>
      <c r="D175" s="139">
        <v>9.5</v>
      </c>
      <c r="E175" s="139">
        <v>9.5</v>
      </c>
      <c r="F175" s="139">
        <v>9.5</v>
      </c>
      <c r="G175" s="139"/>
      <c r="H175" s="139"/>
      <c r="I175" s="139">
        <f>SUM(B175:H175)</f>
        <v>47.5</v>
      </c>
      <c r="J175" s="37"/>
      <c r="S175" s="159"/>
    </row>
    <row r="176" spans="1:20" ht="17.100000000000001" customHeight="1" x14ac:dyDescent="0.2">
      <c r="A176" s="418"/>
      <c r="B176" s="5"/>
      <c r="C176" s="5"/>
      <c r="D176" s="5"/>
      <c r="E176" s="31"/>
      <c r="F176" s="31"/>
      <c r="G176" s="31"/>
      <c r="H176" s="31"/>
      <c r="I176" s="345"/>
      <c r="J176" s="32"/>
      <c r="S176" s="159"/>
    </row>
    <row r="177" spans="1:22" ht="17.100000000000001" customHeight="1" x14ac:dyDescent="0.2">
      <c r="A177" s="419"/>
      <c r="B177" s="139"/>
      <c r="C177" s="139"/>
      <c r="D177" s="139"/>
      <c r="E177" s="139"/>
      <c r="F177" s="139"/>
      <c r="G177" s="139"/>
      <c r="H177" s="139"/>
      <c r="I177" s="139"/>
      <c r="J177" s="37"/>
      <c r="S177" s="159"/>
    </row>
    <row r="178" spans="1:22" ht="17.100000000000001" customHeight="1" x14ac:dyDescent="0.2">
      <c r="A178" s="418"/>
      <c r="B178" s="31"/>
      <c r="C178" s="31"/>
      <c r="D178" s="31"/>
      <c r="E178" s="31"/>
      <c r="F178" s="31"/>
      <c r="G178" s="31"/>
      <c r="H178" s="31"/>
      <c r="I178" s="345"/>
      <c r="J178" s="32"/>
      <c r="S178" s="159"/>
    </row>
    <row r="179" spans="1:22" ht="17.100000000000001" customHeight="1" x14ac:dyDescent="0.2">
      <c r="A179" s="419"/>
      <c r="B179" s="139"/>
      <c r="C179" s="139"/>
      <c r="D179" s="139"/>
      <c r="E179" s="139"/>
      <c r="F179" s="139"/>
      <c r="G179" s="139"/>
      <c r="H179" s="139"/>
      <c r="I179" s="139"/>
      <c r="J179" s="37"/>
      <c r="S179" s="159"/>
    </row>
    <row r="180" spans="1:22" ht="17.100000000000001" customHeight="1" x14ac:dyDescent="0.2">
      <c r="A180" s="418"/>
      <c r="B180" s="5"/>
      <c r="C180" s="5"/>
      <c r="D180" s="5"/>
      <c r="E180" s="5"/>
      <c r="F180" s="5"/>
      <c r="G180" s="31"/>
      <c r="H180" s="31"/>
      <c r="I180" s="345"/>
      <c r="J180" s="32" t="s">
        <v>28</v>
      </c>
      <c r="S180" s="159"/>
    </row>
    <row r="181" spans="1:22" ht="17.100000000000001" customHeight="1" x14ac:dyDescent="0.2">
      <c r="A181" s="419" t="s">
        <v>28</v>
      </c>
      <c r="B181" s="139"/>
      <c r="C181" s="139"/>
      <c r="D181" s="139"/>
      <c r="E181" s="139"/>
      <c r="F181" s="139"/>
      <c r="G181" s="139"/>
      <c r="H181" s="139"/>
      <c r="I181" s="139">
        <f>SUM(B181:H181)</f>
        <v>0</v>
      </c>
      <c r="J181" s="37"/>
      <c r="S181" s="159"/>
    </row>
    <row r="182" spans="1:22" ht="17.100000000000001" customHeight="1" x14ac:dyDescent="0.2">
      <c r="A182" s="195" t="s">
        <v>30</v>
      </c>
      <c r="B182" s="195">
        <f t="shared" ref="B182:H182" si="7">SUM(B169,B171,B173,B175)</f>
        <v>26.25</v>
      </c>
      <c r="C182" s="195">
        <f t="shared" si="7"/>
        <v>26.25</v>
      </c>
      <c r="D182" s="195">
        <f t="shared" si="7"/>
        <v>26.25</v>
      </c>
      <c r="E182" s="195">
        <f t="shared" si="7"/>
        <v>18</v>
      </c>
      <c r="F182" s="195">
        <f t="shared" si="7"/>
        <v>18</v>
      </c>
      <c r="G182" s="195">
        <f t="shared" si="7"/>
        <v>11</v>
      </c>
      <c r="H182" s="195">
        <f t="shared" si="7"/>
        <v>11</v>
      </c>
      <c r="I182" s="195">
        <f>SUM(I169,I171,I173,I175,I177,I179,I181)</f>
        <v>136.75</v>
      </c>
      <c r="J182" s="197"/>
      <c r="O182" t="s">
        <v>408</v>
      </c>
      <c r="P182">
        <f>I182</f>
        <v>136.75</v>
      </c>
      <c r="Q182" s="360" t="s">
        <v>409</v>
      </c>
      <c r="S182" s="159">
        <f>S174</f>
        <v>136.91216216216216</v>
      </c>
      <c r="T182" t="s">
        <v>410</v>
      </c>
      <c r="U182" s="411">
        <f>P182-S182</f>
        <v>-0.16216216216216139</v>
      </c>
    </row>
    <row r="183" spans="1:22" ht="17.100000000000001" customHeight="1" x14ac:dyDescent="0.2">
      <c r="A183" s="72"/>
      <c r="B183" s="72"/>
      <c r="C183" s="72"/>
      <c r="D183" s="72"/>
      <c r="E183" s="72"/>
      <c r="F183" s="72"/>
      <c r="G183" s="203" t="s">
        <v>152</v>
      </c>
      <c r="H183" s="203" t="s">
        <v>153</v>
      </c>
      <c r="I183" s="203" t="s">
        <v>154</v>
      </c>
      <c r="V183" s="410"/>
    </row>
    <row r="184" spans="1:22" ht="17.100000000000001" customHeight="1" x14ac:dyDescent="0.2">
      <c r="A184" s="72"/>
      <c r="B184" s="72"/>
      <c r="C184" s="72"/>
      <c r="D184" s="72"/>
      <c r="E184" s="72"/>
      <c r="F184" s="72"/>
      <c r="G184" s="1786">
        <f>I182</f>
        <v>136.75</v>
      </c>
      <c r="H184" s="168">
        <f>SUM(G184*13/3)</f>
        <v>592.58333333333337</v>
      </c>
      <c r="I184" s="1786">
        <f>SUM(H184*12)</f>
        <v>7111</v>
      </c>
    </row>
    <row r="185" spans="1:22" ht="17.100000000000001" customHeight="1" x14ac:dyDescent="0.2">
      <c r="A185" s="72"/>
      <c r="B185" s="72"/>
      <c r="C185" s="72"/>
      <c r="D185" s="72"/>
      <c r="E185" s="72"/>
      <c r="F185" s="72"/>
      <c r="G185" s="72"/>
      <c r="H185" s="173"/>
      <c r="I185" s="72"/>
    </row>
    <row r="186" spans="1:22" ht="17.100000000000001" customHeight="1" x14ac:dyDescent="0.2">
      <c r="A186" s="72"/>
      <c r="B186" s="72"/>
      <c r="C186" s="72"/>
      <c r="D186" s="72"/>
      <c r="E186" s="72"/>
      <c r="F186" s="72"/>
      <c r="G186" s="72"/>
      <c r="H186" s="173"/>
      <c r="I186" s="72"/>
    </row>
    <row r="187" spans="1:22" ht="17.100000000000001" customHeight="1" x14ac:dyDescent="0.2">
      <c r="A187" s="1" t="s">
        <v>411</v>
      </c>
      <c r="B187" s="72"/>
      <c r="C187" s="72"/>
      <c r="D187" s="72"/>
      <c r="E187" s="72"/>
      <c r="F187" s="72"/>
      <c r="O187">
        <v>37</v>
      </c>
      <c r="P187" t="s">
        <v>381</v>
      </c>
      <c r="Q187">
        <v>4</v>
      </c>
      <c r="R187" t="s">
        <v>382</v>
      </c>
      <c r="S187">
        <f>O187*Q187</f>
        <v>148</v>
      </c>
      <c r="T187" t="s">
        <v>383</v>
      </c>
    </row>
    <row r="188" spans="1:22" ht="17.100000000000001" customHeight="1" x14ac:dyDescent="0.2">
      <c r="A188" s="204" t="s">
        <v>398</v>
      </c>
      <c r="B188" s="24" t="s">
        <v>2</v>
      </c>
      <c r="C188" s="25" t="s">
        <v>3</v>
      </c>
      <c r="D188" s="25" t="s">
        <v>4</v>
      </c>
      <c r="E188" s="25" t="s">
        <v>5</v>
      </c>
      <c r="F188" s="25" t="s">
        <v>6</v>
      </c>
      <c r="G188" s="25" t="s">
        <v>7</v>
      </c>
      <c r="H188" s="26" t="s">
        <v>8</v>
      </c>
      <c r="I188" s="27" t="s">
        <v>9</v>
      </c>
      <c r="J188" s="28" t="s">
        <v>10</v>
      </c>
      <c r="M188" s="339"/>
      <c r="N188" s="340" t="s">
        <v>322</v>
      </c>
      <c r="O188" t="s">
        <v>28</v>
      </c>
    </row>
    <row r="189" spans="1:22" ht="17.100000000000001" customHeight="1" x14ac:dyDescent="0.2">
      <c r="A189" s="418"/>
      <c r="B189" s="5" t="s">
        <v>167</v>
      </c>
      <c r="C189" s="5" t="s">
        <v>167</v>
      </c>
      <c r="D189" s="5" t="s">
        <v>412</v>
      </c>
      <c r="E189" s="5" t="s">
        <v>412</v>
      </c>
      <c r="F189" s="5" t="s">
        <v>412</v>
      </c>
      <c r="G189" s="5" t="s">
        <v>413</v>
      </c>
      <c r="H189" s="5" t="s">
        <v>414</v>
      </c>
      <c r="I189" s="345"/>
      <c r="J189" s="32"/>
      <c r="M189" s="328"/>
      <c r="N189" s="344" t="s">
        <v>323</v>
      </c>
      <c r="O189" t="s">
        <v>385</v>
      </c>
      <c r="Q189">
        <f>N195</f>
        <v>102</v>
      </c>
    </row>
    <row r="190" spans="1:22" ht="17.100000000000001" customHeight="1" x14ac:dyDescent="0.2">
      <c r="A190" s="419" t="s">
        <v>415</v>
      </c>
      <c r="B190" s="139"/>
      <c r="C190" s="139"/>
      <c r="D190" s="139">
        <v>12</v>
      </c>
      <c r="E190" s="139">
        <v>12</v>
      </c>
      <c r="F190" s="139">
        <v>12</v>
      </c>
      <c r="G190" s="139">
        <v>12</v>
      </c>
      <c r="H190" s="139">
        <v>8</v>
      </c>
      <c r="I190" s="139">
        <f>SUM(B190:H190)</f>
        <v>56</v>
      </c>
      <c r="J190" s="37"/>
      <c r="M190" s="328" t="s">
        <v>324</v>
      </c>
      <c r="N190" s="344">
        <f>I190</f>
        <v>56</v>
      </c>
    </row>
    <row r="191" spans="1:22" ht="17.100000000000001" customHeight="1" x14ac:dyDescent="0.2">
      <c r="A191" s="418"/>
      <c r="B191" s="5" t="s">
        <v>167</v>
      </c>
      <c r="C191" s="5" t="s">
        <v>167</v>
      </c>
      <c r="D191" s="5" t="s">
        <v>167</v>
      </c>
      <c r="E191" s="5" t="s">
        <v>167</v>
      </c>
      <c r="F191" s="5" t="s">
        <v>167</v>
      </c>
      <c r="G191" s="5"/>
      <c r="H191" s="5"/>
      <c r="I191" s="345"/>
      <c r="J191" s="32"/>
      <c r="M191" s="328" t="s">
        <v>325</v>
      </c>
      <c r="N191" s="344">
        <f>I192</f>
        <v>0</v>
      </c>
      <c r="O191">
        <f>Q189</f>
        <v>102</v>
      </c>
      <c r="P191" t="s">
        <v>387</v>
      </c>
      <c r="Q191" s="159">
        <f>SUM(O191/37)</f>
        <v>2.7567567567567566</v>
      </c>
    </row>
    <row r="192" spans="1:22" ht="17.100000000000001" customHeight="1" x14ac:dyDescent="0.2">
      <c r="A192" s="419" t="s">
        <v>416</v>
      </c>
      <c r="B192" s="139"/>
      <c r="C192" s="139"/>
      <c r="D192" s="139"/>
      <c r="E192" s="139"/>
      <c r="F192" s="139"/>
      <c r="G192" s="139"/>
      <c r="H192" s="139"/>
      <c r="I192" s="139">
        <f>SUM(B192:H192)</f>
        <v>0</v>
      </c>
      <c r="J192" s="37"/>
      <c r="M192" s="328" t="s">
        <v>326</v>
      </c>
      <c r="N192" s="344">
        <f>I194</f>
        <v>46</v>
      </c>
    </row>
    <row r="193" spans="1:22" ht="17.100000000000001" customHeight="1" x14ac:dyDescent="0.2">
      <c r="A193" s="418"/>
      <c r="B193" s="5" t="s">
        <v>412</v>
      </c>
      <c r="C193" s="5" t="s">
        <v>412</v>
      </c>
      <c r="D193" s="5" t="s">
        <v>167</v>
      </c>
      <c r="E193" s="5" t="s">
        <v>167</v>
      </c>
      <c r="F193" s="5" t="s">
        <v>167</v>
      </c>
      <c r="G193" s="5" t="s">
        <v>417</v>
      </c>
      <c r="H193" s="5" t="s">
        <v>418</v>
      </c>
      <c r="I193" s="345"/>
      <c r="J193" s="32"/>
      <c r="M193" s="328" t="s">
        <v>236</v>
      </c>
      <c r="N193" s="344">
        <v>0</v>
      </c>
      <c r="O193" s="159">
        <f>Q191</f>
        <v>2.7567567567567566</v>
      </c>
      <c r="P193" t="s">
        <v>403</v>
      </c>
      <c r="S193" s="420">
        <f>SUM(O193*3)</f>
        <v>8.2702702702702702</v>
      </c>
      <c r="T193" t="s">
        <v>404</v>
      </c>
    </row>
    <row r="194" spans="1:22" ht="17.100000000000001" customHeight="1" x14ac:dyDescent="0.2">
      <c r="A194" s="419" t="s">
        <v>419</v>
      </c>
      <c r="B194" s="139">
        <v>12</v>
      </c>
      <c r="C194" s="139">
        <v>12</v>
      </c>
      <c r="D194" s="139"/>
      <c r="E194" s="139"/>
      <c r="F194" s="139"/>
      <c r="G194" s="139">
        <v>12</v>
      </c>
      <c r="H194" s="139">
        <v>10</v>
      </c>
      <c r="I194" s="139">
        <f>SUM(B194:H194)</f>
        <v>46</v>
      </c>
      <c r="J194" s="37"/>
      <c r="M194" s="421"/>
      <c r="N194" s="422"/>
    </row>
    <row r="195" spans="1:22" ht="17.100000000000001" customHeight="1" x14ac:dyDescent="0.2">
      <c r="A195" s="423"/>
      <c r="B195" s="424" t="s">
        <v>420</v>
      </c>
      <c r="C195" s="424" t="s">
        <v>421</v>
      </c>
      <c r="D195" s="424" t="s">
        <v>421</v>
      </c>
      <c r="E195" s="424" t="s">
        <v>421</v>
      </c>
      <c r="F195" s="408" t="s">
        <v>422</v>
      </c>
      <c r="G195" s="31"/>
      <c r="H195" s="31"/>
      <c r="I195" s="345"/>
      <c r="J195" s="32"/>
      <c r="M195" s="330" t="s">
        <v>329</v>
      </c>
      <c r="N195" s="349">
        <f>SUM(N190:N194)</f>
        <v>102</v>
      </c>
      <c r="O195" t="s">
        <v>28</v>
      </c>
      <c r="P195" s="353"/>
      <c r="Q195" s="353" t="s">
        <v>406</v>
      </c>
      <c r="S195" s="159">
        <f>S187-S193</f>
        <v>139.72972972972974</v>
      </c>
      <c r="T195" t="s">
        <v>407</v>
      </c>
    </row>
    <row r="196" spans="1:22" ht="17.100000000000001" customHeight="1" x14ac:dyDescent="0.2">
      <c r="A196" s="419" t="s">
        <v>423</v>
      </c>
      <c r="B196" s="18">
        <v>6.75</v>
      </c>
      <c r="C196" s="18">
        <v>7.75</v>
      </c>
      <c r="D196" s="18">
        <v>7.75</v>
      </c>
      <c r="E196" s="18">
        <v>7.75</v>
      </c>
      <c r="F196" s="18">
        <v>7.5</v>
      </c>
      <c r="G196" s="139"/>
      <c r="H196" s="139"/>
      <c r="I196" s="139">
        <f>SUM(B196:H196)</f>
        <v>37.5</v>
      </c>
      <c r="J196" s="37"/>
      <c r="S196" s="159"/>
    </row>
    <row r="197" spans="1:22" ht="17.100000000000001" customHeight="1" x14ac:dyDescent="0.2">
      <c r="A197" s="418"/>
      <c r="B197" s="5"/>
      <c r="C197" s="5"/>
      <c r="D197" s="5"/>
      <c r="E197" s="31"/>
      <c r="F197" s="31"/>
      <c r="G197" s="31"/>
      <c r="H197" s="31"/>
      <c r="I197" s="345"/>
      <c r="J197" s="32"/>
      <c r="S197" s="159"/>
    </row>
    <row r="198" spans="1:22" ht="17.100000000000001" customHeight="1" x14ac:dyDescent="0.2">
      <c r="A198" s="425" t="s">
        <v>424</v>
      </c>
      <c r="C198" s="139"/>
      <c r="D198" s="139"/>
      <c r="E198" s="139"/>
      <c r="F198" s="139"/>
      <c r="G198" s="139"/>
      <c r="H198" s="139"/>
      <c r="I198" s="139">
        <f>SUM(A198:H198)</f>
        <v>0</v>
      </c>
      <c r="J198" s="37"/>
      <c r="S198" s="159"/>
    </row>
    <row r="199" spans="1:22" ht="17.100000000000001" customHeight="1" x14ac:dyDescent="0.2">
      <c r="A199" s="426"/>
      <c r="B199" s="427"/>
      <c r="C199" s="427"/>
      <c r="D199" s="427"/>
      <c r="E199" s="427"/>
      <c r="F199" s="427"/>
      <c r="G199" s="427"/>
      <c r="H199" s="427"/>
      <c r="I199" s="428"/>
      <c r="J199" s="429"/>
      <c r="S199" s="159"/>
    </row>
    <row r="200" spans="1:22" ht="17.100000000000001" customHeight="1" x14ac:dyDescent="0.2">
      <c r="A200" s="430"/>
      <c r="B200" s="431"/>
      <c r="C200" s="431"/>
      <c r="D200" s="431"/>
      <c r="E200" s="431"/>
      <c r="F200" s="431"/>
      <c r="G200" s="431"/>
      <c r="H200" s="431"/>
      <c r="I200" s="431">
        <f>SUM(B200:H200)</f>
        <v>0</v>
      </c>
      <c r="J200" s="432"/>
      <c r="S200" s="159"/>
    </row>
    <row r="201" spans="1:22" ht="17.100000000000001" customHeight="1" x14ac:dyDescent="0.2">
      <c r="A201" s="426"/>
      <c r="B201" s="433"/>
      <c r="C201" s="433"/>
      <c r="D201" s="433"/>
      <c r="E201" s="433"/>
      <c r="F201" s="433"/>
      <c r="G201" s="427"/>
      <c r="H201" s="427"/>
      <c r="I201" s="428"/>
      <c r="J201" s="429" t="s">
        <v>28</v>
      </c>
      <c r="S201" s="159"/>
    </row>
    <row r="202" spans="1:22" ht="17.100000000000001" customHeight="1" x14ac:dyDescent="0.2">
      <c r="A202" s="430" t="s">
        <v>28</v>
      </c>
      <c r="B202" s="431"/>
      <c r="C202" s="431"/>
      <c r="D202" s="431"/>
      <c r="E202" s="431"/>
      <c r="F202" s="431"/>
      <c r="G202" s="431"/>
      <c r="H202" s="431"/>
      <c r="I202" s="431">
        <f>SUM(B202:H202)</f>
        <v>0</v>
      </c>
      <c r="J202" s="432"/>
      <c r="S202" s="159"/>
    </row>
    <row r="203" spans="1:22" ht="17.100000000000001" customHeight="1" x14ac:dyDescent="0.2">
      <c r="A203" s="195" t="s">
        <v>30</v>
      </c>
      <c r="B203" s="195">
        <f t="shared" ref="B203:H203" si="8">SUM(B190,B192,B194,B196)</f>
        <v>18.75</v>
      </c>
      <c r="C203" s="195">
        <f t="shared" si="8"/>
        <v>19.75</v>
      </c>
      <c r="D203" s="195">
        <f t="shared" si="8"/>
        <v>19.75</v>
      </c>
      <c r="E203" s="195">
        <f t="shared" si="8"/>
        <v>19.75</v>
      </c>
      <c r="F203" s="195">
        <f t="shared" si="8"/>
        <v>19.5</v>
      </c>
      <c r="G203" s="195">
        <f t="shared" si="8"/>
        <v>24</v>
      </c>
      <c r="H203" s="195">
        <f t="shared" si="8"/>
        <v>18</v>
      </c>
      <c r="I203" s="195">
        <f>SUM(I190,I192,I194,I196,I198,I200,I202)</f>
        <v>139.5</v>
      </c>
      <c r="J203" s="197"/>
      <c r="O203" t="s">
        <v>408</v>
      </c>
      <c r="P203">
        <f>I203</f>
        <v>139.5</v>
      </c>
      <c r="Q203" s="360" t="s">
        <v>409</v>
      </c>
      <c r="S203" s="159">
        <f>S195</f>
        <v>139.72972972972974</v>
      </c>
      <c r="T203" t="s">
        <v>410</v>
      </c>
      <c r="U203" s="411">
        <f>P203-S203</f>
        <v>-0.22972972972974048</v>
      </c>
    </row>
    <row r="204" spans="1:22" ht="17.100000000000001" customHeight="1" x14ac:dyDescent="0.2">
      <c r="A204" s="72"/>
      <c r="B204" s="72"/>
      <c r="C204" s="72"/>
      <c r="D204" s="72"/>
      <c r="E204" s="72"/>
      <c r="F204" s="72"/>
      <c r="G204" s="203" t="s">
        <v>152</v>
      </c>
      <c r="H204" s="203" t="s">
        <v>153</v>
      </c>
      <c r="I204" s="203" t="s">
        <v>154</v>
      </c>
      <c r="V204" s="410"/>
    </row>
    <row r="205" spans="1:22" ht="17.100000000000001" customHeight="1" x14ac:dyDescent="0.2">
      <c r="A205" s="72"/>
      <c r="B205" s="72"/>
      <c r="C205" s="72"/>
      <c r="D205" s="72"/>
      <c r="E205" s="72"/>
      <c r="F205" s="72"/>
      <c r="G205" s="1786">
        <f>I203</f>
        <v>139.5</v>
      </c>
      <c r="H205" s="168">
        <f>SUM(G205*13/3)</f>
        <v>604.5</v>
      </c>
      <c r="I205" s="1786">
        <f>SUM(H205*12)</f>
        <v>7254</v>
      </c>
    </row>
    <row r="206" spans="1:22" ht="18" customHeight="1" x14ac:dyDescent="0.2">
      <c r="A206" s="148" t="s">
        <v>127</v>
      </c>
      <c r="B206" s="72"/>
      <c r="C206" s="72"/>
      <c r="D206" s="72"/>
      <c r="E206" s="72"/>
      <c r="F206" s="138"/>
      <c r="G206" s="138"/>
      <c r="H206" s="138"/>
      <c r="I206" s="72"/>
      <c r="J206" s="73"/>
      <c r="K206" s="273"/>
    </row>
    <row r="207" spans="1:22" ht="18" customHeight="1" x14ac:dyDescent="0.2">
      <c r="A207" s="123" t="s">
        <v>128</v>
      </c>
      <c r="B207" s="24" t="s">
        <v>2</v>
      </c>
      <c r="C207" s="25" t="s">
        <v>3</v>
      </c>
      <c r="D207" s="25" t="s">
        <v>4</v>
      </c>
      <c r="E207" s="25" t="s">
        <v>5</v>
      </c>
      <c r="F207" s="25" t="s">
        <v>6</v>
      </c>
      <c r="G207" s="25" t="s">
        <v>7</v>
      </c>
      <c r="H207" s="26" t="s">
        <v>8</v>
      </c>
      <c r="I207" s="27" t="s">
        <v>9</v>
      </c>
      <c r="J207" s="28" t="s">
        <v>10</v>
      </c>
      <c r="K207" s="72"/>
    </row>
    <row r="208" spans="1:22" ht="18" customHeight="1" x14ac:dyDescent="0.2">
      <c r="A208" s="29" t="s">
        <v>28</v>
      </c>
      <c r="B208" s="30" t="s">
        <v>124</v>
      </c>
      <c r="C208" s="30" t="s">
        <v>124</v>
      </c>
      <c r="D208" s="30" t="s">
        <v>124</v>
      </c>
      <c r="E208" s="30" t="s">
        <v>124</v>
      </c>
      <c r="F208" s="31" t="s">
        <v>125</v>
      </c>
      <c r="G208" s="31"/>
      <c r="H208" s="31"/>
      <c r="I208" s="7"/>
      <c r="J208" s="32"/>
    </row>
    <row r="209" spans="1:10" ht="18" customHeight="1" x14ac:dyDescent="0.2">
      <c r="A209" s="33" t="s">
        <v>28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139"/>
      <c r="H209" s="139"/>
      <c r="I209" s="34">
        <f>SUM(B209:H209)</f>
        <v>0</v>
      </c>
      <c r="J209" s="37"/>
    </row>
    <row r="210" spans="1:10" ht="18" customHeight="1" x14ac:dyDescent="0.2">
      <c r="A210" s="29"/>
      <c r="B210" s="30" t="s">
        <v>124</v>
      </c>
      <c r="C210" s="30" t="s">
        <v>124</v>
      </c>
      <c r="D210" s="30" t="s">
        <v>124</v>
      </c>
      <c r="E210" s="30" t="s">
        <v>124</v>
      </c>
      <c r="F210" s="31" t="s">
        <v>125</v>
      </c>
      <c r="G210" s="31"/>
      <c r="H210" s="31"/>
      <c r="I210" s="7"/>
      <c r="J210" s="32"/>
    </row>
    <row r="211" spans="1:10" ht="18" customHeight="1" x14ac:dyDescent="0.2">
      <c r="A211" s="33" t="s">
        <v>28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139"/>
      <c r="H211" s="139"/>
      <c r="I211" s="34">
        <f>SUM(B211:H211)</f>
        <v>0</v>
      </c>
      <c r="J211" s="37"/>
    </row>
    <row r="212" spans="1:10" ht="18" customHeight="1" x14ac:dyDescent="0.2">
      <c r="A212" s="29"/>
      <c r="B212" s="30" t="s">
        <v>124</v>
      </c>
      <c r="C212" s="30" t="s">
        <v>124</v>
      </c>
      <c r="D212" s="30" t="s">
        <v>124</v>
      </c>
      <c r="E212" s="30" t="s">
        <v>124</v>
      </c>
      <c r="F212" s="31" t="s">
        <v>125</v>
      </c>
      <c r="G212" s="31"/>
      <c r="H212" s="31"/>
      <c r="I212" s="7"/>
      <c r="J212" s="32"/>
    </row>
    <row r="213" spans="1:10" ht="18" customHeight="1" x14ac:dyDescent="0.2">
      <c r="A213" s="33"/>
      <c r="B213" s="34"/>
      <c r="C213" s="34"/>
      <c r="D213" s="34"/>
      <c r="E213" s="34"/>
      <c r="F213" s="34"/>
      <c r="G213" s="139"/>
      <c r="H213" s="139"/>
      <c r="I213" s="34">
        <f>SUM(B213:H213)</f>
        <v>0</v>
      </c>
      <c r="J213" s="37"/>
    </row>
    <row r="214" spans="1:10" ht="18" customHeight="1" x14ac:dyDescent="0.2">
      <c r="A214" s="58" t="s">
        <v>30</v>
      </c>
      <c r="B214" s="58">
        <f t="shared" ref="B214:I214" si="9">SUM(B209,B211,B213)</f>
        <v>0</v>
      </c>
      <c r="C214" s="58">
        <f t="shared" si="9"/>
        <v>0</v>
      </c>
      <c r="D214" s="58">
        <f t="shared" si="9"/>
        <v>0</v>
      </c>
      <c r="E214" s="58">
        <f t="shared" si="9"/>
        <v>0</v>
      </c>
      <c r="F214" s="58">
        <f t="shared" si="9"/>
        <v>0</v>
      </c>
      <c r="G214" s="58">
        <f t="shared" si="9"/>
        <v>0</v>
      </c>
      <c r="H214" s="58">
        <f t="shared" si="9"/>
        <v>0</v>
      </c>
      <c r="I214" s="58">
        <f t="shared" si="9"/>
        <v>0</v>
      </c>
      <c r="J214" s="71"/>
    </row>
    <row r="215" spans="1:10" ht="18" customHeight="1" x14ac:dyDescent="0.2">
      <c r="A215" s="72"/>
      <c r="B215" s="72"/>
      <c r="C215" s="72"/>
      <c r="D215" s="72"/>
      <c r="E215" s="72"/>
      <c r="F215" s="72"/>
      <c r="G215" s="203" t="s">
        <v>152</v>
      </c>
      <c r="H215" s="203" t="s">
        <v>153</v>
      </c>
      <c r="I215" s="203" t="s">
        <v>154</v>
      </c>
      <c r="J215" s="73"/>
    </row>
    <row r="216" spans="1:10" ht="18" customHeight="1" x14ac:dyDescent="0.2">
      <c r="A216" s="72"/>
      <c r="B216" s="72"/>
      <c r="C216" s="72"/>
      <c r="D216" s="72"/>
      <c r="E216" s="72"/>
      <c r="F216" s="138"/>
      <c r="G216" s="1786">
        <f>I214</f>
        <v>0</v>
      </c>
      <c r="H216" s="168">
        <f>SUM(G216*13/3)</f>
        <v>0</v>
      </c>
      <c r="I216" s="1786">
        <f>SUM(H216*12)</f>
        <v>0</v>
      </c>
      <c r="J216" s="73"/>
    </row>
    <row r="217" spans="1:10" ht="18" customHeight="1" x14ac:dyDescent="0.2">
      <c r="A217" s="72"/>
      <c r="B217" s="72"/>
      <c r="C217" s="72"/>
      <c r="D217" s="72"/>
      <c r="E217" s="72"/>
      <c r="F217" s="138"/>
      <c r="G217" s="72"/>
      <c r="H217" s="173"/>
      <c r="I217" s="72"/>
      <c r="J217" s="73"/>
    </row>
    <row r="218" spans="1:10" ht="18" customHeight="1" x14ac:dyDescent="0.2">
      <c r="A218" s="72"/>
      <c r="B218" s="72"/>
      <c r="C218" s="72"/>
      <c r="D218" s="72"/>
      <c r="E218" s="72"/>
      <c r="F218" s="138"/>
      <c r="G218" s="138"/>
      <c r="H218" s="138"/>
      <c r="I218" s="72"/>
      <c r="J218" s="73"/>
    </row>
    <row r="219" spans="1:10" ht="18" customHeight="1" x14ac:dyDescent="0.2">
      <c r="A219" s="327"/>
      <c r="B219" s="149" t="s">
        <v>2</v>
      </c>
      <c r="C219" s="63" t="s">
        <v>3</v>
      </c>
      <c r="D219" s="63" t="s">
        <v>4</v>
      </c>
      <c r="E219" s="63" t="s">
        <v>5</v>
      </c>
      <c r="F219" s="63" t="s">
        <v>6</v>
      </c>
      <c r="G219" s="63" t="s">
        <v>7</v>
      </c>
      <c r="H219" s="150" t="s">
        <v>8</v>
      </c>
      <c r="I219" s="151" t="s">
        <v>137</v>
      </c>
      <c r="J219" s="138" t="s">
        <v>28</v>
      </c>
    </row>
    <row r="220" spans="1:10" ht="18" customHeight="1" x14ac:dyDescent="0.2">
      <c r="A220" s="328" t="s">
        <v>138</v>
      </c>
      <c r="B220" s="329">
        <f t="shared" ref="B220:I220" si="10">SUM(B4,B8,B25,B34,B70,B114,B117,B123,B132,B144,B162,B182,B203,B214)</f>
        <v>275.75</v>
      </c>
      <c r="C220" s="329">
        <f t="shared" si="10"/>
        <v>276.75</v>
      </c>
      <c r="D220" s="329">
        <f t="shared" si="10"/>
        <v>276.75</v>
      </c>
      <c r="E220" s="329">
        <f t="shared" si="10"/>
        <v>268.5</v>
      </c>
      <c r="F220" s="329">
        <f t="shared" si="10"/>
        <v>240.5</v>
      </c>
      <c r="G220" s="329">
        <f t="shared" si="10"/>
        <v>128</v>
      </c>
      <c r="H220" s="329">
        <f t="shared" si="10"/>
        <v>125</v>
      </c>
      <c r="I220" s="329">
        <f t="shared" si="10"/>
        <v>1554.25</v>
      </c>
      <c r="J220" s="72" t="s">
        <v>28</v>
      </c>
    </row>
    <row r="221" spans="1:10" ht="20.100000000000001" customHeight="1" x14ac:dyDescent="0.2">
      <c r="A221" s="330" t="s">
        <v>140</v>
      </c>
      <c r="B221" s="17">
        <f t="shared" ref="B221:I221" si="11">SUM(B220*52)</f>
        <v>14339</v>
      </c>
      <c r="C221" s="17">
        <f t="shared" si="11"/>
        <v>14391</v>
      </c>
      <c r="D221" s="17">
        <f t="shared" si="11"/>
        <v>14391</v>
      </c>
      <c r="E221" s="17">
        <f t="shared" si="11"/>
        <v>13962</v>
      </c>
      <c r="F221" s="17">
        <f t="shared" si="11"/>
        <v>12506</v>
      </c>
      <c r="G221" s="17">
        <f t="shared" si="11"/>
        <v>6656</v>
      </c>
      <c r="H221" s="17">
        <f t="shared" si="11"/>
        <v>6500</v>
      </c>
      <c r="I221" s="17">
        <f t="shared" si="11"/>
        <v>80821</v>
      </c>
    </row>
    <row r="222" spans="1:10" ht="20.100000000000001" customHeight="1" x14ac:dyDescent="0.2">
      <c r="A222" t="s">
        <v>425</v>
      </c>
      <c r="I222" s="159"/>
      <c r="J222" s="434">
        <f>SUM(I221/12)</f>
        <v>6735.083333333333</v>
      </c>
    </row>
    <row r="223" spans="1:10" ht="20.100000000000001" customHeight="1" x14ac:dyDescent="0.2">
      <c r="A223" s="331" t="s">
        <v>318</v>
      </c>
      <c r="B223" s="45"/>
      <c r="C223" s="45"/>
      <c r="D223" s="45"/>
      <c r="E223" s="30">
        <v>56</v>
      </c>
      <c r="F223" s="45"/>
      <c r="G223" s="45"/>
      <c r="H223" s="7"/>
      <c r="I223" s="332">
        <f>SUM(E223)*26</f>
        <v>1456</v>
      </c>
    </row>
    <row r="224" spans="1:10" ht="20.100000000000001" customHeight="1" x14ac:dyDescent="0.2">
      <c r="A224" s="333" t="s">
        <v>319</v>
      </c>
      <c r="B224" s="156"/>
      <c r="C224" s="156"/>
      <c r="D224" s="156"/>
      <c r="E224" s="156"/>
      <c r="F224" s="156"/>
      <c r="G224" s="156"/>
      <c r="H224" s="156"/>
      <c r="I224" s="334">
        <f>SUM(I223*2)</f>
        <v>2912</v>
      </c>
    </row>
    <row r="225" spans="1:10" ht="20.100000000000001" customHeight="1" x14ac:dyDescent="0.2">
      <c r="A225" s="328" t="s">
        <v>143</v>
      </c>
      <c r="B225" s="152"/>
      <c r="C225" s="154"/>
      <c r="D225" s="156"/>
      <c r="E225" s="156"/>
      <c r="F225" s="156"/>
      <c r="G225" s="156"/>
      <c r="H225" s="156"/>
      <c r="I225" s="334">
        <f>48*12</f>
        <v>576</v>
      </c>
    </row>
    <row r="226" spans="1:10" ht="20.100000000000001" customHeight="1" x14ac:dyDescent="0.2">
      <c r="A226" s="335" t="s">
        <v>137</v>
      </c>
      <c r="B226" s="53"/>
      <c r="C226" s="53"/>
      <c r="D226" s="53"/>
      <c r="E226" s="53"/>
      <c r="F226" s="53"/>
      <c r="G226" s="53"/>
      <c r="H226" s="53"/>
      <c r="I226" s="336">
        <f>SUM(I223:I225)</f>
        <v>4944</v>
      </c>
    </row>
    <row r="227" spans="1:10" ht="20.100000000000001" customHeight="1" x14ac:dyDescent="0.2">
      <c r="I227" s="159"/>
    </row>
    <row r="228" spans="1:10" ht="20.100000000000001" customHeight="1" x14ac:dyDescent="0.2">
      <c r="I228" s="159"/>
    </row>
    <row r="229" spans="1:10" x14ac:dyDescent="0.2">
      <c r="A229" s="157" t="s">
        <v>144</v>
      </c>
      <c r="B229" s="157"/>
      <c r="C229" s="157"/>
      <c r="D229" s="157"/>
      <c r="E229" s="157"/>
      <c r="F229" s="157"/>
      <c r="G229" s="157"/>
      <c r="H229" s="157"/>
      <c r="I229" s="160">
        <f>SUM(I221,I226)</f>
        <v>85765</v>
      </c>
      <c r="J229" t="s">
        <v>426</v>
      </c>
    </row>
    <row r="233" spans="1:10" x14ac:dyDescent="0.2">
      <c r="A233" s="1" t="s">
        <v>427</v>
      </c>
      <c r="B233" s="72"/>
      <c r="C233" s="72"/>
      <c r="D233" s="72"/>
      <c r="E233" s="72"/>
      <c r="F233" s="138"/>
      <c r="G233" s="138"/>
      <c r="H233" s="138"/>
      <c r="I233" s="72"/>
      <c r="J233" s="73"/>
    </row>
    <row r="234" spans="1:10" x14ac:dyDescent="0.2">
      <c r="A234" s="61" t="s">
        <v>428</v>
      </c>
      <c r="B234" s="62" t="s">
        <v>2</v>
      </c>
      <c r="C234" s="63" t="s">
        <v>3</v>
      </c>
      <c r="D234" s="63" t="s">
        <v>4</v>
      </c>
      <c r="E234" s="63" t="s">
        <v>5</v>
      </c>
      <c r="F234" s="63" t="s">
        <v>6</v>
      </c>
      <c r="G234" s="63" t="s">
        <v>7</v>
      </c>
      <c r="H234" s="64" t="s">
        <v>8</v>
      </c>
      <c r="I234" s="65" t="s">
        <v>9</v>
      </c>
      <c r="J234" s="66" t="s">
        <v>10</v>
      </c>
    </row>
    <row r="235" spans="1:10" x14ac:dyDescent="0.2">
      <c r="A235" s="435">
        <v>3700</v>
      </c>
      <c r="B235" s="30" t="s">
        <v>429</v>
      </c>
      <c r="C235" s="30" t="s">
        <v>429</v>
      </c>
      <c r="D235" s="30" t="s">
        <v>429</v>
      </c>
      <c r="E235" s="30" t="s">
        <v>429</v>
      </c>
      <c r="F235" s="31" t="s">
        <v>430</v>
      </c>
      <c r="G235" s="4"/>
      <c r="H235" s="412" t="s">
        <v>28</v>
      </c>
      <c r="I235" s="7"/>
      <c r="J235" s="32" t="s">
        <v>28</v>
      </c>
    </row>
    <row r="236" spans="1:10" x14ac:dyDescent="0.2">
      <c r="A236" s="436"/>
      <c r="B236" s="34"/>
      <c r="C236" s="34"/>
      <c r="D236" s="34"/>
      <c r="E236" s="34"/>
      <c r="F236" s="139"/>
      <c r="G236" s="17"/>
      <c r="H236" s="262" t="s">
        <v>28</v>
      </c>
      <c r="I236" s="34">
        <f>SUM(B236:H236)</f>
        <v>0</v>
      </c>
      <c r="J236" s="37"/>
    </row>
    <row r="237" spans="1:10" x14ac:dyDescent="0.2">
      <c r="A237" s="437">
        <v>3700</v>
      </c>
      <c r="B237" s="10" t="s">
        <v>124</v>
      </c>
      <c r="C237" s="10" t="s">
        <v>124</v>
      </c>
      <c r="D237" s="10" t="s">
        <v>124</v>
      </c>
      <c r="E237" s="10" t="s">
        <v>124</v>
      </c>
      <c r="F237" s="11" t="s">
        <v>125</v>
      </c>
      <c r="G237" s="438"/>
      <c r="H237" s="439" t="s">
        <v>28</v>
      </c>
      <c r="I237" s="14"/>
      <c r="J237" s="40" t="s">
        <v>28</v>
      </c>
    </row>
    <row r="238" spans="1:10" x14ac:dyDescent="0.2">
      <c r="A238" s="440" t="s">
        <v>431</v>
      </c>
      <c r="B238" s="34">
        <v>7.75</v>
      </c>
      <c r="C238" s="34">
        <v>7.75</v>
      </c>
      <c r="D238" s="34">
        <v>7.75</v>
      </c>
      <c r="E238" s="34">
        <v>7.75</v>
      </c>
      <c r="F238" s="139">
        <v>6</v>
      </c>
      <c r="G238" s="17"/>
      <c r="H238" s="262" t="s">
        <v>28</v>
      </c>
      <c r="I238" s="34">
        <f>SUM(B238:H238)</f>
        <v>37</v>
      </c>
      <c r="J238" s="37"/>
    </row>
    <row r="239" spans="1:10" x14ac:dyDescent="0.2">
      <c r="A239" s="435">
        <v>3701</v>
      </c>
      <c r="B239" s="30" t="s">
        <v>124</v>
      </c>
      <c r="C239" s="30" t="s">
        <v>124</v>
      </c>
      <c r="D239" s="30" t="s">
        <v>124</v>
      </c>
      <c r="E239" s="30" t="s">
        <v>124</v>
      </c>
      <c r="F239" s="31" t="s">
        <v>125</v>
      </c>
      <c r="G239" s="4"/>
      <c r="H239" s="412" t="s">
        <v>28</v>
      </c>
      <c r="I239" s="7"/>
      <c r="J239" s="32" t="s">
        <v>28</v>
      </c>
    </row>
    <row r="240" spans="1:10" x14ac:dyDescent="0.2">
      <c r="A240" s="436" t="s">
        <v>432</v>
      </c>
      <c r="B240" s="34">
        <v>7.75</v>
      </c>
      <c r="C240" s="34">
        <v>7.75</v>
      </c>
      <c r="D240" s="34">
        <v>7.75</v>
      </c>
      <c r="E240" s="34">
        <v>7.75</v>
      </c>
      <c r="F240" s="139">
        <v>6</v>
      </c>
      <c r="G240" s="17"/>
      <c r="H240" s="262" t="s">
        <v>28</v>
      </c>
      <c r="I240" s="34">
        <f>SUM(B240:H240)</f>
        <v>37</v>
      </c>
      <c r="J240" s="37"/>
    </row>
    <row r="241" spans="1:10" x14ac:dyDescent="0.2">
      <c r="A241" s="435">
        <v>3701</v>
      </c>
      <c r="B241" s="30" t="s">
        <v>124</v>
      </c>
      <c r="C241" s="30" t="s">
        <v>124</v>
      </c>
      <c r="D241" s="30" t="s">
        <v>124</v>
      </c>
      <c r="E241" s="30" t="s">
        <v>124</v>
      </c>
      <c r="F241" s="31" t="s">
        <v>125</v>
      </c>
      <c r="G241" s="4"/>
      <c r="H241" s="412" t="s">
        <v>28</v>
      </c>
      <c r="I241" s="7"/>
      <c r="J241" s="32" t="s">
        <v>28</v>
      </c>
    </row>
    <row r="242" spans="1:10" x14ac:dyDescent="0.2">
      <c r="A242" s="436" t="s">
        <v>433</v>
      </c>
      <c r="B242" s="34">
        <v>7.75</v>
      </c>
      <c r="C242" s="34">
        <v>7.75</v>
      </c>
      <c r="D242" s="34">
        <v>7.75</v>
      </c>
      <c r="E242" s="34">
        <v>7.75</v>
      </c>
      <c r="F242" s="139">
        <v>6</v>
      </c>
      <c r="G242" s="17"/>
      <c r="H242" s="262" t="s">
        <v>28</v>
      </c>
      <c r="I242" s="34">
        <f>SUM(B242:H242)</f>
        <v>37</v>
      </c>
      <c r="J242" s="37"/>
    </row>
    <row r="243" spans="1:10" x14ac:dyDescent="0.2">
      <c r="A243" s="437">
        <v>3701</v>
      </c>
      <c r="B243" s="10" t="s">
        <v>124</v>
      </c>
      <c r="C243" s="10" t="s">
        <v>124</v>
      </c>
      <c r="D243" s="10" t="s">
        <v>124</v>
      </c>
      <c r="E243" s="10" t="s">
        <v>124</v>
      </c>
      <c r="F243" s="11" t="s">
        <v>125</v>
      </c>
      <c r="G243" s="438"/>
      <c r="H243" s="439" t="s">
        <v>28</v>
      </c>
      <c r="I243" s="14"/>
      <c r="J243" s="40" t="s">
        <v>28</v>
      </c>
    </row>
    <row r="244" spans="1:10" x14ac:dyDescent="0.2">
      <c r="A244" s="440" t="s">
        <v>434</v>
      </c>
      <c r="B244" s="34">
        <v>7.75</v>
      </c>
      <c r="C244" s="34">
        <v>7.75</v>
      </c>
      <c r="D244" s="34">
        <v>7.75</v>
      </c>
      <c r="E244" s="34">
        <v>7.75</v>
      </c>
      <c r="F244" s="139">
        <v>6</v>
      </c>
      <c r="G244" s="17"/>
      <c r="H244" s="262" t="s">
        <v>28</v>
      </c>
      <c r="I244" s="34">
        <f>SUM(B244:H244)</f>
        <v>37</v>
      </c>
      <c r="J244" s="37"/>
    </row>
    <row r="245" spans="1:10" x14ac:dyDescent="0.2">
      <c r="A245" s="441">
        <v>3701</v>
      </c>
      <c r="B245" s="30" t="s">
        <v>124</v>
      </c>
      <c r="C245" s="30" t="s">
        <v>124</v>
      </c>
      <c r="D245" s="30" t="s">
        <v>124</v>
      </c>
      <c r="E245" s="30" t="s">
        <v>124</v>
      </c>
      <c r="F245" s="31" t="s">
        <v>125</v>
      </c>
      <c r="G245" s="4"/>
      <c r="H245" s="412" t="s">
        <v>28</v>
      </c>
      <c r="I245" s="7"/>
      <c r="J245" s="32" t="s">
        <v>28</v>
      </c>
    </row>
    <row r="246" spans="1:10" x14ac:dyDescent="0.2">
      <c r="A246" s="440"/>
      <c r="B246" s="34">
        <v>7.75</v>
      </c>
      <c r="C246" s="34">
        <v>7.75</v>
      </c>
      <c r="D246" s="34">
        <v>7.75</v>
      </c>
      <c r="E246" s="34">
        <v>7.75</v>
      </c>
      <c r="F246" s="139">
        <v>6</v>
      </c>
      <c r="G246" s="17"/>
      <c r="H246" s="262" t="s">
        <v>28</v>
      </c>
      <c r="I246" s="34">
        <f>SUM(B246:H246)</f>
        <v>37</v>
      </c>
      <c r="J246" s="37"/>
    </row>
    <row r="247" spans="1:10" x14ac:dyDescent="0.2">
      <c r="A247" s="441">
        <v>3701</v>
      </c>
      <c r="B247" s="30" t="s">
        <v>124</v>
      </c>
      <c r="C247" s="30" t="s">
        <v>124</v>
      </c>
      <c r="D247" s="30" t="s">
        <v>124</v>
      </c>
      <c r="E247" s="30" t="s">
        <v>124</v>
      </c>
      <c r="F247" s="31" t="s">
        <v>125</v>
      </c>
      <c r="G247" s="4"/>
      <c r="H247" s="412" t="s">
        <v>28</v>
      </c>
      <c r="I247" s="7"/>
      <c r="J247" s="32" t="s">
        <v>28</v>
      </c>
    </row>
    <row r="248" spans="1:10" x14ac:dyDescent="0.2">
      <c r="A248" s="440" t="s">
        <v>435</v>
      </c>
      <c r="B248" s="34">
        <v>7.75</v>
      </c>
      <c r="C248" s="34">
        <v>7.75</v>
      </c>
      <c r="D248" s="34">
        <v>7.75</v>
      </c>
      <c r="E248" s="34">
        <v>7.75</v>
      </c>
      <c r="F248" s="139">
        <v>6</v>
      </c>
      <c r="G248" s="17"/>
      <c r="H248" s="262" t="s">
        <v>28</v>
      </c>
      <c r="I248" s="34">
        <f>SUM(B248:H248)</f>
        <v>37</v>
      </c>
      <c r="J248" s="37"/>
    </row>
    <row r="249" spans="1:10" x14ac:dyDescent="0.2">
      <c r="A249" s="441">
        <v>3701</v>
      </c>
      <c r="B249" s="30" t="s">
        <v>124</v>
      </c>
      <c r="C249" s="30" t="s">
        <v>124</v>
      </c>
      <c r="D249" s="30" t="s">
        <v>124</v>
      </c>
      <c r="E249" s="30" t="s">
        <v>124</v>
      </c>
      <c r="F249" s="31" t="s">
        <v>125</v>
      </c>
      <c r="G249" s="4"/>
      <c r="H249" s="412" t="s">
        <v>28</v>
      </c>
      <c r="I249" s="7"/>
      <c r="J249" s="32" t="s">
        <v>28</v>
      </c>
    </row>
    <row r="250" spans="1:10" x14ac:dyDescent="0.2">
      <c r="A250" s="440" t="s">
        <v>436</v>
      </c>
      <c r="B250" s="34">
        <v>7.75</v>
      </c>
      <c r="C250" s="34">
        <v>7.75</v>
      </c>
      <c r="D250" s="34">
        <v>7.75</v>
      </c>
      <c r="E250" s="34">
        <v>7.75</v>
      </c>
      <c r="F250" s="139">
        <v>6</v>
      </c>
      <c r="G250" s="17"/>
      <c r="H250" s="262" t="s">
        <v>28</v>
      </c>
      <c r="I250" s="34">
        <f>SUM(B250:H250)</f>
        <v>37</v>
      </c>
      <c r="J250" s="37"/>
    </row>
    <row r="251" spans="1:10" x14ac:dyDescent="0.2">
      <c r="A251" s="441">
        <v>3701</v>
      </c>
      <c r="B251" s="30" t="s">
        <v>124</v>
      </c>
      <c r="C251" s="30" t="s">
        <v>124</v>
      </c>
      <c r="D251" s="30" t="s">
        <v>124</v>
      </c>
      <c r="E251" s="30" t="s">
        <v>124</v>
      </c>
      <c r="F251" s="31" t="s">
        <v>125</v>
      </c>
      <c r="G251" s="4"/>
      <c r="H251" s="412" t="s">
        <v>28</v>
      </c>
      <c r="I251" s="7"/>
      <c r="J251" s="32" t="s">
        <v>28</v>
      </c>
    </row>
    <row r="252" spans="1:10" x14ac:dyDescent="0.2">
      <c r="A252" s="440" t="s">
        <v>437</v>
      </c>
      <c r="B252" s="34">
        <v>7.75</v>
      </c>
      <c r="C252" s="34">
        <v>7.75</v>
      </c>
      <c r="D252" s="34">
        <v>7.75</v>
      </c>
      <c r="E252" s="34">
        <v>7.75</v>
      </c>
      <c r="F252" s="139">
        <v>6</v>
      </c>
      <c r="G252" s="17"/>
      <c r="H252" s="262" t="s">
        <v>28</v>
      </c>
      <c r="I252" s="34">
        <f>SUM(B252:H252)</f>
        <v>37</v>
      </c>
      <c r="J252" s="37"/>
    </row>
    <row r="253" spans="1:10" x14ac:dyDescent="0.2">
      <c r="A253" s="441">
        <v>3701</v>
      </c>
      <c r="B253" s="30" t="s">
        <v>124</v>
      </c>
      <c r="C253" s="30" t="s">
        <v>124</v>
      </c>
      <c r="D253" s="30" t="s">
        <v>124</v>
      </c>
      <c r="E253" s="30" t="s">
        <v>124</v>
      </c>
      <c r="F253" s="31" t="s">
        <v>125</v>
      </c>
      <c r="G253" s="4"/>
      <c r="H253" s="412" t="s">
        <v>28</v>
      </c>
      <c r="I253" s="7"/>
      <c r="J253" s="32" t="s">
        <v>28</v>
      </c>
    </row>
    <row r="254" spans="1:10" x14ac:dyDescent="0.2">
      <c r="A254" s="440" t="s">
        <v>438</v>
      </c>
      <c r="B254" s="34">
        <v>7.75</v>
      </c>
      <c r="C254" s="34">
        <v>7.75</v>
      </c>
      <c r="D254" s="34">
        <v>7.75</v>
      </c>
      <c r="E254" s="34">
        <v>7.75</v>
      </c>
      <c r="F254" s="139">
        <v>6</v>
      </c>
      <c r="G254" s="17"/>
      <c r="H254" s="262" t="s">
        <v>28</v>
      </c>
      <c r="I254" s="34">
        <f>SUM(B254:H254)</f>
        <v>37</v>
      </c>
      <c r="J254" s="37"/>
    </row>
    <row r="255" spans="1:10" x14ac:dyDescent="0.2">
      <c r="A255" s="441">
        <v>3701</v>
      </c>
      <c r="B255" s="30" t="s">
        <v>124</v>
      </c>
      <c r="C255" s="30" t="s">
        <v>124</v>
      </c>
      <c r="D255" s="30" t="s">
        <v>124</v>
      </c>
      <c r="E255" s="30" t="s">
        <v>124</v>
      </c>
      <c r="F255" s="31" t="s">
        <v>125</v>
      </c>
      <c r="G255" s="4"/>
      <c r="H255" s="412" t="s">
        <v>28</v>
      </c>
      <c r="I255" s="7"/>
      <c r="J255" s="32" t="s">
        <v>28</v>
      </c>
    </row>
    <row r="256" spans="1:10" x14ac:dyDescent="0.2">
      <c r="A256" s="440" t="s">
        <v>439</v>
      </c>
      <c r="B256" s="34">
        <v>7.75</v>
      </c>
      <c r="C256" s="34">
        <v>7.75</v>
      </c>
      <c r="D256" s="34">
        <v>7.75</v>
      </c>
      <c r="E256" s="34">
        <v>7.75</v>
      </c>
      <c r="F256" s="139">
        <v>6</v>
      </c>
      <c r="G256" s="17"/>
      <c r="H256" s="262" t="s">
        <v>28</v>
      </c>
      <c r="I256" s="34">
        <f>SUM(B256:H256)</f>
        <v>37</v>
      </c>
      <c r="J256" s="37"/>
    </row>
    <row r="257" spans="1:10" x14ac:dyDescent="0.2">
      <c r="A257" s="441">
        <v>3701</v>
      </c>
      <c r="B257" s="30" t="s">
        <v>124</v>
      </c>
      <c r="C257" s="30" t="s">
        <v>124</v>
      </c>
      <c r="D257" s="30" t="s">
        <v>124</v>
      </c>
      <c r="E257" s="30" t="s">
        <v>124</v>
      </c>
      <c r="F257" s="31" t="s">
        <v>125</v>
      </c>
      <c r="G257" s="4"/>
      <c r="H257" s="412" t="s">
        <v>28</v>
      </c>
      <c r="I257" s="7"/>
      <c r="J257" s="32" t="s">
        <v>28</v>
      </c>
    </row>
    <row r="258" spans="1:10" x14ac:dyDescent="0.2">
      <c r="A258" s="440" t="s">
        <v>440</v>
      </c>
      <c r="B258" s="34">
        <v>7.75</v>
      </c>
      <c r="C258" s="34">
        <v>7.75</v>
      </c>
      <c r="D258" s="34">
        <v>7.75</v>
      </c>
      <c r="E258" s="34">
        <v>7.75</v>
      </c>
      <c r="F258" s="139">
        <v>6</v>
      </c>
      <c r="G258" s="17"/>
      <c r="H258" s="262" t="s">
        <v>28</v>
      </c>
      <c r="I258" s="34">
        <f>SUM(B258:H258)</f>
        <v>37</v>
      </c>
      <c r="J258" s="37"/>
    </row>
    <row r="259" spans="1:10" x14ac:dyDescent="0.2">
      <c r="A259" s="441">
        <v>3701</v>
      </c>
      <c r="B259" s="30" t="s">
        <v>124</v>
      </c>
      <c r="C259" s="30" t="s">
        <v>124</v>
      </c>
      <c r="D259" s="30" t="s">
        <v>124</v>
      </c>
      <c r="E259" s="30" t="s">
        <v>124</v>
      </c>
      <c r="F259" s="31" t="s">
        <v>125</v>
      </c>
      <c r="G259" s="4"/>
      <c r="H259" s="412" t="s">
        <v>28</v>
      </c>
      <c r="I259" s="7"/>
      <c r="J259" s="32" t="s">
        <v>28</v>
      </c>
    </row>
    <row r="260" spans="1:10" x14ac:dyDescent="0.2">
      <c r="A260" s="440" t="s">
        <v>441</v>
      </c>
      <c r="B260" s="34">
        <v>7.75</v>
      </c>
      <c r="C260" s="34">
        <v>7.75</v>
      </c>
      <c r="D260" s="34">
        <v>7.75</v>
      </c>
      <c r="E260" s="34">
        <v>7.75</v>
      </c>
      <c r="F260" s="139">
        <v>6</v>
      </c>
      <c r="G260" s="17"/>
      <c r="H260" s="262" t="s">
        <v>28</v>
      </c>
      <c r="I260" s="34">
        <f>SUM(B260:H260)</f>
        <v>37</v>
      </c>
      <c r="J260" s="37"/>
    </row>
    <row r="261" spans="1:10" x14ac:dyDescent="0.2">
      <c r="A261" s="441">
        <v>3701</v>
      </c>
      <c r="B261" s="30" t="s">
        <v>124</v>
      </c>
      <c r="C261" s="30" t="s">
        <v>124</v>
      </c>
      <c r="D261" s="30" t="s">
        <v>124</v>
      </c>
      <c r="E261" s="30" t="s">
        <v>124</v>
      </c>
      <c r="F261" s="31" t="s">
        <v>125</v>
      </c>
      <c r="G261" s="4"/>
      <c r="H261" s="412" t="s">
        <v>28</v>
      </c>
      <c r="I261" s="7"/>
      <c r="J261" s="32" t="s">
        <v>28</v>
      </c>
    </row>
    <row r="262" spans="1:10" x14ac:dyDescent="0.2">
      <c r="A262" s="440"/>
      <c r="B262" s="34"/>
      <c r="C262" s="34"/>
      <c r="D262" s="34"/>
      <c r="E262" s="34"/>
      <c r="F262" s="139"/>
      <c r="G262" s="17"/>
      <c r="H262" s="262" t="s">
        <v>28</v>
      </c>
      <c r="I262" s="34">
        <f>SUM(B262:H262)</f>
        <v>0</v>
      </c>
      <c r="J262" s="37"/>
    </row>
    <row r="263" spans="1:10" x14ac:dyDescent="0.2">
      <c r="A263" s="441">
        <v>3701</v>
      </c>
      <c r="B263" s="30" t="s">
        <v>11</v>
      </c>
      <c r="C263" s="30" t="s">
        <v>11</v>
      </c>
      <c r="D263" s="30" t="s">
        <v>11</v>
      </c>
      <c r="E263" s="30" t="s">
        <v>11</v>
      </c>
      <c r="F263" s="31" t="s">
        <v>12</v>
      </c>
      <c r="G263" s="4"/>
      <c r="H263" s="412" t="s">
        <v>28</v>
      </c>
      <c r="I263" s="7"/>
      <c r="J263" s="32" t="s">
        <v>28</v>
      </c>
    </row>
    <row r="264" spans="1:10" x14ac:dyDescent="0.2">
      <c r="A264" s="440"/>
      <c r="B264" s="34"/>
      <c r="C264" s="34"/>
      <c r="D264" s="34"/>
      <c r="E264" s="34"/>
      <c r="F264" s="139"/>
      <c r="G264" s="17"/>
      <c r="H264" s="262" t="s">
        <v>28</v>
      </c>
      <c r="I264" s="34">
        <f>SUM(B264:H264)</f>
        <v>0</v>
      </c>
      <c r="J264" s="37"/>
    </row>
    <row r="265" spans="1:10" x14ac:dyDescent="0.2">
      <c r="A265" s="58" t="s">
        <v>30</v>
      </c>
      <c r="B265" s="58">
        <f t="shared" ref="B265:H265" si="12">SUM(B254,B256,B258,B260,B262,B264)</f>
        <v>31</v>
      </c>
      <c r="C265" s="58">
        <f t="shared" si="12"/>
        <v>31</v>
      </c>
      <c r="D265" s="58">
        <f t="shared" si="12"/>
        <v>31</v>
      </c>
      <c r="E265" s="58">
        <f t="shared" si="12"/>
        <v>31</v>
      </c>
      <c r="F265" s="58">
        <f t="shared" si="12"/>
        <v>24</v>
      </c>
      <c r="G265" s="58">
        <f t="shared" si="12"/>
        <v>0</v>
      </c>
      <c r="H265" s="58">
        <f t="shared" si="12"/>
        <v>0</v>
      </c>
      <c r="I265" s="70">
        <f>SUM(I236,I238,I240,I242,I244,I246,I248,I250,I252,I254,I256,I258,I260,I262,I264)</f>
        <v>444</v>
      </c>
      <c r="J265" s="71"/>
    </row>
    <row r="266" spans="1:10" x14ac:dyDescent="0.2">
      <c r="A266" s="311"/>
      <c r="B266" s="72"/>
      <c r="C266" s="72"/>
      <c r="D266" s="72"/>
      <c r="E266" s="72"/>
      <c r="F266" s="138"/>
      <c r="G266" s="203" t="s">
        <v>152</v>
      </c>
      <c r="H266" s="203" t="s">
        <v>153</v>
      </c>
      <c r="I266" s="203" t="s">
        <v>154</v>
      </c>
      <c r="J266" s="73"/>
    </row>
    <row r="267" spans="1:10" x14ac:dyDescent="0.2">
      <c r="A267" s="311"/>
      <c r="B267" s="72"/>
      <c r="C267" s="72"/>
      <c r="D267" s="72"/>
      <c r="E267" s="72"/>
      <c r="F267" s="138"/>
      <c r="G267" s="1786">
        <f>I265</f>
        <v>444</v>
      </c>
      <c r="H267" s="168">
        <f>SUM(G267*13/3)</f>
        <v>1924</v>
      </c>
      <c r="I267" s="1786">
        <f>SUM(H267*12)</f>
        <v>23088</v>
      </c>
      <c r="J267" s="73"/>
    </row>
  </sheetData>
  <sheetProtection selectLockedCells="1" selectUnlockedCells="1"/>
  <phoneticPr fontId="7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AL238"/>
  <sheetViews>
    <sheetView topLeftCell="A33" zoomScale="67" zoomScaleNormal="67" workbookViewId="0">
      <selection activeCell="AM96" sqref="AM96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497">
        <v>1</v>
      </c>
      <c r="D10" s="177">
        <v>2</v>
      </c>
      <c r="E10" s="177">
        <v>3</v>
      </c>
      <c r="F10" s="177">
        <v>4</v>
      </c>
      <c r="G10" s="177">
        <v>5</v>
      </c>
      <c r="H10" s="177">
        <v>6</v>
      </c>
      <c r="I10" s="498">
        <v>7</v>
      </c>
      <c r="J10" s="498">
        <v>8</v>
      </c>
      <c r="K10" s="177">
        <v>9</v>
      </c>
      <c r="L10" s="177">
        <v>10</v>
      </c>
      <c r="M10" s="177">
        <v>11</v>
      </c>
      <c r="N10" s="177">
        <v>12</v>
      </c>
      <c r="O10" s="177">
        <v>13</v>
      </c>
      <c r="P10" s="498">
        <v>14</v>
      </c>
      <c r="Q10" s="498">
        <v>15</v>
      </c>
      <c r="R10" s="177">
        <v>16</v>
      </c>
      <c r="S10" s="177">
        <v>17</v>
      </c>
      <c r="T10" s="177">
        <v>18</v>
      </c>
      <c r="U10" s="177">
        <v>19</v>
      </c>
      <c r="V10" s="498">
        <v>20</v>
      </c>
      <c r="W10" s="498">
        <v>21</v>
      </c>
      <c r="X10" s="498">
        <v>22</v>
      </c>
      <c r="Y10" s="177">
        <v>23</v>
      </c>
      <c r="Z10" s="177">
        <v>24</v>
      </c>
      <c r="AA10" s="177">
        <v>25</v>
      </c>
      <c r="AB10" s="177">
        <v>26</v>
      </c>
      <c r="AC10" s="177">
        <v>27</v>
      </c>
      <c r="AD10" s="498">
        <v>28</v>
      </c>
      <c r="AE10" s="498">
        <v>29</v>
      </c>
      <c r="AF10" s="177">
        <v>30</v>
      </c>
      <c r="AG10" s="177">
        <v>31</v>
      </c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x14ac:dyDescent="0.2">
      <c r="A13" s="512">
        <v>8546</v>
      </c>
      <c r="B13" s="513" t="s">
        <v>473</v>
      </c>
      <c r="C13" s="514" t="s">
        <v>474</v>
      </c>
      <c r="D13" s="514" t="s">
        <v>475</v>
      </c>
      <c r="E13" s="514" t="s">
        <v>475</v>
      </c>
      <c r="F13" s="514" t="s">
        <v>475</v>
      </c>
      <c r="G13" s="514" t="s">
        <v>475</v>
      </c>
      <c r="H13" s="503" t="s">
        <v>475</v>
      </c>
      <c r="I13" s="514"/>
      <c r="J13" s="514"/>
      <c r="K13" s="514">
        <v>3</v>
      </c>
      <c r="L13" s="514">
        <v>3</v>
      </c>
      <c r="M13" s="514">
        <v>3</v>
      </c>
      <c r="N13" s="514">
        <v>3</v>
      </c>
      <c r="O13" s="514">
        <v>3</v>
      </c>
      <c r="P13" s="514"/>
      <c r="Q13" s="514"/>
      <c r="R13" s="514">
        <v>4</v>
      </c>
      <c r="S13" s="514">
        <v>4</v>
      </c>
      <c r="T13" s="514">
        <v>4</v>
      </c>
      <c r="U13" s="514">
        <v>4</v>
      </c>
      <c r="V13" s="514">
        <v>4</v>
      </c>
      <c r="W13" s="514" t="s">
        <v>476</v>
      </c>
      <c r="X13" s="514" t="s">
        <v>476</v>
      </c>
      <c r="Y13" s="514" t="s">
        <v>475</v>
      </c>
      <c r="Z13" s="514" t="s">
        <v>475</v>
      </c>
      <c r="AA13" s="514" t="s">
        <v>475</v>
      </c>
      <c r="AB13" s="514" t="s">
        <v>475</v>
      </c>
      <c r="AC13" s="514" t="s">
        <v>475</v>
      </c>
      <c r="AD13" s="514"/>
      <c r="AE13" s="514"/>
      <c r="AF13" s="514">
        <v>1</v>
      </c>
      <c r="AG13" s="515">
        <v>1</v>
      </c>
      <c r="AH13" s="516">
        <v>193</v>
      </c>
      <c r="AI13" s="517">
        <v>37</v>
      </c>
    </row>
    <row r="14" spans="1:35" ht="21.95" customHeight="1" x14ac:dyDescent="0.2">
      <c r="A14" s="501">
        <v>8546</v>
      </c>
      <c r="B14" s="346" t="s">
        <v>477</v>
      </c>
      <c r="C14" s="503"/>
      <c r="D14" s="503">
        <v>1</v>
      </c>
      <c r="E14" s="503">
        <v>1</v>
      </c>
      <c r="F14" s="503">
        <v>1</v>
      </c>
      <c r="G14" s="503">
        <v>1</v>
      </c>
      <c r="H14" s="503">
        <v>1</v>
      </c>
      <c r="I14" s="503"/>
      <c r="J14" s="503"/>
      <c r="K14" s="503">
        <v>2</v>
      </c>
      <c r="L14" s="503">
        <v>2</v>
      </c>
      <c r="M14" s="503">
        <v>2</v>
      </c>
      <c r="N14" s="503">
        <v>2</v>
      </c>
      <c r="O14" s="503">
        <v>2</v>
      </c>
      <c r="P14" s="503" t="s">
        <v>474</v>
      </c>
      <c r="Q14" s="503" t="s">
        <v>474</v>
      </c>
      <c r="R14" s="503" t="s">
        <v>475</v>
      </c>
      <c r="S14" s="503" t="s">
        <v>475</v>
      </c>
      <c r="T14" s="503" t="s">
        <v>475</v>
      </c>
      <c r="U14" s="503" t="s">
        <v>475</v>
      </c>
      <c r="V14" s="518" t="s">
        <v>475</v>
      </c>
      <c r="W14" s="518"/>
      <c r="X14" s="518"/>
      <c r="Y14" s="518">
        <v>3</v>
      </c>
      <c r="Z14" s="518">
        <v>3</v>
      </c>
      <c r="AA14" s="518">
        <v>3</v>
      </c>
      <c r="AB14" s="518">
        <v>3</v>
      </c>
      <c r="AC14" s="503">
        <v>3</v>
      </c>
      <c r="AD14" s="503"/>
      <c r="AE14" s="503"/>
      <c r="AF14" s="503">
        <v>4</v>
      </c>
      <c r="AG14" s="504">
        <v>4</v>
      </c>
      <c r="AH14" s="516">
        <v>185</v>
      </c>
      <c r="AI14" s="517">
        <v>37</v>
      </c>
    </row>
    <row r="15" spans="1:35" ht="21.95" customHeight="1" x14ac:dyDescent="0.2">
      <c r="A15" s="501">
        <v>8546</v>
      </c>
      <c r="B15" s="346" t="s">
        <v>174</v>
      </c>
      <c r="C15" s="503"/>
      <c r="D15" s="503">
        <v>2</v>
      </c>
      <c r="E15" s="503">
        <v>2</v>
      </c>
      <c r="F15" s="503">
        <v>2</v>
      </c>
      <c r="G15" s="503">
        <v>2</v>
      </c>
      <c r="H15" s="503">
        <v>2</v>
      </c>
      <c r="I15" s="503" t="s">
        <v>474</v>
      </c>
      <c r="J15" s="503" t="s">
        <v>474</v>
      </c>
      <c r="K15" s="503" t="s">
        <v>475</v>
      </c>
      <c r="L15" s="503" t="s">
        <v>475</v>
      </c>
      <c r="M15" s="503" t="s">
        <v>475</v>
      </c>
      <c r="N15" s="503" t="s">
        <v>475</v>
      </c>
      <c r="O15" s="503" t="s">
        <v>475</v>
      </c>
      <c r="P15" s="503"/>
      <c r="Q15" s="503"/>
      <c r="R15" s="503">
        <v>3</v>
      </c>
      <c r="S15" s="503">
        <v>3</v>
      </c>
      <c r="T15" s="1058">
        <v>3</v>
      </c>
      <c r="U15" s="1058">
        <v>3</v>
      </c>
      <c r="V15" s="503">
        <v>3</v>
      </c>
      <c r="W15" s="503"/>
      <c r="X15" s="503"/>
      <c r="Y15" s="503">
        <v>4</v>
      </c>
      <c r="Z15" s="503">
        <v>4</v>
      </c>
      <c r="AA15" s="503">
        <v>4</v>
      </c>
      <c r="AB15" s="503">
        <v>4</v>
      </c>
      <c r="AC15" s="503">
        <v>4</v>
      </c>
      <c r="AD15" s="503" t="s">
        <v>476</v>
      </c>
      <c r="AE15" s="503" t="s">
        <v>476</v>
      </c>
      <c r="AF15" s="503" t="s">
        <v>475</v>
      </c>
      <c r="AG15" s="504" t="s">
        <v>475</v>
      </c>
      <c r="AH15" s="516">
        <v>189</v>
      </c>
      <c r="AI15" s="517">
        <v>37</v>
      </c>
    </row>
    <row r="16" spans="1:35" ht="21.95" customHeight="1" x14ac:dyDescent="0.2">
      <c r="A16" s="501">
        <v>8546</v>
      </c>
      <c r="B16" s="346" t="s">
        <v>478</v>
      </c>
      <c r="C16" s="503"/>
      <c r="D16" s="503">
        <v>4</v>
      </c>
      <c r="E16" s="503">
        <v>4</v>
      </c>
      <c r="F16" s="503">
        <v>4</v>
      </c>
      <c r="G16" s="503">
        <v>4</v>
      </c>
      <c r="H16" s="503">
        <v>4</v>
      </c>
      <c r="I16" s="503" t="s">
        <v>476</v>
      </c>
      <c r="J16" s="503" t="s">
        <v>476</v>
      </c>
      <c r="K16" s="503" t="s">
        <v>475</v>
      </c>
      <c r="L16" s="503" t="s">
        <v>475</v>
      </c>
      <c r="M16" s="503" t="s">
        <v>475</v>
      </c>
      <c r="N16" s="503" t="s">
        <v>475</v>
      </c>
      <c r="O16" s="503" t="s">
        <v>475</v>
      </c>
      <c r="P16" s="503"/>
      <c r="Q16" s="503"/>
      <c r="R16" s="1058">
        <v>1</v>
      </c>
      <c r="S16" s="1058">
        <v>1</v>
      </c>
      <c r="T16" s="1058">
        <v>1</v>
      </c>
      <c r="U16" s="1058">
        <v>1</v>
      </c>
      <c r="V16" s="503">
        <v>1</v>
      </c>
      <c r="W16" s="503"/>
      <c r="X16" s="503"/>
      <c r="Y16" s="1058">
        <v>2</v>
      </c>
      <c r="Z16" s="1058">
        <v>2</v>
      </c>
      <c r="AA16" s="1058">
        <v>2</v>
      </c>
      <c r="AB16" s="1058">
        <v>2</v>
      </c>
      <c r="AC16" s="503">
        <v>2</v>
      </c>
      <c r="AD16" s="503" t="s">
        <v>474</v>
      </c>
      <c r="AE16" s="503" t="s">
        <v>474</v>
      </c>
      <c r="AF16" s="503" t="s">
        <v>475</v>
      </c>
      <c r="AG16" s="504" t="s">
        <v>475</v>
      </c>
      <c r="AH16" s="516">
        <v>185</v>
      </c>
      <c r="AI16" s="517">
        <v>37</v>
      </c>
    </row>
    <row r="17" spans="1:37" ht="21.95" customHeight="1" x14ac:dyDescent="0.2">
      <c r="A17" s="501">
        <v>8546</v>
      </c>
      <c r="B17" s="346" t="s">
        <v>479</v>
      </c>
      <c r="C17" s="503"/>
      <c r="D17" s="503">
        <v>3</v>
      </c>
      <c r="E17" s="503">
        <v>3</v>
      </c>
      <c r="F17" s="503">
        <v>3</v>
      </c>
      <c r="G17" s="503">
        <v>3</v>
      </c>
      <c r="H17" s="503">
        <v>3</v>
      </c>
      <c r="I17" s="503"/>
      <c r="J17" s="503"/>
      <c r="K17" s="503">
        <v>4</v>
      </c>
      <c r="L17" s="503">
        <v>4</v>
      </c>
      <c r="M17" s="503">
        <v>4</v>
      </c>
      <c r="N17" s="503">
        <v>4</v>
      </c>
      <c r="O17" s="503">
        <v>4</v>
      </c>
      <c r="P17" s="503" t="s">
        <v>476</v>
      </c>
      <c r="Q17" s="503" t="s">
        <v>476</v>
      </c>
      <c r="R17" s="503" t="s">
        <v>475</v>
      </c>
      <c r="S17" s="503" t="s">
        <v>475</v>
      </c>
      <c r="T17" s="503" t="s">
        <v>475</v>
      </c>
      <c r="U17" s="503" t="s">
        <v>475</v>
      </c>
      <c r="V17" s="503" t="s">
        <v>475</v>
      </c>
      <c r="W17" s="503"/>
      <c r="X17" s="503"/>
      <c r="Y17" s="503">
        <v>1</v>
      </c>
      <c r="Z17" s="503">
        <v>1</v>
      </c>
      <c r="AA17" s="503">
        <v>1</v>
      </c>
      <c r="AB17" s="503">
        <v>1</v>
      </c>
      <c r="AC17" s="503">
        <v>1</v>
      </c>
      <c r="AD17" s="503"/>
      <c r="AE17" s="503"/>
      <c r="AF17" s="1078">
        <v>2</v>
      </c>
      <c r="AG17" s="1079">
        <v>2</v>
      </c>
      <c r="AH17" s="516">
        <v>213</v>
      </c>
      <c r="AI17" s="517">
        <v>37</v>
      </c>
    </row>
    <row r="18" spans="1:37" ht="21.95" customHeight="1" x14ac:dyDescent="0.2">
      <c r="A18" s="501">
        <v>8546</v>
      </c>
      <c r="B18" s="346" t="s">
        <v>480</v>
      </c>
      <c r="C18" s="1059" t="s">
        <v>476</v>
      </c>
      <c r="D18" s="503" t="s">
        <v>475</v>
      </c>
      <c r="E18" s="503" t="s">
        <v>475</v>
      </c>
      <c r="F18" s="503" t="s">
        <v>475</v>
      </c>
      <c r="G18" s="503" t="s">
        <v>475</v>
      </c>
      <c r="H18" s="503" t="s">
        <v>475</v>
      </c>
      <c r="I18" s="503"/>
      <c r="J18" s="503"/>
      <c r="K18" s="503">
        <v>1</v>
      </c>
      <c r="L18" s="503">
        <v>1</v>
      </c>
      <c r="M18" s="503">
        <v>1</v>
      </c>
      <c r="N18" s="503">
        <v>1</v>
      </c>
      <c r="O18" s="503">
        <v>1</v>
      </c>
      <c r="P18" s="503"/>
      <c r="Q18" s="503"/>
      <c r="R18" s="503">
        <v>2</v>
      </c>
      <c r="S18" s="503">
        <v>2</v>
      </c>
      <c r="T18" s="503">
        <v>2</v>
      </c>
      <c r="U18" s="503">
        <v>2</v>
      </c>
      <c r="V18" s="503">
        <v>2</v>
      </c>
      <c r="W18" s="503" t="s">
        <v>474</v>
      </c>
      <c r="X18" s="503" t="s">
        <v>474</v>
      </c>
      <c r="Y18" s="503" t="s">
        <v>475</v>
      </c>
      <c r="Z18" s="503" t="s">
        <v>475</v>
      </c>
      <c r="AA18" s="503" t="s">
        <v>475</v>
      </c>
      <c r="AB18" s="503" t="s">
        <v>475</v>
      </c>
      <c r="AC18" s="503" t="s">
        <v>475</v>
      </c>
      <c r="AD18" s="503"/>
      <c r="AE18" s="503"/>
      <c r="AF18" s="503">
        <v>3</v>
      </c>
      <c r="AG18" s="504">
        <v>3</v>
      </c>
      <c r="AH18" s="516">
        <v>173</v>
      </c>
      <c r="AI18" s="517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10"/>
      <c r="AI19" s="511"/>
    </row>
    <row r="20" spans="1:37" ht="21.95" customHeight="1" x14ac:dyDescent="0.2">
      <c r="A20" s="501">
        <v>8500</v>
      </c>
      <c r="B20" s="185" t="s">
        <v>188</v>
      </c>
      <c r="C20" s="503"/>
      <c r="D20" s="1058" t="s">
        <v>482</v>
      </c>
      <c r="E20" s="1058" t="s">
        <v>482</v>
      </c>
      <c r="F20" s="1058" t="s">
        <v>482</v>
      </c>
      <c r="G20" s="1058" t="s">
        <v>482</v>
      </c>
      <c r="H20" s="1058" t="s">
        <v>482</v>
      </c>
      <c r="I20" s="503"/>
      <c r="J20" s="503"/>
      <c r="K20" s="503" t="s">
        <v>482</v>
      </c>
      <c r="L20" s="503" t="s">
        <v>482</v>
      </c>
      <c r="M20" s="503" t="s">
        <v>482</v>
      </c>
      <c r="N20" s="503" t="s">
        <v>482</v>
      </c>
      <c r="O20" s="503" t="s">
        <v>482</v>
      </c>
      <c r="P20" s="503"/>
      <c r="Q20" s="503"/>
      <c r="R20" s="503">
        <v>1</v>
      </c>
      <c r="S20" s="503">
        <v>1</v>
      </c>
      <c r="T20" s="503">
        <v>1</v>
      </c>
      <c r="U20" s="503">
        <v>1</v>
      </c>
      <c r="V20" s="503"/>
      <c r="W20" s="503"/>
      <c r="X20" s="503"/>
      <c r="Y20" s="1058" t="s">
        <v>482</v>
      </c>
      <c r="Z20" s="503">
        <v>4</v>
      </c>
      <c r="AA20" s="503">
        <v>2</v>
      </c>
      <c r="AB20" s="503">
        <v>2</v>
      </c>
      <c r="AC20" s="503" t="s">
        <v>482</v>
      </c>
      <c r="AD20" s="521"/>
      <c r="AE20" s="521"/>
      <c r="AF20" s="1058" t="s">
        <v>482</v>
      </c>
      <c r="AG20" s="1058" t="s">
        <v>482</v>
      </c>
      <c r="AH20" s="505">
        <v>199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03" t="s">
        <v>476</v>
      </c>
      <c r="D21" s="503" t="s">
        <v>475</v>
      </c>
      <c r="E21" s="503" t="s">
        <v>475</v>
      </c>
      <c r="F21" s="503" t="s">
        <v>475</v>
      </c>
      <c r="G21" s="503" t="s">
        <v>482</v>
      </c>
      <c r="H21" s="503" t="s">
        <v>482</v>
      </c>
      <c r="I21" s="503"/>
      <c r="J21" s="503"/>
      <c r="K21" s="503" t="s">
        <v>482</v>
      </c>
      <c r="L21" s="503" t="s">
        <v>482</v>
      </c>
      <c r="M21" s="1058" t="s">
        <v>482</v>
      </c>
      <c r="N21" s="1058" t="s">
        <v>482</v>
      </c>
      <c r="O21" s="1058" t="s">
        <v>482</v>
      </c>
      <c r="P21" s="503"/>
      <c r="Q21" s="503"/>
      <c r="R21" s="1058" t="s">
        <v>482</v>
      </c>
      <c r="S21" s="1058" t="s">
        <v>482</v>
      </c>
      <c r="T21" s="1100">
        <v>3</v>
      </c>
      <c r="U21" s="1100">
        <v>3</v>
      </c>
      <c r="V21" s="503"/>
      <c r="W21" s="503"/>
      <c r="X21" s="503"/>
      <c r="Y21" s="503">
        <v>2</v>
      </c>
      <c r="Z21" s="503">
        <v>2</v>
      </c>
      <c r="AA21" s="503" t="s">
        <v>482</v>
      </c>
      <c r="AB21" s="503" t="s">
        <v>484</v>
      </c>
      <c r="AC21" s="1058" t="s">
        <v>482</v>
      </c>
      <c r="AD21" s="503"/>
      <c r="AE21" s="503"/>
      <c r="AF21" s="503">
        <v>2</v>
      </c>
      <c r="AG21" s="503">
        <v>2</v>
      </c>
      <c r="AH21" s="505">
        <v>185</v>
      </c>
      <c r="AI21" s="506">
        <v>37</v>
      </c>
    </row>
    <row r="22" spans="1:37" ht="21.95" customHeight="1" x14ac:dyDescent="0.2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>
        <v>185</v>
      </c>
      <c r="AI22" s="523">
        <v>37</v>
      </c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528" t="s">
        <v>488</v>
      </c>
      <c r="N31" s="527"/>
      <c r="O31" s="527"/>
      <c r="P31" s="527"/>
      <c r="Q31" s="527"/>
      <c r="R31" s="527"/>
      <c r="S31" s="529"/>
      <c r="T31" s="529" t="s">
        <v>489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8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8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8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8" ht="21.95" customHeight="1" x14ac:dyDescent="0.2">
      <c r="A36" s="547" t="s">
        <v>468</v>
      </c>
      <c r="B36" s="181" t="s">
        <v>469</v>
      </c>
      <c r="C36" s="497">
        <v>1</v>
      </c>
      <c r="D36" s="177">
        <v>2</v>
      </c>
      <c r="E36" s="177">
        <v>3</v>
      </c>
      <c r="F36" s="177">
        <v>4</v>
      </c>
      <c r="G36" s="177">
        <v>5</v>
      </c>
      <c r="H36" s="177">
        <v>6</v>
      </c>
      <c r="I36" s="498">
        <v>7</v>
      </c>
      <c r="J36" s="498">
        <v>8</v>
      </c>
      <c r="K36" s="177">
        <v>9</v>
      </c>
      <c r="L36" s="177">
        <v>10</v>
      </c>
      <c r="M36" s="177">
        <v>11</v>
      </c>
      <c r="N36" s="177">
        <v>12</v>
      </c>
      <c r="O36" s="177">
        <v>13</v>
      </c>
      <c r="P36" s="498">
        <v>14</v>
      </c>
      <c r="Q36" s="498">
        <v>15</v>
      </c>
      <c r="R36" s="177">
        <v>16</v>
      </c>
      <c r="S36" s="177">
        <v>17</v>
      </c>
      <c r="T36" s="177">
        <v>18</v>
      </c>
      <c r="U36" s="177">
        <v>19</v>
      </c>
      <c r="V36" s="498">
        <v>20</v>
      </c>
      <c r="W36" s="498">
        <v>21</v>
      </c>
      <c r="X36" s="498">
        <v>22</v>
      </c>
      <c r="Y36" s="177">
        <v>23</v>
      </c>
      <c r="Z36" s="177">
        <v>24</v>
      </c>
      <c r="AA36" s="177">
        <v>25</v>
      </c>
      <c r="AB36" s="177">
        <v>26</v>
      </c>
      <c r="AC36" s="177">
        <v>27</v>
      </c>
      <c r="AD36" s="498">
        <v>28</v>
      </c>
      <c r="AE36" s="498">
        <v>29</v>
      </c>
      <c r="AF36" s="177">
        <v>30</v>
      </c>
      <c r="AG36" s="177">
        <v>31</v>
      </c>
      <c r="AH36" s="499" t="s">
        <v>470</v>
      </c>
      <c r="AI36" s="500" t="s">
        <v>471</v>
      </c>
      <c r="AL36" t="s">
        <v>28</v>
      </c>
    </row>
    <row r="37" spans="1:38" ht="21.95" customHeight="1" x14ac:dyDescent="0.2">
      <c r="A37" s="548">
        <v>1</v>
      </c>
      <c r="B37" s="45" t="s">
        <v>502</v>
      </c>
      <c r="C37" s="549" t="s">
        <v>503</v>
      </c>
      <c r="D37" s="549" t="s">
        <v>475</v>
      </c>
      <c r="E37" s="549" t="s">
        <v>475</v>
      </c>
      <c r="F37" s="549" t="s">
        <v>475</v>
      </c>
      <c r="G37" s="549" t="s">
        <v>475</v>
      </c>
      <c r="H37" s="549" t="s">
        <v>475</v>
      </c>
      <c r="I37" s="549"/>
      <c r="J37" s="549"/>
      <c r="K37" s="549">
        <v>8</v>
      </c>
      <c r="L37" s="549">
        <v>5</v>
      </c>
      <c r="M37" s="549">
        <v>5</v>
      </c>
      <c r="N37" s="549">
        <v>5</v>
      </c>
      <c r="O37" s="549">
        <v>5</v>
      </c>
      <c r="P37" s="549" t="s">
        <v>504</v>
      </c>
      <c r="Q37" s="549" t="s">
        <v>505</v>
      </c>
      <c r="R37" s="549" t="s">
        <v>475</v>
      </c>
      <c r="S37" s="549" t="s">
        <v>475</v>
      </c>
      <c r="T37" s="549" t="s">
        <v>475</v>
      </c>
      <c r="U37" s="549" t="s">
        <v>475</v>
      </c>
      <c r="V37" s="549" t="s">
        <v>475</v>
      </c>
      <c r="W37" s="549"/>
      <c r="X37" s="549"/>
      <c r="Y37" s="549">
        <v>1</v>
      </c>
      <c r="Z37" s="549">
        <v>1</v>
      </c>
      <c r="AA37" s="549">
        <v>1</v>
      </c>
      <c r="AB37" s="549">
        <v>1</v>
      </c>
      <c r="AC37" s="549">
        <v>1</v>
      </c>
      <c r="AD37" s="549"/>
      <c r="AE37" s="549"/>
      <c r="AF37" s="549">
        <v>9</v>
      </c>
      <c r="AG37" s="550">
        <v>9</v>
      </c>
      <c r="AH37" s="505">
        <v>185</v>
      </c>
      <c r="AI37" s="506">
        <v>37</v>
      </c>
    </row>
    <row r="38" spans="1:38" ht="21.95" customHeight="1" x14ac:dyDescent="0.2">
      <c r="A38" s="551">
        <v>6</v>
      </c>
      <c r="B38" s="552" t="s">
        <v>506</v>
      </c>
      <c r="C38" s="553" t="s">
        <v>507</v>
      </c>
      <c r="D38" s="553" t="s">
        <v>475</v>
      </c>
      <c r="E38" s="553" t="s">
        <v>475</v>
      </c>
      <c r="F38" s="553" t="s">
        <v>475</v>
      </c>
      <c r="G38" s="553" t="s">
        <v>475</v>
      </c>
      <c r="H38" s="553" t="s">
        <v>475</v>
      </c>
      <c r="I38" s="553"/>
      <c r="J38" s="553"/>
      <c r="K38" s="553">
        <v>6</v>
      </c>
      <c r="L38" s="553">
        <v>6</v>
      </c>
      <c r="M38" s="553">
        <v>6</v>
      </c>
      <c r="N38" s="553">
        <v>6</v>
      </c>
      <c r="O38" s="553">
        <v>6</v>
      </c>
      <c r="P38" s="553" t="s">
        <v>508</v>
      </c>
      <c r="Q38" s="553" t="s">
        <v>504</v>
      </c>
      <c r="R38" s="553" t="s">
        <v>475</v>
      </c>
      <c r="S38" s="553" t="s">
        <v>475</v>
      </c>
      <c r="T38" s="553" t="s">
        <v>475</v>
      </c>
      <c r="U38" s="553" t="s">
        <v>475</v>
      </c>
      <c r="V38" s="553" t="s">
        <v>475</v>
      </c>
      <c r="W38" s="553"/>
      <c r="X38" s="553"/>
      <c r="Y38" s="553">
        <v>4</v>
      </c>
      <c r="Z38" s="553">
        <v>3</v>
      </c>
      <c r="AA38" s="553">
        <v>3</v>
      </c>
      <c r="AB38" s="553">
        <v>3</v>
      </c>
      <c r="AC38" s="553">
        <v>3</v>
      </c>
      <c r="AD38" s="553"/>
      <c r="AE38" s="553"/>
      <c r="AF38" s="553">
        <v>10</v>
      </c>
      <c r="AG38" s="554">
        <v>10</v>
      </c>
      <c r="AH38" s="505">
        <v>185</v>
      </c>
      <c r="AI38" s="506">
        <v>37</v>
      </c>
    </row>
    <row r="39" spans="1:38" ht="21.95" customHeight="1" x14ac:dyDescent="0.2">
      <c r="A39" s="555">
        <v>11</v>
      </c>
      <c r="B39" s="556" t="s">
        <v>509</v>
      </c>
      <c r="C39" s="557" t="s">
        <v>507</v>
      </c>
      <c r="D39" s="557" t="s">
        <v>475</v>
      </c>
      <c r="E39" s="557" t="s">
        <v>475</v>
      </c>
      <c r="F39" s="557" t="s">
        <v>475</v>
      </c>
      <c r="G39" s="557" t="s">
        <v>475</v>
      </c>
      <c r="H39" s="557" t="s">
        <v>475</v>
      </c>
      <c r="I39" s="1061" t="s">
        <v>505</v>
      </c>
      <c r="J39" s="557" t="s">
        <v>505</v>
      </c>
      <c r="K39" s="557">
        <v>7</v>
      </c>
      <c r="L39" s="557">
        <v>7</v>
      </c>
      <c r="M39" s="557">
        <v>7</v>
      </c>
      <c r="N39" s="557">
        <v>7</v>
      </c>
      <c r="O39" s="1061">
        <v>7</v>
      </c>
      <c r="P39" s="557"/>
      <c r="Q39" s="557"/>
      <c r="R39" s="1061">
        <v>4</v>
      </c>
      <c r="S39" s="1061">
        <v>4</v>
      </c>
      <c r="T39" s="1061">
        <v>4</v>
      </c>
      <c r="U39" s="1061">
        <v>4</v>
      </c>
      <c r="V39" s="1061">
        <v>4</v>
      </c>
      <c r="W39" s="557"/>
      <c r="X39" s="557"/>
      <c r="Y39" s="1061">
        <v>3</v>
      </c>
      <c r="Z39" s="1061">
        <v>3</v>
      </c>
      <c r="AA39" s="1061">
        <v>3</v>
      </c>
      <c r="AB39" s="1061">
        <v>3</v>
      </c>
      <c r="AC39" s="1061">
        <v>3</v>
      </c>
      <c r="AD39" s="557"/>
      <c r="AE39" s="557"/>
      <c r="AF39" s="557">
        <v>11</v>
      </c>
      <c r="AG39" s="558">
        <v>11</v>
      </c>
      <c r="AH39" s="505">
        <v>108</v>
      </c>
      <c r="AI39" s="506">
        <v>37</v>
      </c>
    </row>
    <row r="40" spans="1:38" ht="21.95" customHeight="1" x14ac:dyDescent="0.2">
      <c r="A40" s="548">
        <v>2</v>
      </c>
      <c r="B40" s="45" t="s">
        <v>510</v>
      </c>
      <c r="C40" s="549"/>
      <c r="D40" s="549">
        <v>8</v>
      </c>
      <c r="E40" s="549">
        <v>8</v>
      </c>
      <c r="F40" s="559">
        <v>8</v>
      </c>
      <c r="G40" s="559">
        <v>8</v>
      </c>
      <c r="H40" s="1071">
        <v>8</v>
      </c>
      <c r="I40" s="1071" t="s">
        <v>504</v>
      </c>
      <c r="J40" s="1071" t="s">
        <v>504</v>
      </c>
      <c r="K40" s="549" t="s">
        <v>475</v>
      </c>
      <c r="L40" s="549" t="s">
        <v>475</v>
      </c>
      <c r="M40" s="549" t="s">
        <v>475</v>
      </c>
      <c r="N40" s="549" t="s">
        <v>475</v>
      </c>
      <c r="O40" s="549" t="s">
        <v>475</v>
      </c>
      <c r="P40" s="549"/>
      <c r="Q40" s="549"/>
      <c r="R40" s="549">
        <v>1</v>
      </c>
      <c r="S40" s="549">
        <v>1</v>
      </c>
      <c r="T40" s="559">
        <v>1</v>
      </c>
      <c r="U40" s="559">
        <v>1</v>
      </c>
      <c r="V40" s="549">
        <v>1</v>
      </c>
      <c r="W40" s="549"/>
      <c r="X40" s="549"/>
      <c r="Y40" s="549">
        <v>9</v>
      </c>
      <c r="Z40" s="549">
        <v>9</v>
      </c>
      <c r="AA40" s="549">
        <v>9</v>
      </c>
      <c r="AB40" s="549">
        <v>9</v>
      </c>
      <c r="AC40" s="549">
        <v>9</v>
      </c>
      <c r="AD40" s="549" t="s">
        <v>511</v>
      </c>
      <c r="AE40" s="549" t="s">
        <v>507</v>
      </c>
      <c r="AF40" s="549" t="s">
        <v>475</v>
      </c>
      <c r="AG40" s="549" t="s">
        <v>475</v>
      </c>
      <c r="AH40" s="505">
        <v>195</v>
      </c>
      <c r="AI40" s="506">
        <v>37</v>
      </c>
    </row>
    <row r="41" spans="1:38" ht="21.95" customHeight="1" x14ac:dyDescent="0.2">
      <c r="A41" s="551">
        <v>7</v>
      </c>
      <c r="B41" s="152" t="s">
        <v>512</v>
      </c>
      <c r="C41" s="553"/>
      <c r="D41" s="553">
        <v>6</v>
      </c>
      <c r="E41" s="553">
        <v>6</v>
      </c>
      <c r="F41" s="553">
        <v>6</v>
      </c>
      <c r="G41" s="553">
        <v>6</v>
      </c>
      <c r="H41" s="553">
        <v>6</v>
      </c>
      <c r="I41" s="553" t="s">
        <v>508</v>
      </c>
      <c r="J41" s="553" t="s">
        <v>504</v>
      </c>
      <c r="K41" s="553" t="s">
        <v>475</v>
      </c>
      <c r="L41" s="553" t="s">
        <v>475</v>
      </c>
      <c r="M41" s="553" t="s">
        <v>475</v>
      </c>
      <c r="N41" s="553" t="s">
        <v>475</v>
      </c>
      <c r="O41" s="553" t="s">
        <v>475</v>
      </c>
      <c r="P41" s="553"/>
      <c r="Q41" s="553"/>
      <c r="R41" s="1082" t="s">
        <v>513</v>
      </c>
      <c r="S41" s="1082" t="s">
        <v>513</v>
      </c>
      <c r="T41" s="1082">
        <v>3</v>
      </c>
      <c r="U41" s="1082">
        <v>3</v>
      </c>
      <c r="V41" s="553">
        <v>5</v>
      </c>
      <c r="W41" s="553"/>
      <c r="X41" s="553"/>
      <c r="Y41" s="553">
        <v>10</v>
      </c>
      <c r="Z41" s="553">
        <v>10</v>
      </c>
      <c r="AA41" s="553">
        <v>10</v>
      </c>
      <c r="AB41" s="553">
        <v>10</v>
      </c>
      <c r="AC41" s="553">
        <v>10</v>
      </c>
      <c r="AD41" s="553" t="s">
        <v>507</v>
      </c>
      <c r="AE41" s="553" t="s">
        <v>507</v>
      </c>
      <c r="AF41" s="553" t="s">
        <v>475</v>
      </c>
      <c r="AG41" s="554" t="s">
        <v>475</v>
      </c>
      <c r="AH41" s="505">
        <v>185</v>
      </c>
      <c r="AI41" s="506">
        <v>37</v>
      </c>
    </row>
    <row r="42" spans="1:38" ht="21.95" customHeight="1" x14ac:dyDescent="0.2">
      <c r="A42" s="555">
        <v>12</v>
      </c>
      <c r="B42" s="560" t="s">
        <v>514</v>
      </c>
      <c r="C42" s="557" t="s">
        <v>505</v>
      </c>
      <c r="D42" s="557">
        <v>7</v>
      </c>
      <c r="E42" s="557">
        <v>7</v>
      </c>
      <c r="F42" s="557">
        <v>7</v>
      </c>
      <c r="G42" s="557">
        <v>7</v>
      </c>
      <c r="H42" s="557">
        <v>7</v>
      </c>
      <c r="I42" s="557"/>
      <c r="J42" s="557"/>
      <c r="K42" s="557">
        <v>4</v>
      </c>
      <c r="L42" s="557">
        <v>4</v>
      </c>
      <c r="M42" s="557">
        <v>4</v>
      </c>
      <c r="N42" s="557">
        <v>4</v>
      </c>
      <c r="O42" s="557">
        <v>4</v>
      </c>
      <c r="P42" s="557"/>
      <c r="Q42" s="557"/>
      <c r="R42" s="1102">
        <v>3</v>
      </c>
      <c r="S42" s="557">
        <v>3</v>
      </c>
      <c r="T42" s="557">
        <v>3</v>
      </c>
      <c r="U42" s="557">
        <v>3</v>
      </c>
      <c r="V42" s="557">
        <v>3</v>
      </c>
      <c r="W42" s="557"/>
      <c r="X42" s="557"/>
      <c r="Y42" s="557">
        <v>11</v>
      </c>
      <c r="Z42" s="557">
        <v>11</v>
      </c>
      <c r="AA42" s="557">
        <v>11</v>
      </c>
      <c r="AB42" s="557">
        <v>11</v>
      </c>
      <c r="AC42" s="557">
        <v>11</v>
      </c>
      <c r="AD42" s="557" t="s">
        <v>503</v>
      </c>
      <c r="AE42" s="557" t="s">
        <v>503</v>
      </c>
      <c r="AF42" s="557" t="s">
        <v>475</v>
      </c>
      <c r="AG42" s="558" t="s">
        <v>475</v>
      </c>
      <c r="AH42" s="505">
        <v>185</v>
      </c>
      <c r="AI42" s="506">
        <v>37</v>
      </c>
    </row>
    <row r="43" spans="1:38" ht="21.95" customHeight="1" x14ac:dyDescent="0.2">
      <c r="A43" s="561">
        <v>3</v>
      </c>
      <c r="B43" s="562" t="s">
        <v>515</v>
      </c>
      <c r="C43" s="1097" t="s">
        <v>504</v>
      </c>
      <c r="D43" s="1097" t="s">
        <v>475</v>
      </c>
      <c r="E43" s="1097" t="s">
        <v>475</v>
      </c>
      <c r="F43" s="1097" t="s">
        <v>475</v>
      </c>
      <c r="G43" s="1097" t="s">
        <v>475</v>
      </c>
      <c r="H43" s="1097" t="s">
        <v>475</v>
      </c>
      <c r="I43" s="1097"/>
      <c r="J43" s="1097"/>
      <c r="K43" s="1097">
        <v>1</v>
      </c>
      <c r="L43" s="1097">
        <v>1</v>
      </c>
      <c r="M43" s="1097">
        <v>1</v>
      </c>
      <c r="N43" s="1097">
        <v>1</v>
      </c>
      <c r="O43" s="1097">
        <v>1</v>
      </c>
      <c r="P43" s="1097"/>
      <c r="Q43" s="1097"/>
      <c r="R43" s="1098">
        <v>9</v>
      </c>
      <c r="S43" s="1097">
        <v>9</v>
      </c>
      <c r="T43" s="1097">
        <v>9</v>
      </c>
      <c r="U43" s="1097">
        <v>9</v>
      </c>
      <c r="V43" s="1097">
        <v>9</v>
      </c>
      <c r="W43" s="1097" t="s">
        <v>511</v>
      </c>
      <c r="X43" s="1097" t="s">
        <v>507</v>
      </c>
      <c r="Y43" s="1097" t="s">
        <v>475</v>
      </c>
      <c r="Z43" s="1097" t="s">
        <v>475</v>
      </c>
      <c r="AA43" s="1097" t="s">
        <v>475</v>
      </c>
      <c r="AB43" s="1097" t="s">
        <v>475</v>
      </c>
      <c r="AC43" s="1103" t="s">
        <v>475</v>
      </c>
      <c r="AD43" s="1097"/>
      <c r="AE43" s="1097"/>
      <c r="AF43" s="1066">
        <v>6</v>
      </c>
      <c r="AG43" s="1067">
        <v>6</v>
      </c>
      <c r="AH43" s="505">
        <v>195</v>
      </c>
      <c r="AI43" s="506">
        <v>37</v>
      </c>
    </row>
    <row r="44" spans="1:38" ht="21.95" customHeight="1" x14ac:dyDescent="0.2">
      <c r="A44" s="551">
        <v>8</v>
      </c>
      <c r="B44" s="318" t="s">
        <v>516</v>
      </c>
      <c r="C44" s="553" t="s">
        <v>504</v>
      </c>
      <c r="D44" s="553" t="s">
        <v>475</v>
      </c>
      <c r="E44" s="553" t="s">
        <v>475</v>
      </c>
      <c r="F44" s="553" t="s">
        <v>475</v>
      </c>
      <c r="G44" s="525" t="s">
        <v>475</v>
      </c>
      <c r="H44" s="553" t="s">
        <v>475</v>
      </c>
      <c r="I44" s="553"/>
      <c r="J44" s="553"/>
      <c r="K44" s="1083">
        <v>5</v>
      </c>
      <c r="L44" s="553">
        <v>8</v>
      </c>
      <c r="M44" s="553">
        <v>8</v>
      </c>
      <c r="N44" s="553">
        <v>8</v>
      </c>
      <c r="O44" s="553">
        <v>8</v>
      </c>
      <c r="P44" s="553"/>
      <c r="Q44" s="565"/>
      <c r="R44" s="553">
        <v>10</v>
      </c>
      <c r="S44" s="566">
        <v>10</v>
      </c>
      <c r="T44" s="553">
        <v>10</v>
      </c>
      <c r="U44" s="553">
        <v>10</v>
      </c>
      <c r="V44" s="553">
        <v>10</v>
      </c>
      <c r="W44" s="553" t="s">
        <v>507</v>
      </c>
      <c r="X44" s="553" t="s">
        <v>507</v>
      </c>
      <c r="Y44" s="553" t="s">
        <v>475</v>
      </c>
      <c r="Z44" s="553" t="s">
        <v>475</v>
      </c>
      <c r="AA44" s="553" t="s">
        <v>475</v>
      </c>
      <c r="AB44" s="553" t="s">
        <v>475</v>
      </c>
      <c r="AC44" s="553" t="s">
        <v>475</v>
      </c>
      <c r="AD44" s="553" t="s">
        <v>505</v>
      </c>
      <c r="AE44" s="553" t="s">
        <v>505</v>
      </c>
      <c r="AF44" s="553">
        <v>7</v>
      </c>
      <c r="AG44" s="553">
        <v>7</v>
      </c>
      <c r="AH44" s="505">
        <v>185</v>
      </c>
      <c r="AI44" s="506">
        <v>37</v>
      </c>
    </row>
    <row r="45" spans="1:38" ht="21.95" customHeight="1" x14ac:dyDescent="0.2">
      <c r="A45" s="555">
        <v>13</v>
      </c>
      <c r="B45" s="52" t="s">
        <v>517</v>
      </c>
      <c r="C45" s="557"/>
      <c r="D45" s="557">
        <v>4</v>
      </c>
      <c r="E45" s="557">
        <v>4</v>
      </c>
      <c r="F45" s="557">
        <v>4</v>
      </c>
      <c r="G45" s="557">
        <v>4</v>
      </c>
      <c r="H45" s="557">
        <v>4</v>
      </c>
      <c r="I45" s="557"/>
      <c r="J45" s="557"/>
      <c r="K45" s="557">
        <v>3</v>
      </c>
      <c r="L45" s="557">
        <v>3</v>
      </c>
      <c r="M45" s="557">
        <v>3</v>
      </c>
      <c r="N45" s="1102">
        <v>3</v>
      </c>
      <c r="O45" s="1102">
        <v>3</v>
      </c>
      <c r="P45" s="557"/>
      <c r="Q45" s="557"/>
      <c r="R45" s="567">
        <v>11</v>
      </c>
      <c r="S45" s="557">
        <v>11</v>
      </c>
      <c r="T45" s="557">
        <v>11</v>
      </c>
      <c r="U45" s="557">
        <v>11</v>
      </c>
      <c r="V45" s="557">
        <v>11</v>
      </c>
      <c r="W45" s="557" t="s">
        <v>503</v>
      </c>
      <c r="X45" s="557" t="s">
        <v>503</v>
      </c>
      <c r="Y45" s="557" t="s">
        <v>475</v>
      </c>
      <c r="Z45" s="557" t="s">
        <v>475</v>
      </c>
      <c r="AA45" s="557" t="s">
        <v>475</v>
      </c>
      <c r="AB45" s="557" t="s">
        <v>475</v>
      </c>
      <c r="AC45" s="557" t="s">
        <v>475</v>
      </c>
      <c r="AD45" s="557"/>
      <c r="AE45" s="557"/>
      <c r="AF45" s="1102">
        <v>8</v>
      </c>
      <c r="AG45" s="557">
        <v>8</v>
      </c>
      <c r="AH45" s="505">
        <v>185</v>
      </c>
      <c r="AI45" s="506">
        <v>37</v>
      </c>
    </row>
    <row r="46" spans="1:38" ht="21.95" customHeight="1" x14ac:dyDescent="0.2">
      <c r="A46" s="561">
        <v>4</v>
      </c>
      <c r="B46" s="318" t="s">
        <v>518</v>
      </c>
      <c r="C46" s="553"/>
      <c r="D46" s="553">
        <v>1</v>
      </c>
      <c r="E46" s="553">
        <v>1</v>
      </c>
      <c r="F46" s="553">
        <v>1</v>
      </c>
      <c r="G46" s="553">
        <v>1</v>
      </c>
      <c r="H46" s="553">
        <v>1</v>
      </c>
      <c r="I46" s="553"/>
      <c r="J46" s="514"/>
      <c r="K46" s="514">
        <v>9</v>
      </c>
      <c r="L46" s="514">
        <v>9</v>
      </c>
      <c r="M46" s="514">
        <v>9</v>
      </c>
      <c r="N46" s="514">
        <v>9</v>
      </c>
      <c r="O46" s="514">
        <v>9</v>
      </c>
      <c r="P46" s="514" t="s">
        <v>511</v>
      </c>
      <c r="Q46" s="514" t="s">
        <v>507</v>
      </c>
      <c r="R46" s="514" t="s">
        <v>475</v>
      </c>
      <c r="S46" s="514" t="s">
        <v>475</v>
      </c>
      <c r="T46" s="514" t="s">
        <v>475</v>
      </c>
      <c r="U46" s="514" t="s">
        <v>475</v>
      </c>
      <c r="V46" s="514" t="s">
        <v>475</v>
      </c>
      <c r="W46" s="514"/>
      <c r="X46" s="514"/>
      <c r="Y46" s="514">
        <v>6</v>
      </c>
      <c r="Z46" s="514">
        <v>6</v>
      </c>
      <c r="AA46" s="514">
        <v>6</v>
      </c>
      <c r="AB46" s="514">
        <v>6</v>
      </c>
      <c r="AC46" s="514">
        <v>6</v>
      </c>
      <c r="AD46" s="514" t="s">
        <v>508</v>
      </c>
      <c r="AE46" s="514" t="s">
        <v>504</v>
      </c>
      <c r="AF46" s="514" t="s">
        <v>475</v>
      </c>
      <c r="AG46" s="515" t="s">
        <v>475</v>
      </c>
      <c r="AH46" s="505">
        <v>200</v>
      </c>
      <c r="AI46" s="506">
        <v>37</v>
      </c>
    </row>
    <row r="47" spans="1:38" ht="21.95" customHeight="1" x14ac:dyDescent="0.2">
      <c r="A47" s="551">
        <v>9</v>
      </c>
      <c r="B47" s="318" t="s">
        <v>519</v>
      </c>
      <c r="C47" s="553"/>
      <c r="D47" s="1064">
        <v>5</v>
      </c>
      <c r="E47" s="1064">
        <v>5</v>
      </c>
      <c r="F47" s="1064">
        <v>5</v>
      </c>
      <c r="G47" s="1064">
        <v>5</v>
      </c>
      <c r="H47" s="1064">
        <v>5</v>
      </c>
      <c r="I47" s="553"/>
      <c r="J47" s="553"/>
      <c r="K47" s="553">
        <v>10</v>
      </c>
      <c r="L47" s="553">
        <v>10</v>
      </c>
      <c r="M47" s="553">
        <v>10</v>
      </c>
      <c r="N47" s="553">
        <v>10</v>
      </c>
      <c r="O47" s="553">
        <v>10</v>
      </c>
      <c r="P47" s="553" t="s">
        <v>507</v>
      </c>
      <c r="Q47" s="553" t="s">
        <v>507</v>
      </c>
      <c r="R47" s="553" t="s">
        <v>475</v>
      </c>
      <c r="S47" s="553" t="s">
        <v>475</v>
      </c>
      <c r="T47" s="553" t="s">
        <v>475</v>
      </c>
      <c r="U47" s="553" t="s">
        <v>475</v>
      </c>
      <c r="V47" s="553" t="s">
        <v>475</v>
      </c>
      <c r="W47" s="1064" t="s">
        <v>505</v>
      </c>
      <c r="X47" s="1064" t="s">
        <v>505</v>
      </c>
      <c r="Y47" s="1064">
        <v>7</v>
      </c>
      <c r="Z47" s="1064">
        <v>7</v>
      </c>
      <c r="AA47" s="1064">
        <v>7</v>
      </c>
      <c r="AB47" s="1064">
        <v>7</v>
      </c>
      <c r="AC47" s="1064">
        <v>7</v>
      </c>
      <c r="AD47" s="1064"/>
      <c r="AE47" s="1064"/>
      <c r="AF47" s="1064">
        <v>4</v>
      </c>
      <c r="AG47" s="1063">
        <v>4</v>
      </c>
      <c r="AH47" s="505">
        <v>64</v>
      </c>
      <c r="AI47" s="506">
        <v>37</v>
      </c>
    </row>
    <row r="48" spans="1:38" ht="21.95" customHeight="1" x14ac:dyDescent="0.2">
      <c r="A48" s="555">
        <v>14</v>
      </c>
      <c r="B48" s="560" t="s">
        <v>520</v>
      </c>
      <c r="C48" s="557"/>
      <c r="D48" s="1061">
        <v>3</v>
      </c>
      <c r="E48" s="1103">
        <v>3</v>
      </c>
      <c r="F48" s="1103">
        <v>3</v>
      </c>
      <c r="G48" s="1103">
        <v>3</v>
      </c>
      <c r="H48" s="1103">
        <v>3</v>
      </c>
      <c r="I48" s="514"/>
      <c r="J48" s="514"/>
      <c r="K48" s="514">
        <v>11</v>
      </c>
      <c r="L48" s="557">
        <v>11</v>
      </c>
      <c r="M48" s="557">
        <v>11</v>
      </c>
      <c r="N48" s="557">
        <v>11</v>
      </c>
      <c r="O48" s="557">
        <v>11</v>
      </c>
      <c r="P48" s="557" t="s">
        <v>503</v>
      </c>
      <c r="Q48" s="557" t="s">
        <v>503</v>
      </c>
      <c r="R48" s="557" t="s">
        <v>475</v>
      </c>
      <c r="S48" s="557" t="s">
        <v>475</v>
      </c>
      <c r="T48" s="557" t="s">
        <v>475</v>
      </c>
      <c r="U48" s="557" t="s">
        <v>475</v>
      </c>
      <c r="V48" s="557" t="s">
        <v>475</v>
      </c>
      <c r="W48" s="557"/>
      <c r="X48" s="557"/>
      <c r="Y48" s="557">
        <v>8</v>
      </c>
      <c r="Z48" s="557">
        <v>8</v>
      </c>
      <c r="AA48" s="557">
        <v>8</v>
      </c>
      <c r="AB48" s="557">
        <v>8</v>
      </c>
      <c r="AC48" s="557">
        <v>8</v>
      </c>
      <c r="AD48" s="557" t="s">
        <v>504</v>
      </c>
      <c r="AE48" s="557" t="s">
        <v>505</v>
      </c>
      <c r="AF48" s="557" t="s">
        <v>475</v>
      </c>
      <c r="AG48" s="568" t="s">
        <v>475</v>
      </c>
      <c r="AH48" s="505">
        <v>184</v>
      </c>
      <c r="AI48" s="506">
        <v>37</v>
      </c>
    </row>
    <row r="49" spans="1:35" ht="21.95" customHeight="1" x14ac:dyDescent="0.2">
      <c r="A49" s="548">
        <v>5</v>
      </c>
      <c r="B49" s="552" t="s">
        <v>521</v>
      </c>
      <c r="C49" s="549"/>
      <c r="D49" s="549">
        <v>9</v>
      </c>
      <c r="E49" s="549">
        <v>9</v>
      </c>
      <c r="F49" s="549">
        <v>9</v>
      </c>
      <c r="G49" s="549">
        <v>9</v>
      </c>
      <c r="H49" s="549">
        <v>9</v>
      </c>
      <c r="I49" s="549" t="s">
        <v>511</v>
      </c>
      <c r="J49" s="549" t="s">
        <v>507</v>
      </c>
      <c r="K49" s="549" t="s">
        <v>475</v>
      </c>
      <c r="L49" s="549" t="s">
        <v>475</v>
      </c>
      <c r="M49" s="549" t="s">
        <v>475</v>
      </c>
      <c r="N49" s="549" t="s">
        <v>475</v>
      </c>
      <c r="O49" s="549" t="s">
        <v>475</v>
      </c>
      <c r="P49" s="549"/>
      <c r="Q49" s="549"/>
      <c r="R49" s="549">
        <v>6</v>
      </c>
      <c r="S49" s="553">
        <v>6</v>
      </c>
      <c r="T49" s="553">
        <v>6</v>
      </c>
      <c r="U49" s="553">
        <v>6</v>
      </c>
      <c r="V49" s="553">
        <v>6</v>
      </c>
      <c r="W49" s="553" t="s">
        <v>508</v>
      </c>
      <c r="X49" s="553" t="s">
        <v>504</v>
      </c>
      <c r="Y49" s="553" t="s">
        <v>475</v>
      </c>
      <c r="Z49" s="553" t="s">
        <v>475</v>
      </c>
      <c r="AA49" s="553" t="s">
        <v>475</v>
      </c>
      <c r="AB49" s="553" t="s">
        <v>475</v>
      </c>
      <c r="AC49" s="553" t="s">
        <v>475</v>
      </c>
      <c r="AD49" s="553"/>
      <c r="AE49" s="569"/>
      <c r="AF49" s="549" t="s">
        <v>522</v>
      </c>
      <c r="AG49" s="569" t="s">
        <v>522</v>
      </c>
      <c r="AH49" s="505">
        <v>185</v>
      </c>
      <c r="AI49" s="506">
        <v>37</v>
      </c>
    </row>
    <row r="50" spans="1:35" ht="21.95" customHeight="1" x14ac:dyDescent="0.2">
      <c r="A50" s="551">
        <v>10</v>
      </c>
      <c r="B50" s="318" t="s">
        <v>523</v>
      </c>
      <c r="C50" s="553"/>
      <c r="D50" s="553">
        <v>10</v>
      </c>
      <c r="E50" s="553">
        <v>10</v>
      </c>
      <c r="F50" s="553">
        <v>10</v>
      </c>
      <c r="G50" s="553">
        <v>10</v>
      </c>
      <c r="H50" s="553">
        <v>10</v>
      </c>
      <c r="I50" s="553" t="s">
        <v>507</v>
      </c>
      <c r="J50" s="553" t="s">
        <v>507</v>
      </c>
      <c r="K50" s="553" t="s">
        <v>475</v>
      </c>
      <c r="L50" s="553" t="s">
        <v>475</v>
      </c>
      <c r="M50" s="553" t="s">
        <v>475</v>
      </c>
      <c r="N50" s="553" t="s">
        <v>475</v>
      </c>
      <c r="O50" s="553" t="s">
        <v>475</v>
      </c>
      <c r="P50" s="553" t="s">
        <v>505</v>
      </c>
      <c r="Q50" s="553" t="s">
        <v>505</v>
      </c>
      <c r="R50" s="553">
        <v>7</v>
      </c>
      <c r="S50" s="553">
        <v>7</v>
      </c>
      <c r="T50" s="553">
        <v>7</v>
      </c>
      <c r="U50" s="553">
        <v>7</v>
      </c>
      <c r="V50" s="553">
        <v>7</v>
      </c>
      <c r="W50" s="553"/>
      <c r="X50" s="553"/>
      <c r="Y50" s="1084">
        <v>4</v>
      </c>
      <c r="Z50" s="1084">
        <v>4</v>
      </c>
      <c r="AA50" s="553">
        <v>4</v>
      </c>
      <c r="AB50" s="553">
        <v>4</v>
      </c>
      <c r="AC50" s="553">
        <v>4</v>
      </c>
      <c r="AD50" s="553"/>
      <c r="AE50" s="565"/>
      <c r="AF50" s="553">
        <v>3</v>
      </c>
      <c r="AG50" s="565">
        <v>3</v>
      </c>
      <c r="AH50" s="505">
        <v>209</v>
      </c>
      <c r="AI50" s="506">
        <v>37</v>
      </c>
    </row>
    <row r="51" spans="1:35" ht="21.95" customHeight="1" x14ac:dyDescent="0.2">
      <c r="A51" s="555">
        <v>15</v>
      </c>
      <c r="B51" s="52" t="s">
        <v>524</v>
      </c>
      <c r="C51" s="557"/>
      <c r="D51" s="557">
        <v>11</v>
      </c>
      <c r="E51" s="557">
        <v>11</v>
      </c>
      <c r="F51" s="557">
        <v>11</v>
      </c>
      <c r="G51" s="557">
        <v>11</v>
      </c>
      <c r="H51" s="557">
        <v>11</v>
      </c>
      <c r="I51" s="557" t="s">
        <v>503</v>
      </c>
      <c r="J51" s="557" t="s">
        <v>503</v>
      </c>
      <c r="K51" s="557" t="s">
        <v>475</v>
      </c>
      <c r="L51" s="557" t="s">
        <v>475</v>
      </c>
      <c r="M51" s="557" t="s">
        <v>475</v>
      </c>
      <c r="N51" s="557" t="s">
        <v>475</v>
      </c>
      <c r="O51" s="557" t="s">
        <v>475</v>
      </c>
      <c r="P51" s="557"/>
      <c r="Q51" s="557"/>
      <c r="R51" s="557">
        <v>8</v>
      </c>
      <c r="S51" s="557">
        <v>8</v>
      </c>
      <c r="T51" s="557">
        <v>8</v>
      </c>
      <c r="U51" s="557">
        <v>8</v>
      </c>
      <c r="V51" s="1338">
        <v>8</v>
      </c>
      <c r="W51" s="1338" t="s">
        <v>504</v>
      </c>
      <c r="X51" s="1338" t="s">
        <v>525</v>
      </c>
      <c r="Y51" s="557" t="s">
        <v>475</v>
      </c>
      <c r="Z51" s="557" t="s">
        <v>475</v>
      </c>
      <c r="AA51" s="557" t="s">
        <v>475</v>
      </c>
      <c r="AB51" s="557" t="s">
        <v>475</v>
      </c>
      <c r="AC51" s="557" t="s">
        <v>475</v>
      </c>
      <c r="AD51" s="557"/>
      <c r="AE51" s="568"/>
      <c r="AF51" s="557">
        <v>1</v>
      </c>
      <c r="AG51" s="568">
        <v>1</v>
      </c>
      <c r="AH51" s="505">
        <v>185</v>
      </c>
      <c r="AI51" s="506">
        <v>37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C53" s="546"/>
      <c r="D53" s="546"/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546"/>
      <c r="V53" s="546"/>
      <c r="W53" s="546"/>
      <c r="X53" s="546"/>
      <c r="Y53" s="546"/>
      <c r="Z53" s="546"/>
      <c r="AA53" s="546"/>
      <c r="AB53" s="546"/>
      <c r="AC53" s="546"/>
      <c r="AD53" s="546"/>
      <c r="AE53" s="546"/>
      <c r="AF53" s="546"/>
      <c r="AG53" s="546"/>
      <c r="AH53" s="1"/>
    </row>
    <row r="54" spans="1:35" ht="21.95" customHeight="1" x14ac:dyDescent="0.2">
      <c r="A54" s="524"/>
      <c r="C54" s="546"/>
      <c r="D54" s="546"/>
      <c r="E54" s="546"/>
      <c r="F54" s="546"/>
      <c r="G54" s="546"/>
      <c r="H54" s="546"/>
      <c r="I54" s="546"/>
      <c r="J54" s="546"/>
      <c r="K54" s="546"/>
      <c r="L54" s="546"/>
      <c r="M54" s="546"/>
      <c r="N54" s="546"/>
      <c r="O54" s="546"/>
      <c r="P54" s="546"/>
      <c r="Q54" s="546"/>
      <c r="R54" s="546"/>
      <c r="S54" s="546"/>
      <c r="T54" s="546"/>
      <c r="U54" s="546"/>
      <c r="V54" s="546"/>
      <c r="W54" s="546"/>
      <c r="X54" s="546"/>
      <c r="Y54" s="546"/>
      <c r="Z54" s="546"/>
      <c r="AA54" s="546"/>
      <c r="AB54" s="546"/>
      <c r="AC54" s="546"/>
      <c r="AD54" s="546"/>
      <c r="AE54" s="546"/>
      <c r="AF54" s="546"/>
      <c r="AG54" s="546"/>
      <c r="AH54" s="1"/>
    </row>
    <row r="55" spans="1:35" ht="21.95" customHeight="1" x14ac:dyDescent="0.2">
      <c r="A55" s="524"/>
      <c r="C55" s="360"/>
      <c r="D55" s="360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360"/>
      <c r="X55" s="360"/>
      <c r="Y55" s="360"/>
      <c r="Z55" s="360"/>
      <c r="AA55" s="360"/>
      <c r="AB55" s="360"/>
      <c r="AC55" s="360"/>
      <c r="AD55" s="360"/>
      <c r="AE55" s="360"/>
      <c r="AF55" s="360"/>
      <c r="AG55" s="360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47" t="s">
        <v>106</v>
      </c>
      <c r="C58" s="121" t="s">
        <v>295</v>
      </c>
      <c r="D58" s="156"/>
      <c r="E58" s="488"/>
      <c r="F58" s="121" t="s">
        <v>295</v>
      </c>
      <c r="G58" s="579"/>
      <c r="H58" s="156"/>
      <c r="I58" s="121" t="s">
        <v>295</v>
      </c>
      <c r="J58" s="55"/>
      <c r="K58" s="580"/>
      <c r="L58" s="121" t="s">
        <v>295</v>
      </c>
      <c r="M58" s="156"/>
      <c r="N58" s="488"/>
      <c r="O58" s="121" t="s">
        <v>67</v>
      </c>
      <c r="P58" s="156"/>
      <c r="Q58" s="488"/>
      <c r="R58" s="581"/>
      <c r="S58" s="53"/>
      <c r="T58" s="541"/>
      <c r="U58" s="581"/>
      <c r="V58" s="53"/>
      <c r="W58" s="541"/>
      <c r="X58" s="581"/>
      <c r="Y58" s="53">
        <v>37</v>
      </c>
      <c r="Z58" s="582"/>
      <c r="AA58" s="544"/>
      <c r="AE58" s="360"/>
      <c r="AF58" s="360"/>
      <c r="AG58" s="360"/>
    </row>
    <row r="59" spans="1:35" ht="21.95" customHeight="1" x14ac:dyDescent="0.2">
      <c r="A59" s="1"/>
      <c r="B59" s="47"/>
      <c r="C59" s="57"/>
      <c r="D59" s="53"/>
      <c r="E59" s="541"/>
      <c r="F59" s="57"/>
      <c r="G59" s="583"/>
      <c r="H59" s="53"/>
      <c r="I59" s="57"/>
      <c r="J59" s="53"/>
      <c r="K59" s="541"/>
      <c r="L59" s="57"/>
      <c r="M59" s="53"/>
      <c r="N59" s="541"/>
      <c r="O59" s="57"/>
      <c r="P59" s="53"/>
      <c r="Q59" s="541"/>
      <c r="R59" s="581"/>
      <c r="S59" s="53"/>
      <c r="T59" s="541"/>
      <c r="U59" s="581"/>
      <c r="V59" s="53"/>
      <c r="W59" s="541"/>
      <c r="X59" s="581"/>
      <c r="Y59" s="53"/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497">
        <v>1</v>
      </c>
      <c r="D61" s="177">
        <v>2</v>
      </c>
      <c r="E61" s="177">
        <v>3</v>
      </c>
      <c r="F61" s="177">
        <v>4</v>
      </c>
      <c r="G61" s="177">
        <v>5</v>
      </c>
      <c r="H61" s="177">
        <v>6</v>
      </c>
      <c r="I61" s="498">
        <v>7</v>
      </c>
      <c r="J61" s="498">
        <v>8</v>
      </c>
      <c r="K61" s="177">
        <v>9</v>
      </c>
      <c r="L61" s="177">
        <v>10</v>
      </c>
      <c r="M61" s="177">
        <v>11</v>
      </c>
      <c r="N61" s="177">
        <v>12</v>
      </c>
      <c r="O61" s="177">
        <v>13</v>
      </c>
      <c r="P61" s="498">
        <v>14</v>
      </c>
      <c r="Q61" s="498">
        <v>15</v>
      </c>
      <c r="R61" s="177">
        <v>16</v>
      </c>
      <c r="S61" s="177">
        <v>17</v>
      </c>
      <c r="T61" s="177">
        <v>18</v>
      </c>
      <c r="U61" s="177">
        <v>19</v>
      </c>
      <c r="V61" s="498">
        <v>20</v>
      </c>
      <c r="W61" s="498">
        <v>21</v>
      </c>
      <c r="X61" s="498">
        <v>22</v>
      </c>
      <c r="Y61" s="177">
        <v>23</v>
      </c>
      <c r="Z61" s="177">
        <v>24</v>
      </c>
      <c r="AA61" s="177">
        <v>25</v>
      </c>
      <c r="AB61" s="177">
        <v>26</v>
      </c>
      <c r="AC61" s="177">
        <v>27</v>
      </c>
      <c r="AD61" s="498">
        <v>28</v>
      </c>
      <c r="AE61" s="498">
        <v>29</v>
      </c>
      <c r="AF61" s="177">
        <v>30</v>
      </c>
      <c r="AG61" s="177">
        <v>31</v>
      </c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/>
      <c r="D62" s="587" t="s">
        <v>529</v>
      </c>
      <c r="E62" s="587" t="s">
        <v>529</v>
      </c>
      <c r="F62" s="587" t="s">
        <v>529</v>
      </c>
      <c r="G62" s="587" t="s">
        <v>529</v>
      </c>
      <c r="H62" s="587" t="s">
        <v>529</v>
      </c>
      <c r="I62" s="587"/>
      <c r="J62" s="587"/>
      <c r="K62" s="587" t="s">
        <v>529</v>
      </c>
      <c r="L62" s="587" t="s">
        <v>529</v>
      </c>
      <c r="M62" s="587" t="s">
        <v>529</v>
      </c>
      <c r="N62" s="587" t="s">
        <v>529</v>
      </c>
      <c r="O62" s="587" t="s">
        <v>529</v>
      </c>
      <c r="P62" s="587"/>
      <c r="Q62" s="587"/>
      <c r="R62" s="587" t="s">
        <v>529</v>
      </c>
      <c r="S62" s="587" t="s">
        <v>529</v>
      </c>
      <c r="T62" s="587" t="s">
        <v>529</v>
      </c>
      <c r="U62" s="587" t="s">
        <v>529</v>
      </c>
      <c r="V62" s="587"/>
      <c r="W62" s="587"/>
      <c r="X62" s="587"/>
      <c r="Y62" s="587" t="s">
        <v>529</v>
      </c>
      <c r="Z62" s="587" t="s">
        <v>529</v>
      </c>
      <c r="AA62" s="587" t="s">
        <v>529</v>
      </c>
      <c r="AB62" s="587" t="s">
        <v>529</v>
      </c>
      <c r="AC62" s="587" t="s">
        <v>529</v>
      </c>
      <c r="AD62" s="587"/>
      <c r="AE62" s="587"/>
      <c r="AF62" s="588" t="s">
        <v>529</v>
      </c>
      <c r="AG62" s="588" t="s">
        <v>529</v>
      </c>
      <c r="AH62" s="505">
        <v>185</v>
      </c>
      <c r="AI62" s="506">
        <v>37</v>
      </c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/>
      <c r="AI63" s="506"/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x14ac:dyDescent="0.2">
      <c r="A65" s="360"/>
      <c r="B65" s="592" t="s">
        <v>262</v>
      </c>
      <c r="C65" s="7"/>
      <c r="D65" s="413" t="s">
        <v>2</v>
      </c>
      <c r="E65" s="572"/>
      <c r="F65" s="7"/>
      <c r="G65" s="6" t="s">
        <v>3</v>
      </c>
      <c r="H65" s="573"/>
      <c r="I65" s="118"/>
      <c r="J65" s="6" t="s">
        <v>4</v>
      </c>
      <c r="K65" s="412"/>
      <c r="L65" s="118"/>
      <c r="M65" s="119" t="s">
        <v>5</v>
      </c>
      <c r="N65" s="412"/>
      <c r="O65" s="118"/>
      <c r="P65" s="6" t="s">
        <v>6</v>
      </c>
      <c r="Q65" s="574"/>
      <c r="R65" s="118"/>
      <c r="S65" s="6" t="s">
        <v>7</v>
      </c>
      <c r="T65" s="575"/>
      <c r="U65" s="118"/>
      <c r="V65" s="6" t="s">
        <v>8</v>
      </c>
      <c r="W65" s="574"/>
      <c r="X65" s="348" t="s">
        <v>9</v>
      </c>
      <c r="Y65" s="593"/>
      <c r="Z65" s="593"/>
      <c r="AA65" s="594"/>
      <c r="AB65" s="27" t="s">
        <v>10</v>
      </c>
      <c r="AC65" s="576"/>
      <c r="AD65" s="576"/>
      <c r="AE65" s="595"/>
      <c r="AF65" s="595"/>
      <c r="AG65" s="596"/>
    </row>
    <row r="66" spans="1:35" ht="21.95" customHeight="1" x14ac:dyDescent="0.2">
      <c r="A66" s="360"/>
      <c r="B66" s="305" t="s">
        <v>263</v>
      </c>
      <c r="C66" s="597" t="s">
        <v>264</v>
      </c>
      <c r="D66" s="465"/>
      <c r="E66" s="466"/>
      <c r="F66" s="598" t="s">
        <v>264</v>
      </c>
      <c r="G66" s="482"/>
      <c r="H66" s="483"/>
      <c r="I66" s="598" t="s">
        <v>264</v>
      </c>
      <c r="J66" s="482"/>
      <c r="K66" s="483"/>
      <c r="L66" s="598" t="s">
        <v>264</v>
      </c>
      <c r="M66" s="482"/>
      <c r="N66" s="483"/>
      <c r="O66" s="598" t="s">
        <v>265</v>
      </c>
      <c r="P66" s="482"/>
      <c r="Q66" s="483"/>
      <c r="R66" s="598"/>
      <c r="S66" s="482"/>
      <c r="T66" s="483"/>
      <c r="U66" s="598"/>
      <c r="V66" s="482"/>
      <c r="W66" s="483"/>
      <c r="X66" s="598"/>
      <c r="Y66" s="482"/>
      <c r="Z66" s="482"/>
      <c r="AA66" s="482"/>
      <c r="AB66" s="475"/>
      <c r="AC66" s="482"/>
      <c r="AD66" s="482"/>
      <c r="AE66" s="482"/>
      <c r="AF66" s="482"/>
      <c r="AG66" s="599"/>
    </row>
    <row r="67" spans="1:35" ht="21.95" customHeight="1" x14ac:dyDescent="0.2">
      <c r="A67" s="360"/>
      <c r="B67" s="600" t="s">
        <v>530</v>
      </c>
      <c r="C67" s="601"/>
      <c r="D67" s="602">
        <v>8</v>
      </c>
      <c r="E67" s="603"/>
      <c r="F67" s="604" t="s">
        <v>28</v>
      </c>
      <c r="G67" s="605">
        <v>8</v>
      </c>
      <c r="H67" s="606"/>
      <c r="I67" s="604"/>
      <c r="J67" s="605">
        <v>8</v>
      </c>
      <c r="K67" s="606"/>
      <c r="L67" s="604" t="s">
        <v>28</v>
      </c>
      <c r="M67" s="605">
        <v>8</v>
      </c>
      <c r="N67" s="606"/>
      <c r="O67" s="604"/>
      <c r="P67" s="607">
        <v>5</v>
      </c>
      <c r="Q67" s="606"/>
      <c r="R67" s="608"/>
      <c r="S67" s="350"/>
      <c r="T67" s="603"/>
      <c r="U67" s="608"/>
      <c r="V67" s="350"/>
      <c r="W67" s="603"/>
      <c r="X67" s="608"/>
      <c r="Y67" s="350">
        <v>37</v>
      </c>
      <c r="Z67" s="350"/>
      <c r="AA67" s="350"/>
      <c r="AB67" s="351"/>
      <c r="AC67" s="350"/>
      <c r="AD67" s="350"/>
      <c r="AE67" s="350"/>
      <c r="AF67" s="350"/>
      <c r="AG67" s="609"/>
    </row>
    <row r="68" spans="1:35" ht="21.95" customHeight="1" x14ac:dyDescent="0.2">
      <c r="A68" s="360"/>
      <c r="B68" s="360" t="s">
        <v>262</v>
      </c>
      <c r="C68" s="360"/>
      <c r="D68" s="360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/>
      <c r="P68" s="360"/>
      <c r="Q68" s="360"/>
      <c r="R68" s="360"/>
      <c r="S68" s="360"/>
      <c r="T68" s="360"/>
      <c r="U68" s="360"/>
      <c r="V68" s="360"/>
      <c r="W68" s="360"/>
      <c r="X68" s="360"/>
      <c r="Y68" s="360"/>
      <c r="Z68" s="360"/>
      <c r="AA68" s="360"/>
      <c r="AB68" s="360"/>
      <c r="AC68" s="360"/>
      <c r="AD68" s="360"/>
      <c r="AE68" s="360"/>
      <c r="AF68" s="360"/>
      <c r="AG68" s="360"/>
    </row>
    <row r="69" spans="1:35" ht="21.95" customHeight="1" x14ac:dyDescent="0.2">
      <c r="A69" s="585" t="s">
        <v>468</v>
      </c>
      <c r="B69" s="296" t="s">
        <v>469</v>
      </c>
      <c r="C69" s="497">
        <v>1</v>
      </c>
      <c r="D69" s="177">
        <v>2</v>
      </c>
      <c r="E69" s="177">
        <v>3</v>
      </c>
      <c r="F69" s="177">
        <v>4</v>
      </c>
      <c r="G69" s="177">
        <v>5</v>
      </c>
      <c r="H69" s="177">
        <v>6</v>
      </c>
      <c r="I69" s="498">
        <v>7</v>
      </c>
      <c r="J69" s="498">
        <v>8</v>
      </c>
      <c r="K69" s="177">
        <v>9</v>
      </c>
      <c r="L69" s="177">
        <v>10</v>
      </c>
      <c r="M69" s="177">
        <v>11</v>
      </c>
      <c r="N69" s="177">
        <v>12</v>
      </c>
      <c r="O69" s="177">
        <v>13</v>
      </c>
      <c r="P69" s="498">
        <v>14</v>
      </c>
      <c r="Q69" s="498">
        <v>15</v>
      </c>
      <c r="R69" s="177">
        <v>16</v>
      </c>
      <c r="S69" s="177">
        <v>17</v>
      </c>
      <c r="T69" s="177">
        <v>18</v>
      </c>
      <c r="U69" s="177">
        <v>19</v>
      </c>
      <c r="V69" s="498">
        <v>20</v>
      </c>
      <c r="W69" s="498">
        <v>21</v>
      </c>
      <c r="X69" s="498">
        <v>22</v>
      </c>
      <c r="Y69" s="177">
        <v>23</v>
      </c>
      <c r="Z69" s="177">
        <v>24</v>
      </c>
      <c r="AA69" s="177">
        <v>25</v>
      </c>
      <c r="AB69" s="177">
        <v>26</v>
      </c>
      <c r="AC69" s="177">
        <v>27</v>
      </c>
      <c r="AD69" s="498">
        <v>28</v>
      </c>
      <c r="AE69" s="498">
        <v>29</v>
      </c>
      <c r="AF69" s="177">
        <v>30</v>
      </c>
      <c r="AG69" s="177">
        <v>31</v>
      </c>
      <c r="AH69" s="499" t="s">
        <v>470</v>
      </c>
      <c r="AI69" s="500" t="s">
        <v>471</v>
      </c>
    </row>
    <row r="70" spans="1:35" ht="21.95" customHeight="1" x14ac:dyDescent="0.2">
      <c r="A70" s="185">
        <v>8514</v>
      </c>
      <c r="B70" s="598" t="s">
        <v>530</v>
      </c>
      <c r="C70" s="503"/>
      <c r="D70" s="503" t="s">
        <v>482</v>
      </c>
      <c r="E70" s="1078" t="s">
        <v>482</v>
      </c>
      <c r="F70" s="503" t="s">
        <v>482</v>
      </c>
      <c r="G70" s="503" t="s">
        <v>482</v>
      </c>
      <c r="H70" s="503" t="s">
        <v>482</v>
      </c>
      <c r="I70" s="503"/>
      <c r="J70" s="503"/>
      <c r="K70" s="1058" t="s">
        <v>482</v>
      </c>
      <c r="L70" s="503" t="s">
        <v>482</v>
      </c>
      <c r="M70" s="503" t="s">
        <v>482</v>
      </c>
      <c r="N70" s="503" t="s">
        <v>482</v>
      </c>
      <c r="O70" s="1058" t="s">
        <v>482</v>
      </c>
      <c r="P70" s="503"/>
      <c r="Q70" s="503"/>
      <c r="R70" s="1058" t="s">
        <v>482</v>
      </c>
      <c r="S70" s="1058" t="s">
        <v>482</v>
      </c>
      <c r="T70" s="1058" t="s">
        <v>482</v>
      </c>
      <c r="U70" s="503"/>
      <c r="V70" s="503"/>
      <c r="W70" s="610"/>
      <c r="X70" s="503"/>
      <c r="Y70" s="1087" t="s">
        <v>531</v>
      </c>
      <c r="Z70" s="1078" t="s">
        <v>482</v>
      </c>
      <c r="AA70" s="503" t="s">
        <v>482</v>
      </c>
      <c r="AB70" s="503" t="s">
        <v>482</v>
      </c>
      <c r="AC70" s="503" t="s">
        <v>482</v>
      </c>
      <c r="AD70" s="553"/>
      <c r="AE70" s="553"/>
      <c r="AF70" s="1058" t="s">
        <v>482</v>
      </c>
      <c r="AG70" s="1087" t="s">
        <v>531</v>
      </c>
      <c r="AH70" s="505">
        <v>185</v>
      </c>
      <c r="AI70" s="506">
        <v>37</v>
      </c>
    </row>
    <row r="71" spans="1:35" ht="21.95" customHeight="1" x14ac:dyDescent="0.2">
      <c r="A71" s="589"/>
      <c r="C71" s="590"/>
      <c r="D71" s="590"/>
      <c r="E71" s="590"/>
      <c r="F71" s="590"/>
      <c r="G71" s="590"/>
      <c r="H71" s="590"/>
      <c r="I71" s="590"/>
      <c r="J71" s="590"/>
      <c r="K71" s="590"/>
      <c r="L71" s="590"/>
      <c r="M71" s="590"/>
      <c r="N71" s="590"/>
      <c r="O71" s="590"/>
      <c r="P71" s="590"/>
      <c r="Q71" s="590"/>
      <c r="R71" s="590"/>
      <c r="S71" s="590"/>
      <c r="T71" s="590"/>
      <c r="U71" s="590"/>
      <c r="V71" s="590"/>
      <c r="W71" s="590"/>
      <c r="X71" s="590"/>
      <c r="Y71" s="590"/>
      <c r="Z71" s="590"/>
      <c r="AA71" s="590"/>
      <c r="AB71" s="590"/>
      <c r="AC71" s="590"/>
      <c r="AD71" s="590"/>
      <c r="AE71" s="590"/>
      <c r="AF71" s="590"/>
      <c r="AG71" s="590"/>
      <c r="AH71" s="591"/>
      <c r="AI71" s="591"/>
    </row>
    <row r="72" spans="1:35" ht="21.95" customHeight="1" x14ac:dyDescent="0.2">
      <c r="A72" s="360"/>
      <c r="B72" s="23" t="s">
        <v>532</v>
      </c>
      <c r="C72" s="7"/>
      <c r="D72" s="413" t="s">
        <v>2</v>
      </c>
      <c r="E72" s="572"/>
      <c r="F72" s="7"/>
      <c r="G72" s="6" t="s">
        <v>3</v>
      </c>
      <c r="H72" s="573"/>
      <c r="I72" s="118"/>
      <c r="J72" s="6" t="s">
        <v>4</v>
      </c>
      <c r="K72" s="412"/>
      <c r="L72" s="118"/>
      <c r="M72" s="119" t="s">
        <v>5</v>
      </c>
      <c r="N72" s="412"/>
      <c r="O72" s="118"/>
      <c r="P72" s="6" t="s">
        <v>6</v>
      </c>
      <c r="Q72" s="574"/>
      <c r="R72" s="118"/>
      <c r="S72" s="6" t="s">
        <v>7</v>
      </c>
      <c r="T72" s="575"/>
      <c r="U72" s="118"/>
      <c r="V72" s="6" t="s">
        <v>8</v>
      </c>
      <c r="W72" s="574"/>
      <c r="X72" s="348" t="s">
        <v>9</v>
      </c>
      <c r="Y72" s="593"/>
      <c r="Z72" s="593"/>
      <c r="AA72" s="594"/>
      <c r="AB72" s="27" t="s">
        <v>10</v>
      </c>
      <c r="AC72" s="576"/>
      <c r="AD72" s="576"/>
      <c r="AE72" s="595"/>
      <c r="AF72" s="595"/>
      <c r="AG72" s="596"/>
    </row>
    <row r="73" spans="1:35" ht="21.95" customHeight="1" x14ac:dyDescent="0.2">
      <c r="A73" s="360"/>
      <c r="B73" s="305" t="s">
        <v>533</v>
      </c>
      <c r="C73" s="598" t="s">
        <v>534</v>
      </c>
      <c r="D73" s="482"/>
      <c r="E73" s="483"/>
      <c r="F73" s="598" t="s">
        <v>534</v>
      </c>
      <c r="G73" s="482"/>
      <c r="H73" s="483"/>
      <c r="I73" s="598" t="s">
        <v>534</v>
      </c>
      <c r="J73" s="482"/>
      <c r="K73" s="483"/>
      <c r="L73" s="598" t="s">
        <v>534</v>
      </c>
      <c r="M73" s="482"/>
      <c r="N73" s="483"/>
      <c r="O73" s="598" t="s">
        <v>116</v>
      </c>
      <c r="P73" s="482"/>
      <c r="Q73" s="483"/>
      <c r="R73" s="598"/>
      <c r="S73" s="482"/>
      <c r="T73" s="483"/>
      <c r="U73" s="598"/>
      <c r="V73" s="482"/>
      <c r="W73" s="483"/>
      <c r="X73" s="598"/>
      <c r="Y73" s="482"/>
      <c r="Z73" s="482"/>
      <c r="AA73" s="482"/>
      <c r="AB73" s="475"/>
      <c r="AC73" s="482"/>
      <c r="AD73" s="482"/>
      <c r="AE73" s="482"/>
      <c r="AF73" s="482"/>
      <c r="AG73" s="599"/>
    </row>
    <row r="74" spans="1:35" ht="21.95" customHeight="1" x14ac:dyDescent="0.2">
      <c r="A74" s="360"/>
      <c r="B74" s="305" t="s">
        <v>535</v>
      </c>
      <c r="C74" s="598" t="s">
        <v>147</v>
      </c>
      <c r="D74" s="482"/>
      <c r="E74" s="483"/>
      <c r="F74" s="598" t="s">
        <v>147</v>
      </c>
      <c r="G74" s="482"/>
      <c r="H74" s="483"/>
      <c r="I74" s="598" t="s">
        <v>147</v>
      </c>
      <c r="J74" s="482"/>
      <c r="K74" s="483"/>
      <c r="L74" s="598" t="s">
        <v>147</v>
      </c>
      <c r="M74" s="482"/>
      <c r="N74" s="483"/>
      <c r="O74" s="598" t="s">
        <v>536</v>
      </c>
      <c r="P74" s="482"/>
      <c r="Q74" s="483"/>
      <c r="R74" s="598"/>
      <c r="S74" s="482"/>
      <c r="T74" s="483"/>
      <c r="U74" s="598"/>
      <c r="V74" s="482"/>
      <c r="W74" s="483"/>
      <c r="X74" s="598"/>
      <c r="Y74" s="482"/>
      <c r="Z74" s="482"/>
      <c r="AA74" s="482"/>
      <c r="AB74" s="475"/>
      <c r="AC74" s="482"/>
      <c r="AD74" s="482"/>
      <c r="AE74" s="482"/>
      <c r="AF74" s="482"/>
      <c r="AG74" s="599"/>
    </row>
    <row r="75" spans="1:35" ht="21.95" customHeight="1" x14ac:dyDescent="0.2">
      <c r="A75" s="360"/>
      <c r="B75" s="69"/>
      <c r="C75" s="360"/>
      <c r="D75" s="360"/>
      <c r="E75" s="360"/>
      <c r="F75" s="360"/>
      <c r="G75" s="360"/>
      <c r="H75" s="360"/>
      <c r="I75" s="360"/>
      <c r="J75" s="360"/>
      <c r="K75" s="360"/>
      <c r="L75" s="360"/>
      <c r="M75" s="360"/>
      <c r="N75" s="360"/>
      <c r="O75" s="360"/>
      <c r="P75" s="360"/>
      <c r="Q75" s="360"/>
      <c r="R75" s="360"/>
      <c r="S75" s="360"/>
      <c r="T75" s="360"/>
      <c r="U75" s="360"/>
      <c r="V75" s="360"/>
      <c r="W75" s="360"/>
      <c r="X75" s="360"/>
      <c r="Y75" s="360"/>
      <c r="Z75" s="360"/>
      <c r="AA75" s="360"/>
      <c r="AB75" s="360"/>
      <c r="AC75" s="360"/>
      <c r="AD75" s="360"/>
      <c r="AE75" s="360"/>
      <c r="AF75" s="360"/>
      <c r="AG75" s="360"/>
    </row>
    <row r="76" spans="1:35" ht="21.95" customHeight="1" x14ac:dyDescent="0.2">
      <c r="A76" s="585" t="s">
        <v>468</v>
      </c>
      <c r="B76" s="296" t="s">
        <v>469</v>
      </c>
      <c r="C76" s="497">
        <v>1</v>
      </c>
      <c r="D76" s="177">
        <v>2</v>
      </c>
      <c r="E76" s="177">
        <v>3</v>
      </c>
      <c r="F76" s="177">
        <v>4</v>
      </c>
      <c r="G76" s="177">
        <v>5</v>
      </c>
      <c r="H76" s="177">
        <v>6</v>
      </c>
      <c r="I76" s="498">
        <v>7</v>
      </c>
      <c r="J76" s="498">
        <v>8</v>
      </c>
      <c r="K76" s="177">
        <v>9</v>
      </c>
      <c r="L76" s="177">
        <v>10</v>
      </c>
      <c r="M76" s="177">
        <v>11</v>
      </c>
      <c r="N76" s="177">
        <v>12</v>
      </c>
      <c r="O76" s="177">
        <v>13</v>
      </c>
      <c r="P76" s="498">
        <v>14</v>
      </c>
      <c r="Q76" s="498">
        <v>15</v>
      </c>
      <c r="R76" s="177">
        <v>16</v>
      </c>
      <c r="S76" s="177">
        <v>17</v>
      </c>
      <c r="T76" s="177">
        <v>18</v>
      </c>
      <c r="U76" s="177">
        <v>19</v>
      </c>
      <c r="V76" s="498">
        <v>20</v>
      </c>
      <c r="W76" s="498">
        <v>21</v>
      </c>
      <c r="X76" s="498">
        <v>22</v>
      </c>
      <c r="Y76" s="177">
        <v>23</v>
      </c>
      <c r="Z76" s="177">
        <v>24</v>
      </c>
      <c r="AA76" s="177">
        <v>25</v>
      </c>
      <c r="AB76" s="177">
        <v>26</v>
      </c>
      <c r="AC76" s="177">
        <v>27</v>
      </c>
      <c r="AD76" s="498">
        <v>28</v>
      </c>
      <c r="AE76" s="498">
        <v>29</v>
      </c>
      <c r="AF76" s="177">
        <v>30</v>
      </c>
      <c r="AG76" s="177">
        <v>31</v>
      </c>
      <c r="AH76" s="499" t="s">
        <v>470</v>
      </c>
      <c r="AI76" s="500" t="s">
        <v>471</v>
      </c>
    </row>
    <row r="77" spans="1:35" ht="21.95" customHeight="1" x14ac:dyDescent="0.2">
      <c r="A77" s="185">
        <v>8520</v>
      </c>
      <c r="B77" s="185" t="s">
        <v>537</v>
      </c>
      <c r="C77" s="521"/>
      <c r="D77" s="553" t="s">
        <v>538</v>
      </c>
      <c r="E77" s="553" t="s">
        <v>538</v>
      </c>
      <c r="F77" s="587" t="s">
        <v>538</v>
      </c>
      <c r="G77" s="553" t="s">
        <v>538</v>
      </c>
      <c r="H77" s="553" t="s">
        <v>538</v>
      </c>
      <c r="I77" s="553"/>
      <c r="J77" s="553"/>
      <c r="K77" s="553" t="s">
        <v>538</v>
      </c>
      <c r="L77" s="553" t="s">
        <v>538</v>
      </c>
      <c r="M77" s="587" t="s">
        <v>538</v>
      </c>
      <c r="N77" s="553" t="s">
        <v>538</v>
      </c>
      <c r="O77" s="553" t="s">
        <v>538</v>
      </c>
      <c r="P77" s="553"/>
      <c r="Q77" s="553"/>
      <c r="R77" s="553" t="s">
        <v>538</v>
      </c>
      <c r="S77" s="553" t="s">
        <v>538</v>
      </c>
      <c r="T77" s="587" t="s">
        <v>538</v>
      </c>
      <c r="U77" s="553" t="s">
        <v>538</v>
      </c>
      <c r="V77" s="553"/>
      <c r="W77" s="553"/>
      <c r="X77" s="553"/>
      <c r="Y77" s="553" t="s">
        <v>538</v>
      </c>
      <c r="Z77" s="553" t="s">
        <v>538</v>
      </c>
      <c r="AA77" s="587" t="s">
        <v>538</v>
      </c>
      <c r="AB77" s="553" t="s">
        <v>538</v>
      </c>
      <c r="AC77" s="553" t="s">
        <v>538</v>
      </c>
      <c r="AD77" s="553"/>
      <c r="AE77" s="553"/>
      <c r="AF77" s="553" t="s">
        <v>538</v>
      </c>
      <c r="AG77" s="553" t="s">
        <v>538</v>
      </c>
      <c r="AH77" s="505">
        <v>190</v>
      </c>
      <c r="AI77" s="506">
        <v>37</v>
      </c>
    </row>
    <row r="78" spans="1:35" ht="21.95" customHeight="1" x14ac:dyDescent="0.2">
      <c r="A78" s="185">
        <v>8521</v>
      </c>
      <c r="B78" s="185" t="s">
        <v>539</v>
      </c>
      <c r="C78" s="553"/>
      <c r="D78" s="503" t="s">
        <v>540</v>
      </c>
      <c r="E78" s="503" t="s">
        <v>540</v>
      </c>
      <c r="F78" s="503" t="s">
        <v>540</v>
      </c>
      <c r="G78" s="1078" t="s">
        <v>540</v>
      </c>
      <c r="H78" s="1078" t="s">
        <v>540</v>
      </c>
      <c r="I78" s="503"/>
      <c r="J78" s="503"/>
      <c r="K78" s="503" t="s">
        <v>540</v>
      </c>
      <c r="L78" s="503" t="s">
        <v>540</v>
      </c>
      <c r="M78" s="503" t="s">
        <v>540</v>
      </c>
      <c r="N78" s="503" t="s">
        <v>540</v>
      </c>
      <c r="O78" s="503" t="s">
        <v>540</v>
      </c>
      <c r="P78" s="503"/>
      <c r="Q78" s="503"/>
      <c r="R78" s="503" t="s">
        <v>540</v>
      </c>
      <c r="S78" s="503" t="s">
        <v>540</v>
      </c>
      <c r="T78" s="1078" t="s">
        <v>540</v>
      </c>
      <c r="U78" s="1078" t="s">
        <v>540</v>
      </c>
      <c r="V78" s="503"/>
      <c r="W78" s="503"/>
      <c r="X78" s="503"/>
      <c r="Y78" s="503" t="s">
        <v>540</v>
      </c>
      <c r="Z78" s="503" t="s">
        <v>540</v>
      </c>
      <c r="AA78" s="503" t="s">
        <v>540</v>
      </c>
      <c r="AB78" s="503" t="s">
        <v>540</v>
      </c>
      <c r="AC78" s="503" t="s">
        <v>540</v>
      </c>
      <c r="AD78" s="503"/>
      <c r="AE78" s="503"/>
      <c r="AF78" s="1078" t="s">
        <v>540</v>
      </c>
      <c r="AG78" s="1078" t="s">
        <v>540</v>
      </c>
      <c r="AH78" s="505">
        <v>185</v>
      </c>
      <c r="AI78" s="506">
        <v>37</v>
      </c>
    </row>
    <row r="79" spans="1:35" ht="21.95" customHeight="1" x14ac:dyDescent="0.2">
      <c r="A79" s="360"/>
      <c r="B79" s="360"/>
      <c r="C79" s="546"/>
      <c r="D79" s="525"/>
      <c r="E79" s="525"/>
      <c r="F79" s="525"/>
      <c r="G79" s="525"/>
      <c r="H79" s="525"/>
      <c r="I79" s="525"/>
      <c r="J79" s="525"/>
      <c r="K79" s="525"/>
      <c r="L79" s="525"/>
      <c r="M79" s="525"/>
      <c r="N79" s="525"/>
      <c r="O79" s="525"/>
      <c r="P79" s="525"/>
      <c r="Q79" s="525"/>
      <c r="R79" s="525"/>
      <c r="S79" s="525"/>
      <c r="T79" s="525"/>
      <c r="U79" s="525"/>
      <c r="V79" s="525"/>
      <c r="W79" s="525"/>
      <c r="X79" s="525"/>
      <c r="Y79" s="525"/>
      <c r="Z79" s="525"/>
      <c r="AA79" s="525"/>
      <c r="AB79" s="525"/>
      <c r="AC79" s="525"/>
      <c r="AD79" s="525"/>
      <c r="AE79" s="525"/>
      <c r="AF79" s="525"/>
      <c r="AG79" s="525"/>
      <c r="AH79" s="591"/>
      <c r="AI79" s="591"/>
    </row>
    <row r="80" spans="1:35" ht="21.95" customHeight="1" x14ac:dyDescent="0.2">
      <c r="A80" s="360"/>
      <c r="B80" s="360"/>
      <c r="C80" s="546"/>
      <c r="D80" s="525"/>
      <c r="E80" s="525"/>
      <c r="F80" s="525"/>
      <c r="G80" s="525"/>
      <c r="H80" s="525"/>
      <c r="I80" s="525"/>
      <c r="J80" s="525"/>
      <c r="K80" s="525"/>
      <c r="L80" s="525"/>
      <c r="M80" s="525"/>
      <c r="N80" s="525"/>
      <c r="O80" s="525"/>
      <c r="P80" s="525"/>
      <c r="Q80" s="525"/>
      <c r="R80" s="525"/>
      <c r="S80" s="525"/>
      <c r="T80" s="525"/>
      <c r="U80" s="525"/>
      <c r="V80" s="525"/>
      <c r="W80" s="525"/>
      <c r="X80" s="525"/>
      <c r="Y80" s="525"/>
      <c r="Z80" s="525"/>
      <c r="AA80" s="525"/>
      <c r="AB80" s="525"/>
      <c r="AC80" s="525"/>
      <c r="AD80" s="525"/>
      <c r="AE80" s="525"/>
      <c r="AF80" s="525"/>
      <c r="AG80" s="525"/>
      <c r="AH80" s="591"/>
      <c r="AI80" s="591"/>
    </row>
    <row r="81" spans="1:35" ht="21.95" customHeight="1" x14ac:dyDescent="0.2">
      <c r="A81" s="360"/>
      <c r="B81" s="360"/>
      <c r="C81" s="546"/>
      <c r="D81" s="525"/>
      <c r="E81" s="525"/>
      <c r="F81" s="525"/>
      <c r="G81" s="525"/>
      <c r="H81" s="525"/>
      <c r="I81" s="525"/>
      <c r="J81" s="525"/>
      <c r="K81" s="525"/>
      <c r="L81" s="525"/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25"/>
      <c r="X81" s="525"/>
      <c r="Y81" s="525"/>
      <c r="Z81" s="525"/>
      <c r="AA81" s="525"/>
      <c r="AB81" s="525"/>
      <c r="AC81" s="525"/>
      <c r="AD81" s="525"/>
      <c r="AE81" s="525"/>
      <c r="AF81" s="525"/>
      <c r="AG81" s="525"/>
      <c r="AH81" s="591"/>
      <c r="AI81" s="591"/>
    </row>
    <row r="82" spans="1:35" ht="21.95" customHeight="1" x14ac:dyDescent="0.2">
      <c r="A82" s="1" t="s">
        <v>541</v>
      </c>
      <c r="D82" s="360"/>
      <c r="E82" s="360"/>
      <c r="F82" s="360"/>
      <c r="G82" s="57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1"/>
      <c r="B83" s="23" t="s">
        <v>542</v>
      </c>
      <c r="C83" s="7"/>
      <c r="D83" s="530" t="s">
        <v>2</v>
      </c>
      <c r="E83" s="51"/>
      <c r="F83" s="573"/>
      <c r="G83" s="7"/>
      <c r="H83" s="530" t="s">
        <v>3</v>
      </c>
      <c r="I83" s="51"/>
      <c r="J83" s="573"/>
      <c r="K83" s="7"/>
      <c r="L83" s="530" t="s">
        <v>4</v>
      </c>
      <c r="M83" s="51"/>
      <c r="N83" s="573"/>
      <c r="O83" s="7"/>
      <c r="P83" s="530" t="s">
        <v>5</v>
      </c>
      <c r="Q83" s="51"/>
      <c r="R83" s="573"/>
      <c r="S83" s="7"/>
      <c r="T83" s="530" t="s">
        <v>6</v>
      </c>
      <c r="U83" s="51"/>
      <c r="V83" s="573"/>
      <c r="W83" s="27"/>
      <c r="X83" s="1054" t="s">
        <v>7</v>
      </c>
      <c r="Y83" s="527"/>
      <c r="Z83" s="237"/>
      <c r="AA83" s="7"/>
      <c r="AB83" s="530" t="s">
        <v>8</v>
      </c>
      <c r="AC83" s="51"/>
      <c r="AD83" s="51"/>
      <c r="AE83" s="348" t="s">
        <v>9</v>
      </c>
      <c r="AF83" s="51"/>
      <c r="AG83" s="51"/>
      <c r="AH83" s="51"/>
      <c r="AI83" s="531"/>
    </row>
    <row r="84" spans="1:35" ht="21.95" customHeight="1" x14ac:dyDescent="0.2">
      <c r="A84" s="1"/>
      <c r="B84" s="129" t="s">
        <v>324</v>
      </c>
      <c r="C84" s="611" t="s">
        <v>543</v>
      </c>
      <c r="E84" s="156"/>
      <c r="F84" s="612"/>
      <c r="G84" s="611" t="s">
        <v>543</v>
      </c>
      <c r="H84" s="156"/>
      <c r="I84" s="156"/>
      <c r="J84" s="612"/>
      <c r="K84" s="611" t="s">
        <v>543</v>
      </c>
      <c r="L84" s="156"/>
      <c r="M84" s="156"/>
      <c r="N84" s="612"/>
      <c r="O84" s="611" t="s">
        <v>543</v>
      </c>
      <c r="P84" s="156"/>
      <c r="Q84" s="156"/>
      <c r="R84" s="612"/>
      <c r="S84" s="611" t="s">
        <v>544</v>
      </c>
      <c r="T84" s="156"/>
      <c r="U84" s="156"/>
      <c r="V84" s="613"/>
      <c r="W84" s="1055"/>
      <c r="X84" s="1056"/>
      <c r="Y84" s="1056"/>
      <c r="Z84" s="1057"/>
      <c r="AA84" s="613"/>
      <c r="AB84" s="156"/>
      <c r="AC84" s="156"/>
      <c r="AD84" s="613"/>
      <c r="AE84" s="121">
        <v>37</v>
      </c>
      <c r="AG84" s="156"/>
      <c r="AH84" s="613"/>
      <c r="AI84" s="489"/>
    </row>
    <row r="85" spans="1:35" ht="21.95" customHeight="1" x14ac:dyDescent="0.2">
      <c r="A85" s="1"/>
      <c r="B85" s="129" t="s">
        <v>325</v>
      </c>
      <c r="C85" s="611" t="s">
        <v>545</v>
      </c>
      <c r="D85" s="156"/>
      <c r="E85" s="156"/>
      <c r="F85" s="612"/>
      <c r="G85" s="611" t="s">
        <v>545</v>
      </c>
      <c r="H85" s="156"/>
      <c r="I85" s="156"/>
      <c r="J85" s="612"/>
      <c r="K85" s="611" t="s">
        <v>545</v>
      </c>
      <c r="L85" s="156"/>
      <c r="M85" s="156"/>
      <c r="N85" s="612"/>
      <c r="O85" s="611" t="s">
        <v>545</v>
      </c>
      <c r="P85" s="156"/>
      <c r="Q85" s="156"/>
      <c r="R85" s="612"/>
      <c r="S85" s="611" t="s">
        <v>546</v>
      </c>
      <c r="T85" s="156"/>
      <c r="U85" s="156"/>
      <c r="V85" s="612"/>
      <c r="W85" s="660" t="s">
        <v>547</v>
      </c>
      <c r="X85" s="55"/>
      <c r="Y85" s="55"/>
      <c r="Z85" s="55"/>
      <c r="AA85" s="611" t="s">
        <v>548</v>
      </c>
      <c r="AB85" s="611"/>
      <c r="AC85" s="611"/>
      <c r="AD85" s="611"/>
      <c r="AE85" s="154">
        <v>68.25</v>
      </c>
      <c r="AF85" s="156"/>
      <c r="AG85" s="615"/>
      <c r="AH85" s="616"/>
      <c r="AI85" s="617"/>
    </row>
    <row r="86" spans="1:35" ht="21.95" customHeight="1" x14ac:dyDescent="0.2">
      <c r="A86" s="1"/>
      <c r="B86" s="129" t="s">
        <v>326</v>
      </c>
      <c r="C86" s="1053" t="s">
        <v>167</v>
      </c>
      <c r="D86" s="156"/>
      <c r="E86" s="156"/>
      <c r="F86" s="612"/>
      <c r="G86" s="156" t="s">
        <v>167</v>
      </c>
      <c r="H86" s="156"/>
      <c r="I86" s="156"/>
      <c r="J86" s="612"/>
      <c r="K86" s="156" t="s">
        <v>167</v>
      </c>
      <c r="L86" s="156"/>
      <c r="M86" s="156"/>
      <c r="N86" s="612"/>
      <c r="O86" s="156" t="s">
        <v>167</v>
      </c>
      <c r="P86" s="156"/>
      <c r="Q86" s="156"/>
      <c r="R86" s="612"/>
      <c r="S86" s="156" t="s">
        <v>167</v>
      </c>
      <c r="T86" s="156"/>
      <c r="U86" s="156"/>
      <c r="V86" s="612"/>
      <c r="W86" s="611"/>
      <c r="X86" s="156"/>
      <c r="Y86" s="156"/>
      <c r="Z86" s="612"/>
      <c r="AA86" s="611"/>
      <c r="AB86" s="156"/>
      <c r="AC86" s="156"/>
      <c r="AD86" s="613"/>
      <c r="AE86" s="614">
        <v>0</v>
      </c>
      <c r="AF86" s="615"/>
      <c r="AG86" s="156"/>
      <c r="AH86" s="613"/>
      <c r="AI86" s="489"/>
    </row>
    <row r="87" spans="1:35" ht="21.95" customHeight="1" x14ac:dyDescent="0.2">
      <c r="A87" s="1"/>
      <c r="B87" s="47"/>
      <c r="C87" s="618"/>
      <c r="D87" s="53"/>
      <c r="E87" s="53"/>
      <c r="F87" s="619"/>
      <c r="G87" s="618"/>
      <c r="H87" s="53"/>
      <c r="I87" s="53"/>
      <c r="J87" s="619"/>
      <c r="K87" s="618"/>
      <c r="L87" s="53"/>
      <c r="M87" s="53"/>
      <c r="N87" s="619"/>
      <c r="O87" s="618"/>
      <c r="P87" s="53"/>
      <c r="Q87" s="53"/>
      <c r="R87" s="619"/>
      <c r="S87" s="618"/>
      <c r="T87" s="53"/>
      <c r="U87" s="53"/>
      <c r="V87" s="619"/>
      <c r="W87" s="53"/>
      <c r="X87" s="53"/>
      <c r="Y87" s="53"/>
      <c r="Z87" s="53"/>
      <c r="AA87" s="53"/>
      <c r="AB87" s="53"/>
      <c r="AC87" s="53"/>
      <c r="AD87" s="53"/>
      <c r="AE87" s="581"/>
      <c r="AF87" s="53"/>
      <c r="AG87" s="53"/>
      <c r="AH87" s="620"/>
      <c r="AI87" s="544"/>
    </row>
    <row r="88" spans="1:35" ht="21.95" customHeight="1" x14ac:dyDescent="0.2">
      <c r="A88" s="621"/>
      <c r="B88" s="1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0"/>
      <c r="X88" s="360"/>
      <c r="Y88" s="360"/>
      <c r="Z88" s="360"/>
      <c r="AA88" s="360"/>
      <c r="AB88" s="360"/>
      <c r="AC88" s="360"/>
      <c r="AD88" s="360"/>
      <c r="AE88" s="360"/>
      <c r="AF88" s="360"/>
      <c r="AG88" s="360"/>
    </row>
    <row r="89" spans="1:35" ht="21.95" customHeight="1" x14ac:dyDescent="0.2">
      <c r="A89" s="585"/>
      <c r="B89" s="296" t="s">
        <v>469</v>
      </c>
      <c r="C89" s="497">
        <v>1</v>
      </c>
      <c r="D89" s="177">
        <v>2</v>
      </c>
      <c r="E89" s="177">
        <v>3</v>
      </c>
      <c r="F89" s="177">
        <v>4</v>
      </c>
      <c r="G89" s="177">
        <v>5</v>
      </c>
      <c r="H89" s="177">
        <v>6</v>
      </c>
      <c r="I89" s="498">
        <v>7</v>
      </c>
      <c r="J89" s="498">
        <v>8</v>
      </c>
      <c r="K89" s="177">
        <v>9</v>
      </c>
      <c r="L89" s="177">
        <v>10</v>
      </c>
      <c r="M89" s="177">
        <v>11</v>
      </c>
      <c r="N89" s="177">
        <v>12</v>
      </c>
      <c r="O89" s="177">
        <v>13</v>
      </c>
      <c r="P89" s="498">
        <v>14</v>
      </c>
      <c r="Q89" s="498">
        <v>15</v>
      </c>
      <c r="R89" s="177">
        <v>16</v>
      </c>
      <c r="S89" s="177">
        <v>17</v>
      </c>
      <c r="T89" s="177">
        <v>18</v>
      </c>
      <c r="U89" s="177">
        <v>19</v>
      </c>
      <c r="V89" s="498">
        <v>20</v>
      </c>
      <c r="W89" s="498">
        <v>21</v>
      </c>
      <c r="X89" s="498">
        <v>22</v>
      </c>
      <c r="Y89" s="177">
        <v>23</v>
      </c>
      <c r="Z89" s="177">
        <v>24</v>
      </c>
      <c r="AA89" s="177">
        <v>25</v>
      </c>
      <c r="AB89" s="177">
        <v>26</v>
      </c>
      <c r="AC89" s="177">
        <v>27</v>
      </c>
      <c r="AD89" s="498">
        <v>28</v>
      </c>
      <c r="AE89" s="498">
        <v>29</v>
      </c>
      <c r="AF89" s="177">
        <v>30</v>
      </c>
      <c r="AG89" s="177">
        <v>31</v>
      </c>
      <c r="AH89" s="499" t="s">
        <v>470</v>
      </c>
      <c r="AI89" s="500" t="s">
        <v>471</v>
      </c>
    </row>
    <row r="90" spans="1:35" ht="21.95" customHeight="1" x14ac:dyDescent="0.2">
      <c r="A90" s="622">
        <v>1</v>
      </c>
      <c r="B90" s="152" t="s">
        <v>549</v>
      </c>
      <c r="C90" s="587" t="s">
        <v>550</v>
      </c>
      <c r="D90" s="587" t="s">
        <v>475</v>
      </c>
      <c r="E90" s="587" t="s">
        <v>475</v>
      </c>
      <c r="F90" s="587" t="s">
        <v>475</v>
      </c>
      <c r="G90" s="587" t="s">
        <v>475</v>
      </c>
      <c r="H90" s="587" t="s">
        <v>475</v>
      </c>
      <c r="I90" s="587"/>
      <c r="J90" s="587"/>
      <c r="K90" s="587" t="s">
        <v>551</v>
      </c>
      <c r="L90" s="587" t="s">
        <v>551</v>
      </c>
      <c r="M90" s="587" t="s">
        <v>551</v>
      </c>
      <c r="N90" s="587" t="s">
        <v>551</v>
      </c>
      <c r="O90" s="587" t="s">
        <v>551</v>
      </c>
      <c r="P90" s="587"/>
      <c r="Q90" s="587"/>
      <c r="R90" s="1085" t="s">
        <v>513</v>
      </c>
      <c r="S90" s="587" t="s">
        <v>513</v>
      </c>
      <c r="T90" s="587" t="s">
        <v>552</v>
      </c>
      <c r="U90" s="587" t="s">
        <v>552</v>
      </c>
      <c r="V90" s="587" t="s">
        <v>513</v>
      </c>
      <c r="W90" s="587" t="s">
        <v>550</v>
      </c>
      <c r="X90" s="587" t="s">
        <v>550</v>
      </c>
      <c r="Y90" s="553">
        <v>1</v>
      </c>
      <c r="Z90" s="553">
        <v>1</v>
      </c>
      <c r="AA90" s="553">
        <v>1</v>
      </c>
      <c r="AB90" s="553">
        <v>1</v>
      </c>
      <c r="AC90" s="553">
        <v>1</v>
      </c>
      <c r="AD90" s="587"/>
      <c r="AE90" s="587"/>
      <c r="AF90" s="587" t="s">
        <v>540</v>
      </c>
      <c r="AG90" s="587" t="s">
        <v>551</v>
      </c>
      <c r="AH90" s="505">
        <v>203</v>
      </c>
      <c r="AI90" s="506">
        <v>37</v>
      </c>
    </row>
    <row r="91" spans="1:35" ht="21.95" customHeight="1" x14ac:dyDescent="0.2">
      <c r="A91" s="622">
        <v>2</v>
      </c>
      <c r="B91" s="318" t="s">
        <v>553</v>
      </c>
      <c r="C91" s="587"/>
      <c r="D91" s="587" t="s">
        <v>551</v>
      </c>
      <c r="E91" s="587" t="s">
        <v>551</v>
      </c>
      <c r="F91" s="587" t="s">
        <v>551</v>
      </c>
      <c r="G91" s="587" t="s">
        <v>551</v>
      </c>
      <c r="H91" s="587" t="s">
        <v>551</v>
      </c>
      <c r="I91" s="587"/>
      <c r="J91" s="587"/>
      <c r="K91" s="587" t="s">
        <v>513</v>
      </c>
      <c r="L91" s="587" t="s">
        <v>513</v>
      </c>
      <c r="M91" s="587" t="s">
        <v>513</v>
      </c>
      <c r="N91" s="587" t="s">
        <v>513</v>
      </c>
      <c r="O91" s="587" t="s">
        <v>513</v>
      </c>
      <c r="P91" s="587" t="s">
        <v>550</v>
      </c>
      <c r="Q91" s="587" t="s">
        <v>550</v>
      </c>
      <c r="R91" s="587" t="s">
        <v>475</v>
      </c>
      <c r="S91" s="587" t="s">
        <v>475</v>
      </c>
      <c r="T91" s="587" t="s">
        <v>475</v>
      </c>
      <c r="U91" s="587" t="s">
        <v>475</v>
      </c>
      <c r="V91" s="587" t="s">
        <v>475</v>
      </c>
      <c r="W91" s="587"/>
      <c r="X91" s="587"/>
      <c r="Y91" s="587" t="s">
        <v>551</v>
      </c>
      <c r="Z91" s="587" t="s">
        <v>551</v>
      </c>
      <c r="AA91" s="587" t="s">
        <v>551</v>
      </c>
      <c r="AB91" s="587" t="s">
        <v>551</v>
      </c>
      <c r="AC91" s="587" t="s">
        <v>551</v>
      </c>
      <c r="AD91" s="587"/>
      <c r="AE91" s="587"/>
      <c r="AF91" s="587" t="s">
        <v>513</v>
      </c>
      <c r="AG91" s="587" t="s">
        <v>513</v>
      </c>
      <c r="AH91" s="505">
        <v>185</v>
      </c>
      <c r="AI91" s="506">
        <v>37</v>
      </c>
    </row>
    <row r="92" spans="1:35" ht="21.95" customHeight="1" x14ac:dyDescent="0.2">
      <c r="A92" s="622">
        <v>3</v>
      </c>
      <c r="B92" s="552" t="s">
        <v>554</v>
      </c>
      <c r="C92" s="1091"/>
      <c r="D92" s="1091" t="s">
        <v>513</v>
      </c>
      <c r="E92" s="1091" t="s">
        <v>513</v>
      </c>
      <c r="F92" s="1091" t="s">
        <v>513</v>
      </c>
      <c r="G92" s="1091" t="s">
        <v>513</v>
      </c>
      <c r="H92" s="1091" t="s">
        <v>513</v>
      </c>
      <c r="I92" s="1091" t="s">
        <v>550</v>
      </c>
      <c r="J92" s="1091" t="s">
        <v>550</v>
      </c>
      <c r="K92" s="1091" t="s">
        <v>475</v>
      </c>
      <c r="L92" s="1091" t="s">
        <v>475</v>
      </c>
      <c r="M92" s="1091" t="s">
        <v>475</v>
      </c>
      <c r="N92" s="1091" t="s">
        <v>475</v>
      </c>
      <c r="O92" s="1091" t="s">
        <v>475</v>
      </c>
      <c r="P92" s="1091"/>
      <c r="Q92" s="1091"/>
      <c r="R92" s="1091" t="s">
        <v>551</v>
      </c>
      <c r="S92" s="1091" t="s">
        <v>551</v>
      </c>
      <c r="T92" s="1091" t="s">
        <v>551</v>
      </c>
      <c r="U92" s="1091" t="s">
        <v>551</v>
      </c>
      <c r="V92" s="1091" t="s">
        <v>551</v>
      </c>
      <c r="W92" s="1091"/>
      <c r="X92" s="1091"/>
      <c r="Y92" s="1091" t="s">
        <v>513</v>
      </c>
      <c r="Z92" s="1091" t="s">
        <v>513</v>
      </c>
      <c r="AA92" s="1091" t="s">
        <v>513</v>
      </c>
      <c r="AB92" s="1091" t="s">
        <v>513</v>
      </c>
      <c r="AC92" s="1091" t="s">
        <v>513</v>
      </c>
      <c r="AD92" s="1091" t="s">
        <v>550</v>
      </c>
      <c r="AE92" s="1091" t="s">
        <v>550</v>
      </c>
      <c r="AF92" s="1091" t="s">
        <v>475</v>
      </c>
      <c r="AG92" s="1091" t="s">
        <v>475</v>
      </c>
      <c r="AH92" s="505">
        <v>185</v>
      </c>
      <c r="AI92" s="506">
        <v>37</v>
      </c>
    </row>
    <row r="93" spans="1:35" ht="21.95" customHeight="1" x14ac:dyDescent="0.2"/>
    <row r="94" spans="1:35" ht="21.95" customHeight="1" x14ac:dyDescent="0.2">
      <c r="A94" s="623"/>
      <c r="B94" s="353"/>
      <c r="C94" s="590"/>
      <c r="D94" s="590"/>
      <c r="E94" s="590"/>
      <c r="F94" s="590"/>
      <c r="G94" s="590"/>
      <c r="H94" s="590"/>
      <c r="I94" s="590"/>
      <c r="J94" s="590"/>
      <c r="K94" s="590"/>
      <c r="L94" s="590"/>
      <c r="M94" s="590"/>
      <c r="N94" s="590"/>
      <c r="O94" s="590"/>
      <c r="P94" s="590"/>
      <c r="Q94" s="590"/>
      <c r="R94" s="590"/>
      <c r="S94" s="590"/>
      <c r="T94" s="590"/>
      <c r="U94" s="590"/>
      <c r="V94" s="590"/>
      <c r="W94" s="590"/>
      <c r="X94" s="590"/>
      <c r="Y94" s="590"/>
      <c r="Z94" s="590"/>
      <c r="AA94" s="590"/>
      <c r="AB94" s="590"/>
      <c r="AC94" s="590"/>
      <c r="AD94" s="590"/>
      <c r="AE94" s="590"/>
      <c r="AF94" s="590"/>
      <c r="AH94" s="591"/>
      <c r="AI94" s="591"/>
    </row>
    <row r="95" spans="1:35" ht="21.95" customHeight="1" x14ac:dyDescent="0.2">
      <c r="A95" s="1" t="s">
        <v>555</v>
      </c>
      <c r="D95" s="360"/>
      <c r="E95" s="360"/>
      <c r="F95" s="360"/>
      <c r="G95" s="57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1"/>
      <c r="B96" s="23" t="s">
        <v>556</v>
      </c>
      <c r="C96" s="7"/>
      <c r="D96" s="530" t="s">
        <v>2</v>
      </c>
      <c r="E96" s="51"/>
      <c r="F96" s="573"/>
      <c r="G96" s="7"/>
      <c r="H96" s="530" t="s">
        <v>3</v>
      </c>
      <c r="I96" s="51"/>
      <c r="J96" s="573"/>
      <c r="K96" s="7"/>
      <c r="L96" s="530" t="s">
        <v>4</v>
      </c>
      <c r="M96" s="51"/>
      <c r="N96" s="573"/>
      <c r="O96" s="7"/>
      <c r="P96" s="530" t="s">
        <v>5</v>
      </c>
      <c r="Q96" s="51"/>
      <c r="R96" s="573"/>
      <c r="S96" s="7"/>
      <c r="T96" s="530" t="s">
        <v>6</v>
      </c>
      <c r="U96" s="51"/>
      <c r="V96" s="573"/>
      <c r="W96" s="7"/>
      <c r="X96" s="530" t="s">
        <v>7</v>
      </c>
      <c r="Y96" s="51"/>
      <c r="Z96" s="573"/>
      <c r="AA96" s="7"/>
      <c r="AB96" s="530" t="s">
        <v>8</v>
      </c>
      <c r="AC96" s="51"/>
      <c r="AD96" s="51"/>
      <c r="AE96" s="424" t="s">
        <v>10</v>
      </c>
      <c r="AF96" s="51"/>
      <c r="AG96" s="51"/>
      <c r="AH96" s="51"/>
      <c r="AI96" s="531"/>
    </row>
    <row r="97" spans="1:35" ht="21.95" customHeight="1" x14ac:dyDescent="0.2">
      <c r="A97" s="1"/>
      <c r="B97" s="129" t="s">
        <v>324</v>
      </c>
      <c r="C97" s="611"/>
      <c r="D97" s="156" t="s">
        <v>167</v>
      </c>
      <c r="E97" s="156"/>
      <c r="F97" s="612"/>
      <c r="G97" s="611"/>
      <c r="H97" s="156" t="s">
        <v>167</v>
      </c>
      <c r="I97" s="156"/>
      <c r="J97" s="612"/>
      <c r="K97" s="611" t="s">
        <v>557</v>
      </c>
      <c r="L97" s="156"/>
      <c r="M97" s="156"/>
      <c r="N97" s="612"/>
      <c r="O97" s="611" t="s">
        <v>557</v>
      </c>
      <c r="P97" s="156"/>
      <c r="Q97" s="156"/>
      <c r="R97" s="612"/>
      <c r="S97" s="611" t="s">
        <v>557</v>
      </c>
      <c r="T97" s="156"/>
      <c r="U97" s="156"/>
      <c r="V97" s="612"/>
      <c r="W97" s="611" t="s">
        <v>558</v>
      </c>
      <c r="X97" s="624"/>
      <c r="Y97" s="624"/>
      <c r="Z97" s="625"/>
      <c r="AA97" s="611" t="s">
        <v>559</v>
      </c>
      <c r="AB97" s="156"/>
      <c r="AC97" s="156"/>
      <c r="AD97" s="613"/>
      <c r="AE97" s="128">
        <v>56</v>
      </c>
      <c r="AF97" s="156"/>
      <c r="AG97" s="156" t="s">
        <v>28</v>
      </c>
      <c r="AH97" s="613"/>
      <c r="AI97" s="489"/>
    </row>
    <row r="98" spans="1:35" ht="21.95" customHeight="1" x14ac:dyDescent="0.2">
      <c r="A98" s="1"/>
      <c r="B98" s="129" t="s">
        <v>325</v>
      </c>
      <c r="C98" s="611"/>
      <c r="D98" s="156" t="s">
        <v>167</v>
      </c>
      <c r="E98" s="156"/>
      <c r="F98" s="612"/>
      <c r="G98" s="611"/>
      <c r="H98" s="156" t="s">
        <v>167</v>
      </c>
      <c r="I98" s="156"/>
      <c r="J98" s="612"/>
      <c r="K98" s="611"/>
      <c r="L98" s="156" t="s">
        <v>167</v>
      </c>
      <c r="M98" s="156"/>
      <c r="N98" s="612"/>
      <c r="O98" s="611"/>
      <c r="P98" s="156" t="s">
        <v>167</v>
      </c>
      <c r="Q98" s="156"/>
      <c r="R98" s="612"/>
      <c r="S98" s="611"/>
      <c r="T98" s="156" t="s">
        <v>167</v>
      </c>
      <c r="U98" s="156"/>
      <c r="V98" s="612"/>
      <c r="W98" s="611"/>
      <c r="X98" s="156" t="s">
        <v>167</v>
      </c>
      <c r="Y98" s="156"/>
      <c r="Z98" s="612"/>
      <c r="AA98" s="156" t="s">
        <v>167</v>
      </c>
      <c r="AB98" s="156"/>
      <c r="AC98" s="156"/>
      <c r="AD98" s="613"/>
      <c r="AE98" s="128">
        <v>0</v>
      </c>
      <c r="AF98" s="156"/>
      <c r="AG98" s="156"/>
      <c r="AH98" s="613"/>
      <c r="AI98" s="489"/>
    </row>
    <row r="99" spans="1:35" ht="21.95" customHeight="1" x14ac:dyDescent="0.2">
      <c r="A99" s="1"/>
      <c r="B99" s="129" t="s">
        <v>326</v>
      </c>
      <c r="C99" s="611" t="s">
        <v>557</v>
      </c>
      <c r="D99" s="156"/>
      <c r="E99" s="156"/>
      <c r="F99" s="612"/>
      <c r="G99" s="611" t="s">
        <v>557</v>
      </c>
      <c r="H99" s="156"/>
      <c r="I99" s="156"/>
      <c r="J99" s="612"/>
      <c r="K99" s="121"/>
      <c r="L99" s="156" t="s">
        <v>167</v>
      </c>
      <c r="M99" s="156"/>
      <c r="N99" s="612"/>
      <c r="O99" s="121"/>
      <c r="P99" s="156" t="s">
        <v>167</v>
      </c>
      <c r="Q99" s="156"/>
      <c r="R99" s="612"/>
      <c r="S99" s="121"/>
      <c r="T99" s="156" t="s">
        <v>167</v>
      </c>
      <c r="U99" s="156"/>
      <c r="V99" s="612"/>
      <c r="W99" s="626" t="s">
        <v>560</v>
      </c>
      <c r="X99" s="134"/>
      <c r="Y99" s="134"/>
      <c r="Z99" s="627"/>
      <c r="AA99" s="626" t="s">
        <v>561</v>
      </c>
      <c r="AB99" s="134"/>
      <c r="AC99" s="134"/>
      <c r="AD99" s="628"/>
      <c r="AE99" s="128">
        <v>46</v>
      </c>
      <c r="AF99" s="156"/>
      <c r="AG99" s="156"/>
      <c r="AH99" s="613"/>
      <c r="AI99" s="489"/>
    </row>
    <row r="100" spans="1:35" ht="21.95" customHeight="1" x14ac:dyDescent="0.2">
      <c r="A100" s="1"/>
      <c r="B100" s="16" t="s">
        <v>236</v>
      </c>
      <c r="C100" s="618" t="s">
        <v>420</v>
      </c>
      <c r="D100" s="53"/>
      <c r="E100" s="53"/>
      <c r="F100" s="619"/>
      <c r="G100" s="618" t="s">
        <v>421</v>
      </c>
      <c r="H100" s="53"/>
      <c r="I100" s="53"/>
      <c r="J100" s="619"/>
      <c r="K100" s="618" t="s">
        <v>421</v>
      </c>
      <c r="L100" s="53"/>
      <c r="M100" s="53"/>
      <c r="N100" s="619"/>
      <c r="O100" s="618" t="s">
        <v>421</v>
      </c>
      <c r="P100" s="53"/>
      <c r="Q100" s="53"/>
      <c r="R100" s="619"/>
      <c r="S100" s="618" t="s">
        <v>422</v>
      </c>
      <c r="T100" s="53"/>
      <c r="U100" s="53"/>
      <c r="V100" s="620"/>
      <c r="W100" s="57"/>
      <c r="X100" s="620" t="s">
        <v>167</v>
      </c>
      <c r="Y100" s="53"/>
      <c r="Z100" s="619"/>
      <c r="AA100" s="57"/>
      <c r="AB100" s="620" t="s">
        <v>167</v>
      </c>
      <c r="AC100" s="53"/>
      <c r="AD100" s="619"/>
      <c r="AE100" s="629">
        <v>37.5</v>
      </c>
      <c r="AF100" s="53"/>
      <c r="AG100" s="53"/>
      <c r="AH100" s="620"/>
      <c r="AI100" s="544"/>
    </row>
    <row r="101" spans="1:35" ht="21.95" customHeight="1" x14ac:dyDescent="0.2">
      <c r="A101" s="621"/>
      <c r="B101" s="1"/>
      <c r="C101" s="360"/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60"/>
      <c r="Q101" s="360"/>
      <c r="R101" s="360"/>
      <c r="S101" s="360"/>
      <c r="T101" s="360"/>
      <c r="U101" s="360"/>
      <c r="V101" s="360"/>
      <c r="W101" s="360"/>
      <c r="X101" s="360"/>
      <c r="Y101" s="360"/>
      <c r="Z101" s="360"/>
      <c r="AA101" s="360"/>
      <c r="AB101" s="360"/>
      <c r="AC101" s="360"/>
      <c r="AD101" s="360"/>
      <c r="AE101" s="360"/>
      <c r="AF101" s="360"/>
      <c r="AG101" s="360"/>
    </row>
    <row r="102" spans="1:35" ht="21.95" customHeight="1" x14ac:dyDescent="0.2">
      <c r="A102" s="585"/>
      <c r="B102" s="296" t="s">
        <v>469</v>
      </c>
      <c r="C102" s="497">
        <v>1</v>
      </c>
      <c r="D102" s="177">
        <v>2</v>
      </c>
      <c r="E102" s="177">
        <v>3</v>
      </c>
      <c r="F102" s="177">
        <v>4</v>
      </c>
      <c r="G102" s="177">
        <v>5</v>
      </c>
      <c r="H102" s="177">
        <v>6</v>
      </c>
      <c r="I102" s="498">
        <v>7</v>
      </c>
      <c r="J102" s="498">
        <v>8</v>
      </c>
      <c r="K102" s="177">
        <v>9</v>
      </c>
      <c r="L102" s="177">
        <v>10</v>
      </c>
      <c r="M102" s="177">
        <v>11</v>
      </c>
      <c r="N102" s="177">
        <v>12</v>
      </c>
      <c r="O102" s="177">
        <v>13</v>
      </c>
      <c r="P102" s="498">
        <v>14</v>
      </c>
      <c r="Q102" s="498">
        <v>15</v>
      </c>
      <c r="R102" s="177">
        <v>16</v>
      </c>
      <c r="S102" s="177">
        <v>17</v>
      </c>
      <c r="T102" s="177">
        <v>18</v>
      </c>
      <c r="U102" s="177">
        <v>19</v>
      </c>
      <c r="V102" s="498">
        <v>20</v>
      </c>
      <c r="W102" s="498">
        <v>21</v>
      </c>
      <c r="X102" s="498">
        <v>22</v>
      </c>
      <c r="Y102" s="177">
        <v>23</v>
      </c>
      <c r="Z102" s="177">
        <v>24</v>
      </c>
      <c r="AA102" s="177">
        <v>25</v>
      </c>
      <c r="AB102" s="177">
        <v>26</v>
      </c>
      <c r="AC102" s="177">
        <v>27</v>
      </c>
      <c r="AD102" s="498">
        <v>28</v>
      </c>
      <c r="AE102" s="498">
        <v>29</v>
      </c>
      <c r="AF102" s="177">
        <v>30</v>
      </c>
      <c r="AG102" s="177">
        <v>31</v>
      </c>
      <c r="AH102" s="499" t="s">
        <v>470</v>
      </c>
      <c r="AI102" s="500" t="s">
        <v>471</v>
      </c>
    </row>
    <row r="103" spans="1:35" ht="21.95" customHeight="1" x14ac:dyDescent="0.2">
      <c r="A103" s="622">
        <v>1</v>
      </c>
      <c r="B103" s="318" t="s">
        <v>562</v>
      </c>
      <c r="C103" s="587" t="s">
        <v>475</v>
      </c>
      <c r="D103" s="587" t="s">
        <v>522</v>
      </c>
      <c r="E103" s="587" t="s">
        <v>522</v>
      </c>
      <c r="F103" s="587" t="s">
        <v>475</v>
      </c>
      <c r="G103" s="587" t="s">
        <v>475</v>
      </c>
      <c r="H103" s="587" t="s">
        <v>475</v>
      </c>
      <c r="I103" s="587" t="s">
        <v>563</v>
      </c>
      <c r="J103" s="587" t="s">
        <v>564</v>
      </c>
      <c r="K103" s="1085" t="s">
        <v>565</v>
      </c>
      <c r="L103" s="1085" t="s">
        <v>566</v>
      </c>
      <c r="M103" s="1085" t="s">
        <v>566</v>
      </c>
      <c r="N103" s="1085" t="s">
        <v>566</v>
      </c>
      <c r="O103" s="1085" t="s">
        <v>567</v>
      </c>
      <c r="P103" s="587" t="s">
        <v>475</v>
      </c>
      <c r="Q103" s="587" t="s">
        <v>475</v>
      </c>
      <c r="R103" s="587" t="s">
        <v>475</v>
      </c>
      <c r="S103" s="587" t="s">
        <v>475</v>
      </c>
      <c r="T103" s="587" t="s">
        <v>522</v>
      </c>
      <c r="U103" s="587" t="s">
        <v>522</v>
      </c>
      <c r="V103" s="587" t="s">
        <v>522</v>
      </c>
      <c r="W103" s="587" t="s">
        <v>568</v>
      </c>
      <c r="X103" s="587" t="s">
        <v>569</v>
      </c>
      <c r="Y103" s="587" t="s">
        <v>475</v>
      </c>
      <c r="Z103" s="587" t="s">
        <v>475</v>
      </c>
      <c r="AA103" s="587" t="s">
        <v>475</v>
      </c>
      <c r="AB103" s="587" t="s">
        <v>475</v>
      </c>
      <c r="AC103" s="587" t="s">
        <v>475</v>
      </c>
      <c r="AD103" s="587" t="s">
        <v>475</v>
      </c>
      <c r="AE103" s="587" t="s">
        <v>475</v>
      </c>
      <c r="AF103" s="1060" t="s">
        <v>522</v>
      </c>
      <c r="AG103" s="1060" t="s">
        <v>522</v>
      </c>
      <c r="AH103" s="505">
        <v>185</v>
      </c>
      <c r="AI103" s="506">
        <v>37</v>
      </c>
    </row>
    <row r="104" spans="1:35" ht="21.95" customHeight="1" x14ac:dyDescent="0.2">
      <c r="A104" s="622">
        <v>2</v>
      </c>
      <c r="B104" s="318" t="s">
        <v>570</v>
      </c>
      <c r="C104" s="553" t="s">
        <v>564</v>
      </c>
      <c r="D104" s="1083" t="s">
        <v>565</v>
      </c>
      <c r="E104" s="1085" t="s">
        <v>566</v>
      </c>
      <c r="F104" s="1086" t="s">
        <v>566</v>
      </c>
      <c r="G104" s="1085" t="s">
        <v>566</v>
      </c>
      <c r="H104" s="1085" t="s">
        <v>567</v>
      </c>
      <c r="I104" s="587" t="s">
        <v>475</v>
      </c>
      <c r="J104" s="587" t="s">
        <v>475</v>
      </c>
      <c r="K104" s="588" t="s">
        <v>475</v>
      </c>
      <c r="L104" s="587" t="s">
        <v>475</v>
      </c>
      <c r="M104" s="587" t="s">
        <v>522</v>
      </c>
      <c r="N104" s="588" t="s">
        <v>522</v>
      </c>
      <c r="O104" s="587" t="s">
        <v>522</v>
      </c>
      <c r="P104" s="587" t="s">
        <v>568</v>
      </c>
      <c r="Q104" s="587" t="s">
        <v>569</v>
      </c>
      <c r="R104" s="587" t="s">
        <v>475</v>
      </c>
      <c r="S104" s="587" t="s">
        <v>475</v>
      </c>
      <c r="T104" s="587" t="s">
        <v>475</v>
      </c>
      <c r="U104" s="587" t="s">
        <v>475</v>
      </c>
      <c r="V104" s="587" t="s">
        <v>475</v>
      </c>
      <c r="W104" s="587" t="s">
        <v>475</v>
      </c>
      <c r="X104" s="587" t="s">
        <v>475</v>
      </c>
      <c r="Y104" s="1340" t="s">
        <v>571</v>
      </c>
      <c r="Z104" s="587" t="s">
        <v>522</v>
      </c>
      <c r="AA104" s="587" t="s">
        <v>475</v>
      </c>
      <c r="AB104" s="553" t="s">
        <v>475</v>
      </c>
      <c r="AC104" s="553" t="s">
        <v>475</v>
      </c>
      <c r="AD104" s="553" t="s">
        <v>563</v>
      </c>
      <c r="AE104" s="553" t="s">
        <v>564</v>
      </c>
      <c r="AF104" s="1083" t="s">
        <v>565</v>
      </c>
      <c r="AG104" s="1085" t="s">
        <v>566</v>
      </c>
      <c r="AH104" s="505">
        <v>191</v>
      </c>
      <c r="AI104" s="506">
        <v>37</v>
      </c>
    </row>
    <row r="105" spans="1:35" ht="21.95" customHeight="1" x14ac:dyDescent="0.2">
      <c r="A105" s="622">
        <v>3</v>
      </c>
      <c r="B105" s="552" t="s">
        <v>572</v>
      </c>
      <c r="C105" s="587" t="s">
        <v>569</v>
      </c>
      <c r="D105" s="588" t="s">
        <v>475</v>
      </c>
      <c r="E105" s="587" t="s">
        <v>475</v>
      </c>
      <c r="F105" s="587" t="s">
        <v>475</v>
      </c>
      <c r="G105" s="588" t="s">
        <v>475</v>
      </c>
      <c r="H105" s="587" t="s">
        <v>475</v>
      </c>
      <c r="I105" s="587" t="s">
        <v>475</v>
      </c>
      <c r="J105" s="587" t="s">
        <v>475</v>
      </c>
      <c r="K105" s="587" t="s">
        <v>522</v>
      </c>
      <c r="L105" s="587" t="s">
        <v>522</v>
      </c>
      <c r="M105" s="587" t="s">
        <v>475</v>
      </c>
      <c r="N105" s="587" t="s">
        <v>475</v>
      </c>
      <c r="O105" s="587" t="s">
        <v>475</v>
      </c>
      <c r="P105" s="587" t="s">
        <v>563</v>
      </c>
      <c r="Q105" s="587" t="s">
        <v>564</v>
      </c>
      <c r="R105" s="1085" t="s">
        <v>565</v>
      </c>
      <c r="S105" s="1085" t="s">
        <v>566</v>
      </c>
      <c r="T105" s="1086" t="s">
        <v>566</v>
      </c>
      <c r="U105" s="1085" t="s">
        <v>566</v>
      </c>
      <c r="V105" s="587" t="s">
        <v>567</v>
      </c>
      <c r="W105" s="587" t="s">
        <v>475</v>
      </c>
      <c r="X105" s="587" t="s">
        <v>475</v>
      </c>
      <c r="Y105" s="1339" t="s">
        <v>475</v>
      </c>
      <c r="Z105" s="587" t="s">
        <v>475</v>
      </c>
      <c r="AA105" s="587" t="s">
        <v>522</v>
      </c>
      <c r="AB105" s="587" t="s">
        <v>522</v>
      </c>
      <c r="AC105" s="587" t="s">
        <v>522</v>
      </c>
      <c r="AD105" s="587" t="s">
        <v>568</v>
      </c>
      <c r="AE105" s="587" t="s">
        <v>569</v>
      </c>
      <c r="AF105" s="588" t="s">
        <v>475</v>
      </c>
      <c r="AG105" s="587" t="s">
        <v>475</v>
      </c>
      <c r="AH105" s="505">
        <v>219</v>
      </c>
      <c r="AI105" s="506">
        <v>37</v>
      </c>
    </row>
    <row r="106" spans="1:35" ht="21.95" customHeight="1" x14ac:dyDescent="0.2">
      <c r="A106" s="622">
        <v>4</v>
      </c>
      <c r="B106" s="552" t="s">
        <v>573</v>
      </c>
      <c r="C106" s="587" t="s">
        <v>475</v>
      </c>
      <c r="D106" s="588" t="s">
        <v>475</v>
      </c>
      <c r="E106" s="587" t="s">
        <v>475</v>
      </c>
      <c r="F106" s="587" t="s">
        <v>522</v>
      </c>
      <c r="G106" s="587" t="s">
        <v>522</v>
      </c>
      <c r="H106" s="587" t="s">
        <v>522</v>
      </c>
      <c r="I106" s="587" t="s">
        <v>568</v>
      </c>
      <c r="J106" s="587" t="s">
        <v>569</v>
      </c>
      <c r="K106" s="588" t="s">
        <v>475</v>
      </c>
      <c r="L106" s="587" t="s">
        <v>475</v>
      </c>
      <c r="M106" s="587" t="s">
        <v>475</v>
      </c>
      <c r="N106" s="588" t="s">
        <v>475</v>
      </c>
      <c r="O106" s="587" t="s">
        <v>475</v>
      </c>
      <c r="P106" s="587" t="s">
        <v>475</v>
      </c>
      <c r="Q106" s="587" t="s">
        <v>475</v>
      </c>
      <c r="R106" s="587" t="s">
        <v>522</v>
      </c>
      <c r="S106" s="587" t="s">
        <v>522</v>
      </c>
      <c r="T106" s="587" t="s">
        <v>475</v>
      </c>
      <c r="U106" s="587" t="s">
        <v>475</v>
      </c>
      <c r="V106" s="587" t="s">
        <v>475</v>
      </c>
      <c r="W106" s="587" t="s">
        <v>563</v>
      </c>
      <c r="X106" s="587" t="s">
        <v>564</v>
      </c>
      <c r="Y106" s="1085" t="s">
        <v>565</v>
      </c>
      <c r="Z106" s="1085" t="s">
        <v>566</v>
      </c>
      <c r="AA106" s="1086" t="s">
        <v>566</v>
      </c>
      <c r="AB106" s="1085" t="s">
        <v>566</v>
      </c>
      <c r="AC106" s="1085" t="s">
        <v>567</v>
      </c>
      <c r="AD106" s="587" t="s">
        <v>475</v>
      </c>
      <c r="AE106" s="587" t="s">
        <v>475</v>
      </c>
      <c r="AF106" s="588" t="s">
        <v>475</v>
      </c>
      <c r="AG106" s="587" t="s">
        <v>475</v>
      </c>
      <c r="AH106" s="505">
        <v>191</v>
      </c>
      <c r="AI106" s="506">
        <v>37</v>
      </c>
    </row>
    <row r="107" spans="1:35" ht="21.95" customHeight="1" x14ac:dyDescent="0.2">
      <c r="A107" s="623"/>
      <c r="B107" s="630"/>
      <c r="C107" s="590"/>
      <c r="D107" s="590"/>
      <c r="E107" s="590"/>
      <c r="F107" s="590"/>
      <c r="G107" s="590"/>
      <c r="H107" s="590"/>
      <c r="I107" s="590"/>
      <c r="J107" s="590"/>
      <c r="K107" s="590"/>
      <c r="L107" s="590"/>
      <c r="M107" s="590"/>
      <c r="N107" s="590"/>
      <c r="O107" s="590"/>
      <c r="P107" s="590"/>
      <c r="Q107" s="590"/>
      <c r="R107" s="590"/>
      <c r="S107" s="590"/>
      <c r="T107" s="590"/>
      <c r="U107" s="590"/>
      <c r="V107" s="590"/>
      <c r="W107" s="590"/>
      <c r="X107" s="590"/>
      <c r="Y107" s="590"/>
      <c r="Z107" s="590"/>
      <c r="AA107" s="590"/>
      <c r="AB107" s="590"/>
      <c r="AC107" s="590"/>
      <c r="AD107" s="590"/>
      <c r="AE107" s="590"/>
      <c r="AF107" s="590"/>
      <c r="AG107" s="590"/>
      <c r="AH107" s="591"/>
      <c r="AI107" s="591"/>
    </row>
    <row r="108" spans="1:35" ht="21.95" customHeight="1" x14ac:dyDescent="0.2">
      <c r="A108" s="1" t="s">
        <v>574</v>
      </c>
      <c r="D108" s="360"/>
      <c r="E108" s="360"/>
      <c r="F108" s="360"/>
      <c r="G108" s="57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1"/>
      <c r="B109" s="23" t="s">
        <v>556</v>
      </c>
      <c r="C109" s="7"/>
      <c r="D109" s="530" t="s">
        <v>2</v>
      </c>
      <c r="E109" s="51"/>
      <c r="F109" s="573"/>
      <c r="G109" s="7"/>
      <c r="H109" s="530" t="s">
        <v>3</v>
      </c>
      <c r="I109" s="51"/>
      <c r="J109" s="573"/>
      <c r="K109" s="7"/>
      <c r="L109" s="530" t="s">
        <v>4</v>
      </c>
      <c r="M109" s="51"/>
      <c r="N109" s="573"/>
      <c r="O109" s="7"/>
      <c r="P109" s="530" t="s">
        <v>5</v>
      </c>
      <c r="Q109" s="51"/>
      <c r="R109" s="573"/>
      <c r="S109" s="7"/>
      <c r="T109" s="530" t="s">
        <v>6</v>
      </c>
      <c r="U109" s="51"/>
      <c r="V109" s="573"/>
      <c r="W109" s="7"/>
      <c r="X109" s="530" t="s">
        <v>7</v>
      </c>
      <c r="Y109" s="51"/>
      <c r="Z109" s="573"/>
      <c r="AA109" s="7"/>
      <c r="AB109" s="530" t="s">
        <v>8</v>
      </c>
      <c r="AC109" s="51"/>
      <c r="AD109" s="51"/>
      <c r="AE109" s="424" t="s">
        <v>10</v>
      </c>
      <c r="AF109" s="51"/>
      <c r="AG109" s="51"/>
      <c r="AH109" s="51"/>
      <c r="AI109" s="531"/>
    </row>
    <row r="110" spans="1:35" ht="21.95" customHeight="1" x14ac:dyDescent="0.2">
      <c r="A110" s="1"/>
      <c r="B110" s="129" t="s">
        <v>324</v>
      </c>
      <c r="C110" s="121" t="s">
        <v>575</v>
      </c>
      <c r="D110" s="156"/>
      <c r="E110" s="156"/>
      <c r="F110" s="612"/>
      <c r="G110" s="121" t="s">
        <v>575</v>
      </c>
      <c r="H110" s="156"/>
      <c r="I110" s="156"/>
      <c r="J110" s="612"/>
      <c r="K110" s="121" t="s">
        <v>575</v>
      </c>
      <c r="L110" s="156"/>
      <c r="M110" s="156"/>
      <c r="N110" s="612"/>
      <c r="O110" s="121" t="s">
        <v>575</v>
      </c>
      <c r="P110" s="156"/>
      <c r="Q110" s="156"/>
      <c r="R110" s="612"/>
      <c r="S110" s="121" t="s">
        <v>576</v>
      </c>
      <c r="T110" s="156"/>
      <c r="U110" s="156"/>
      <c r="V110" s="612"/>
      <c r="W110" s="611"/>
      <c r="X110" s="624"/>
      <c r="Y110" s="624"/>
      <c r="Z110" s="625"/>
      <c r="AA110" s="611"/>
      <c r="AB110" s="156"/>
      <c r="AC110" s="156"/>
      <c r="AD110" s="613"/>
      <c r="AE110" s="128"/>
      <c r="AF110" s="156"/>
      <c r="AG110" s="156" t="s">
        <v>28</v>
      </c>
      <c r="AH110" s="613"/>
      <c r="AI110" s="489"/>
    </row>
    <row r="111" spans="1:35" ht="21.95" customHeight="1" x14ac:dyDescent="0.2">
      <c r="A111" s="1"/>
      <c r="B111" s="129" t="s">
        <v>325</v>
      </c>
      <c r="C111" s="121" t="s">
        <v>577</v>
      </c>
      <c r="D111" s="156"/>
      <c r="E111" s="156"/>
      <c r="F111" s="612"/>
      <c r="G111" s="121" t="s">
        <v>577</v>
      </c>
      <c r="H111" s="156"/>
      <c r="I111" s="156"/>
      <c r="J111" s="612"/>
      <c r="K111" s="121" t="s">
        <v>577</v>
      </c>
      <c r="L111" s="156"/>
      <c r="M111" s="156"/>
      <c r="N111" s="612"/>
      <c r="O111" s="121" t="s">
        <v>577</v>
      </c>
      <c r="P111" s="156"/>
      <c r="Q111" s="156"/>
      <c r="R111" s="612"/>
      <c r="S111" s="121" t="s">
        <v>578</v>
      </c>
      <c r="T111" s="156"/>
      <c r="U111" s="156"/>
      <c r="V111" s="612"/>
      <c r="W111" s="121" t="s">
        <v>579</v>
      </c>
      <c r="X111" s="156"/>
      <c r="Y111" s="156"/>
      <c r="Z111" s="612"/>
      <c r="AA111" s="156"/>
      <c r="AB111" s="156"/>
      <c r="AC111" s="156"/>
      <c r="AD111" s="613"/>
      <c r="AE111" s="128"/>
      <c r="AF111" s="156"/>
      <c r="AG111" s="156"/>
      <c r="AH111" s="613"/>
      <c r="AI111" s="489"/>
    </row>
    <row r="112" spans="1:35" ht="21.95" customHeight="1" x14ac:dyDescent="0.2">
      <c r="A112" s="1"/>
      <c r="B112" s="1786" t="s">
        <v>326</v>
      </c>
      <c r="C112" s="121" t="s">
        <v>580</v>
      </c>
      <c r="D112" s="156"/>
      <c r="E112" s="156"/>
      <c r="F112" s="612"/>
      <c r="G112" s="121" t="s">
        <v>580</v>
      </c>
      <c r="H112" s="156"/>
      <c r="I112" s="156"/>
      <c r="J112" s="612"/>
      <c r="K112" s="121" t="s">
        <v>580</v>
      </c>
      <c r="L112" s="156"/>
      <c r="M112" s="156"/>
      <c r="N112" s="612"/>
      <c r="O112" s="121" t="s">
        <v>580</v>
      </c>
      <c r="P112" s="156"/>
      <c r="Q112" s="156"/>
      <c r="R112" s="612"/>
      <c r="S112" s="121" t="s">
        <v>580</v>
      </c>
      <c r="T112" s="156"/>
      <c r="U112" s="156"/>
      <c r="V112" s="612"/>
      <c r="W112" s="631" t="s">
        <v>579</v>
      </c>
      <c r="X112" s="134"/>
      <c r="Y112" s="134"/>
      <c r="Z112" s="627"/>
      <c r="AA112" s="626"/>
      <c r="AB112" s="134"/>
      <c r="AC112" s="134"/>
      <c r="AD112" s="628"/>
      <c r="AE112" s="128"/>
      <c r="AF112" s="156"/>
      <c r="AG112" s="156"/>
      <c r="AH112" s="613"/>
      <c r="AI112" s="489"/>
    </row>
    <row r="113" spans="1:36" ht="21.95" customHeight="1" x14ac:dyDescent="0.2">
      <c r="A113" s="1"/>
      <c r="B113" s="16" t="s">
        <v>236</v>
      </c>
      <c r="C113" s="57" t="s">
        <v>581</v>
      </c>
      <c r="D113" s="53"/>
      <c r="E113" s="53"/>
      <c r="F113" s="619"/>
      <c r="G113" s="57" t="s">
        <v>581</v>
      </c>
      <c r="H113" s="53"/>
      <c r="I113" s="53"/>
      <c r="J113" s="619"/>
      <c r="K113" s="57" t="s">
        <v>581</v>
      </c>
      <c r="L113" s="53"/>
      <c r="M113" s="53"/>
      <c r="N113" s="619"/>
      <c r="O113" s="57" t="s">
        <v>581</v>
      </c>
      <c r="P113" s="53"/>
      <c r="Q113" s="53"/>
      <c r="R113" s="619"/>
      <c r="S113" s="57" t="s">
        <v>582</v>
      </c>
      <c r="T113" s="53"/>
      <c r="U113" s="53"/>
      <c r="V113" s="620"/>
      <c r="W113" s="57"/>
      <c r="X113" s="620"/>
      <c r="Y113" s="53"/>
      <c r="Z113" s="619"/>
      <c r="AA113" s="57"/>
      <c r="AB113" s="620"/>
      <c r="AC113" s="53"/>
      <c r="AD113" s="619"/>
      <c r="AE113" s="629"/>
      <c r="AF113" s="53"/>
      <c r="AG113" s="53"/>
      <c r="AH113" s="620"/>
      <c r="AI113" s="544"/>
    </row>
    <row r="114" spans="1:36" ht="21.95" customHeight="1" x14ac:dyDescent="0.2">
      <c r="A114" s="621"/>
      <c r="B114" s="1"/>
      <c r="C114" s="360"/>
      <c r="D114" s="360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360"/>
      <c r="Q114" s="360"/>
      <c r="R114" s="360"/>
      <c r="S114" s="360"/>
      <c r="T114" s="360"/>
      <c r="U114" s="360"/>
      <c r="V114" s="360"/>
      <c r="W114" s="360"/>
      <c r="X114" s="360"/>
      <c r="Y114" s="360"/>
      <c r="Z114" s="360"/>
      <c r="AA114" s="360"/>
      <c r="AB114" s="360"/>
      <c r="AC114" s="360"/>
      <c r="AD114" s="360"/>
      <c r="AE114" s="360"/>
      <c r="AF114" s="360"/>
      <c r="AG114" s="360"/>
    </row>
    <row r="115" spans="1:36" ht="21.95" customHeight="1" x14ac:dyDescent="0.2">
      <c r="A115" s="585"/>
      <c r="B115" s="296" t="s">
        <v>469</v>
      </c>
      <c r="C115" s="497">
        <v>1</v>
      </c>
      <c r="D115" s="177">
        <v>2</v>
      </c>
      <c r="E115" s="177">
        <v>3</v>
      </c>
      <c r="F115" s="177">
        <v>4</v>
      </c>
      <c r="G115" s="177">
        <v>5</v>
      </c>
      <c r="H115" s="177">
        <v>6</v>
      </c>
      <c r="I115" s="498">
        <v>7</v>
      </c>
      <c r="J115" s="498">
        <v>8</v>
      </c>
      <c r="K115" s="177">
        <v>9</v>
      </c>
      <c r="L115" s="177">
        <v>10</v>
      </c>
      <c r="M115" s="177">
        <v>11</v>
      </c>
      <c r="N115" s="177">
        <v>12</v>
      </c>
      <c r="O115" s="177">
        <v>13</v>
      </c>
      <c r="P115" s="498">
        <v>14</v>
      </c>
      <c r="Q115" s="498">
        <v>15</v>
      </c>
      <c r="R115" s="177">
        <v>16</v>
      </c>
      <c r="S115" s="177">
        <v>17</v>
      </c>
      <c r="T115" s="177">
        <v>18</v>
      </c>
      <c r="U115" s="177">
        <v>19</v>
      </c>
      <c r="V115" s="498">
        <v>20</v>
      </c>
      <c r="W115" s="498">
        <v>21</v>
      </c>
      <c r="X115" s="498">
        <v>22</v>
      </c>
      <c r="Y115" s="177">
        <v>23</v>
      </c>
      <c r="Z115" s="177">
        <v>24</v>
      </c>
      <c r="AA115" s="177">
        <v>25</v>
      </c>
      <c r="AB115" s="177">
        <v>26</v>
      </c>
      <c r="AC115" s="177">
        <v>27</v>
      </c>
      <c r="AD115" s="498">
        <v>28</v>
      </c>
      <c r="AE115" s="498">
        <v>29</v>
      </c>
      <c r="AF115" s="177">
        <v>30</v>
      </c>
      <c r="AG115" s="177">
        <v>31</v>
      </c>
      <c r="AH115" s="499" t="s">
        <v>470</v>
      </c>
      <c r="AI115" s="500" t="s">
        <v>471</v>
      </c>
    </row>
    <row r="116" spans="1:36" ht="21.95" customHeight="1" x14ac:dyDescent="0.2">
      <c r="A116" s="622">
        <v>1</v>
      </c>
      <c r="B116" s="318"/>
      <c r="C116" s="587"/>
      <c r="D116" s="553">
        <v>2</v>
      </c>
      <c r="E116" s="553">
        <v>2</v>
      </c>
      <c r="F116" s="553">
        <v>2</v>
      </c>
      <c r="G116" s="553">
        <v>2</v>
      </c>
      <c r="H116" s="553">
        <v>2</v>
      </c>
      <c r="I116" s="553">
        <v>2</v>
      </c>
      <c r="J116" s="587"/>
      <c r="K116" s="553">
        <v>1</v>
      </c>
      <c r="L116" s="553">
        <v>1</v>
      </c>
      <c r="M116" s="553">
        <v>1</v>
      </c>
      <c r="N116" s="553">
        <v>1</v>
      </c>
      <c r="O116" s="553">
        <v>1</v>
      </c>
      <c r="P116" s="587"/>
      <c r="Q116" s="587"/>
      <c r="R116" s="553">
        <v>2</v>
      </c>
      <c r="S116" s="553">
        <v>2</v>
      </c>
      <c r="T116" s="553">
        <v>2</v>
      </c>
      <c r="U116" s="553">
        <v>2</v>
      </c>
      <c r="V116" s="553">
        <v>2</v>
      </c>
      <c r="W116" s="553">
        <v>2</v>
      </c>
      <c r="X116" s="587"/>
      <c r="Y116" s="553">
        <v>1</v>
      </c>
      <c r="Z116" s="553">
        <v>1</v>
      </c>
      <c r="AA116" s="553">
        <v>1</v>
      </c>
      <c r="AB116" s="553">
        <v>1</v>
      </c>
      <c r="AC116" s="553">
        <v>1</v>
      </c>
      <c r="AD116" s="587"/>
      <c r="AE116" s="587"/>
      <c r="AF116" s="553">
        <v>2</v>
      </c>
      <c r="AG116" s="553">
        <v>2</v>
      </c>
      <c r="AH116" s="505">
        <v>185</v>
      </c>
      <c r="AI116" s="506">
        <v>37</v>
      </c>
    </row>
    <row r="117" spans="1:36" ht="21.95" customHeight="1" x14ac:dyDescent="0.2">
      <c r="A117" s="622">
        <v>2</v>
      </c>
      <c r="B117" s="318" t="s">
        <v>583</v>
      </c>
      <c r="C117" s="587"/>
      <c r="D117" s="553">
        <v>1</v>
      </c>
      <c r="E117" s="553">
        <v>1</v>
      </c>
      <c r="F117" s="553">
        <v>1</v>
      </c>
      <c r="G117" s="553">
        <v>1</v>
      </c>
      <c r="H117" s="553">
        <v>1</v>
      </c>
      <c r="I117" s="587"/>
      <c r="J117" s="587"/>
      <c r="K117" s="553">
        <v>2</v>
      </c>
      <c r="L117" s="553">
        <v>2</v>
      </c>
      <c r="M117" s="553">
        <v>2</v>
      </c>
      <c r="N117" s="553">
        <v>2</v>
      </c>
      <c r="O117" s="553">
        <v>2</v>
      </c>
      <c r="P117" s="553">
        <v>2</v>
      </c>
      <c r="Q117" s="587"/>
      <c r="R117" s="553">
        <v>1</v>
      </c>
      <c r="S117" s="553">
        <v>1</v>
      </c>
      <c r="T117" s="553">
        <v>1</v>
      </c>
      <c r="U117" s="553">
        <v>1</v>
      </c>
      <c r="V117" s="553">
        <v>1</v>
      </c>
      <c r="W117" s="587"/>
      <c r="X117" s="587"/>
      <c r="Y117" s="553">
        <v>2</v>
      </c>
      <c r="Z117" s="553">
        <v>2</v>
      </c>
      <c r="AA117" s="553">
        <v>2</v>
      </c>
      <c r="AB117" s="553">
        <v>2</v>
      </c>
      <c r="AC117" s="553">
        <v>2</v>
      </c>
      <c r="AD117" s="553">
        <v>2</v>
      </c>
      <c r="AE117" s="587"/>
      <c r="AF117" s="553">
        <v>1</v>
      </c>
      <c r="AG117" s="553">
        <v>1</v>
      </c>
      <c r="AH117" s="505">
        <v>185</v>
      </c>
      <c r="AI117" s="506">
        <v>37</v>
      </c>
    </row>
    <row r="118" spans="1:36" ht="21.95" customHeight="1" x14ac:dyDescent="0.2">
      <c r="A118" s="622">
        <v>3</v>
      </c>
      <c r="B118" s="552" t="s">
        <v>289</v>
      </c>
      <c r="C118" s="587"/>
      <c r="D118" s="553">
        <v>4</v>
      </c>
      <c r="E118" s="553">
        <v>4</v>
      </c>
      <c r="F118" s="553">
        <v>4</v>
      </c>
      <c r="G118" s="553">
        <v>4</v>
      </c>
      <c r="H118" s="553">
        <v>4</v>
      </c>
      <c r="I118" s="587"/>
      <c r="J118" s="587"/>
      <c r="K118" s="553">
        <v>3</v>
      </c>
      <c r="L118" s="553">
        <v>3</v>
      </c>
      <c r="M118" s="553">
        <v>3</v>
      </c>
      <c r="N118" s="553">
        <v>3</v>
      </c>
      <c r="O118" s="553">
        <v>3</v>
      </c>
      <c r="P118" s="553">
        <v>3</v>
      </c>
      <c r="Q118" s="587"/>
      <c r="R118" s="553">
        <v>4</v>
      </c>
      <c r="S118" s="553">
        <v>4</v>
      </c>
      <c r="T118" s="553">
        <v>4</v>
      </c>
      <c r="U118" s="553">
        <v>4</v>
      </c>
      <c r="V118" s="553">
        <v>4</v>
      </c>
      <c r="W118" s="587"/>
      <c r="X118" s="587"/>
      <c r="Y118" s="553">
        <v>3</v>
      </c>
      <c r="Z118" s="553">
        <v>3</v>
      </c>
      <c r="AA118" s="553">
        <v>3</v>
      </c>
      <c r="AB118" s="553">
        <v>3</v>
      </c>
      <c r="AC118" s="553">
        <v>3</v>
      </c>
      <c r="AD118" s="553">
        <v>3</v>
      </c>
      <c r="AE118" s="587"/>
      <c r="AF118" s="553">
        <v>4</v>
      </c>
      <c r="AG118" s="553">
        <v>4</v>
      </c>
      <c r="AH118" s="505">
        <v>211</v>
      </c>
      <c r="AI118" s="506">
        <v>37</v>
      </c>
    </row>
    <row r="119" spans="1:36" ht="21.95" customHeight="1" x14ac:dyDescent="0.2">
      <c r="A119" s="622">
        <v>4</v>
      </c>
      <c r="B119" s="552" t="s">
        <v>584</v>
      </c>
      <c r="C119" s="587"/>
      <c r="D119" s="553">
        <v>3</v>
      </c>
      <c r="E119" s="553">
        <v>3</v>
      </c>
      <c r="F119" s="553">
        <v>3</v>
      </c>
      <c r="G119" s="553">
        <v>3</v>
      </c>
      <c r="H119" s="553">
        <v>3</v>
      </c>
      <c r="I119" s="553">
        <v>3</v>
      </c>
      <c r="J119" s="587"/>
      <c r="K119" s="553">
        <v>4</v>
      </c>
      <c r="L119" s="553">
        <v>4</v>
      </c>
      <c r="M119" s="553">
        <v>4</v>
      </c>
      <c r="N119" s="553">
        <v>4</v>
      </c>
      <c r="O119" s="553">
        <v>4</v>
      </c>
      <c r="P119" s="587"/>
      <c r="Q119" s="587"/>
      <c r="R119" s="553">
        <v>3</v>
      </c>
      <c r="S119" s="553">
        <v>3</v>
      </c>
      <c r="T119" s="553">
        <v>3</v>
      </c>
      <c r="U119" s="553">
        <v>3</v>
      </c>
      <c r="V119" s="553">
        <v>3</v>
      </c>
      <c r="W119" s="553">
        <v>3</v>
      </c>
      <c r="X119" s="587"/>
      <c r="Y119" s="553">
        <v>4</v>
      </c>
      <c r="Z119" s="553">
        <v>4</v>
      </c>
      <c r="AA119" s="553">
        <v>4</v>
      </c>
      <c r="AB119" s="553">
        <v>4</v>
      </c>
      <c r="AC119" s="553">
        <v>4</v>
      </c>
      <c r="AD119" s="587"/>
      <c r="AE119" s="587"/>
      <c r="AF119" s="553">
        <v>3</v>
      </c>
      <c r="AG119" s="553">
        <v>3</v>
      </c>
      <c r="AH119" s="505">
        <v>221</v>
      </c>
      <c r="AI119" s="506">
        <v>37</v>
      </c>
    </row>
    <row r="120" spans="1:36" ht="21.95" customHeight="1" x14ac:dyDescent="0.2">
      <c r="A120" s="623"/>
      <c r="B120" s="630"/>
      <c r="C120" s="590"/>
      <c r="D120" s="590"/>
      <c r="E120" s="590"/>
      <c r="F120" s="590"/>
      <c r="G120" s="590"/>
      <c r="H120" s="590"/>
      <c r="I120" s="590"/>
      <c r="J120" s="590"/>
      <c r="K120" s="590"/>
      <c r="L120" s="590"/>
      <c r="M120" s="590"/>
      <c r="N120" s="590"/>
      <c r="O120" s="590"/>
      <c r="P120" s="590"/>
      <c r="Q120" s="590"/>
      <c r="R120" s="590"/>
      <c r="S120" s="590"/>
      <c r="T120" s="590"/>
      <c r="U120" s="590"/>
      <c r="V120" s="590"/>
      <c r="W120" s="590"/>
      <c r="X120" s="590"/>
      <c r="Y120" s="590"/>
      <c r="Z120" s="590"/>
      <c r="AA120" s="590"/>
      <c r="AB120" s="590"/>
      <c r="AC120" s="590"/>
      <c r="AD120" s="590"/>
      <c r="AE120" s="590"/>
      <c r="AF120" s="590"/>
      <c r="AG120" s="590"/>
      <c r="AH120" s="591"/>
      <c r="AI120" s="591"/>
    </row>
    <row r="121" spans="1:36" ht="21.95" customHeight="1" x14ac:dyDescent="0.2">
      <c r="A121" s="311" t="s">
        <v>585</v>
      </c>
      <c r="C121" s="590"/>
      <c r="D121" s="590"/>
      <c r="E121" s="590"/>
      <c r="F121" s="590"/>
      <c r="G121" s="590"/>
      <c r="H121" s="590"/>
      <c r="I121" s="590"/>
      <c r="J121" s="590"/>
      <c r="K121" s="590"/>
      <c r="L121" s="590"/>
      <c r="M121" s="590"/>
      <c r="N121" s="590"/>
      <c r="O121" s="590"/>
      <c r="P121" s="590"/>
      <c r="Q121" s="590"/>
      <c r="R121" s="590"/>
      <c r="S121" s="590"/>
      <c r="T121" s="590"/>
      <c r="U121" s="590"/>
      <c r="V121" s="590"/>
      <c r="W121" s="590"/>
      <c r="X121" s="590"/>
      <c r="Y121" s="590"/>
      <c r="Z121" s="590"/>
      <c r="AA121" s="590"/>
      <c r="AB121" s="590"/>
      <c r="AC121" s="590"/>
      <c r="AD121" s="590"/>
      <c r="AE121" s="590"/>
      <c r="AF121" s="590"/>
      <c r="AG121" s="590"/>
      <c r="AH121" s="591"/>
      <c r="AI121" s="591"/>
      <c r="AJ121" s="360"/>
    </row>
    <row r="122" spans="1:36" ht="21.95" customHeight="1" x14ac:dyDescent="0.2">
      <c r="A122" s="298" t="s">
        <v>468</v>
      </c>
      <c r="B122" s="298"/>
      <c r="C122" s="152"/>
      <c r="D122" s="298" t="s">
        <v>2</v>
      </c>
      <c r="E122" s="185"/>
      <c r="F122" s="152"/>
      <c r="G122" s="298" t="s">
        <v>3</v>
      </c>
      <c r="H122" s="185"/>
      <c r="I122" s="152"/>
      <c r="J122" s="298" t="s">
        <v>4</v>
      </c>
      <c r="K122" s="185"/>
      <c r="L122" s="152"/>
      <c r="M122" s="298" t="s">
        <v>5</v>
      </c>
      <c r="N122" s="185"/>
      <c r="O122" s="152"/>
      <c r="P122" s="298" t="s">
        <v>6</v>
      </c>
      <c r="Q122" s="185"/>
      <c r="R122" s="133"/>
      <c r="S122" s="198" t="s">
        <v>7</v>
      </c>
      <c r="T122" s="185"/>
      <c r="U122" s="152"/>
      <c r="V122" s="298" t="s">
        <v>8</v>
      </c>
      <c r="W122" s="185"/>
      <c r="X122" s="632" t="s">
        <v>10</v>
      </c>
      <c r="Y122" s="185"/>
      <c r="Z122" s="185"/>
      <c r="AA122" s="598"/>
      <c r="AB122" s="482"/>
      <c r="AC122" s="482"/>
      <c r="AD122" s="482"/>
      <c r="AE122" s="482"/>
      <c r="AF122" s="482"/>
      <c r="AG122" s="483"/>
      <c r="AH122" s="360"/>
      <c r="AI122" s="360"/>
      <c r="AJ122" s="360"/>
    </row>
    <row r="123" spans="1:36" ht="21.95" customHeight="1" x14ac:dyDescent="0.2">
      <c r="A123" s="1786">
        <v>8517</v>
      </c>
      <c r="B123" s="501" t="s">
        <v>586</v>
      </c>
      <c r="C123" s="631" t="s">
        <v>124</v>
      </c>
      <c r="D123" s="628"/>
      <c r="E123" s="633"/>
      <c r="F123" s="631" t="s">
        <v>124</v>
      </c>
      <c r="G123" s="634"/>
      <c r="H123" s="633"/>
      <c r="I123" s="121" t="s">
        <v>124</v>
      </c>
      <c r="J123" s="613"/>
      <c r="K123" s="635"/>
      <c r="L123" s="121" t="s">
        <v>124</v>
      </c>
      <c r="M123" s="613"/>
      <c r="N123" s="635"/>
      <c r="O123" s="121" t="s">
        <v>125</v>
      </c>
      <c r="P123" s="613"/>
      <c r="Q123" s="476"/>
      <c r="R123" s="636" t="s">
        <v>28</v>
      </c>
      <c r="S123" s="613"/>
      <c r="T123" s="635"/>
      <c r="U123" s="613" t="s">
        <v>28</v>
      </c>
      <c r="V123" s="613"/>
      <c r="W123" s="476"/>
      <c r="X123" s="144" t="s">
        <v>28</v>
      </c>
      <c r="Y123" s="360"/>
      <c r="Z123" s="360"/>
      <c r="AA123" s="360"/>
      <c r="AB123" s="360"/>
      <c r="AC123" s="360"/>
      <c r="AD123" s="360"/>
      <c r="AE123" s="360"/>
      <c r="AF123" s="360"/>
      <c r="AG123" s="637"/>
      <c r="AH123" s="360"/>
      <c r="AI123" s="360"/>
      <c r="AJ123" s="360"/>
    </row>
    <row r="124" spans="1:36" ht="21.95" customHeight="1" x14ac:dyDescent="0.2">
      <c r="A124" s="638">
        <v>8502</v>
      </c>
      <c r="B124" s="639" t="s">
        <v>587</v>
      </c>
      <c r="C124" s="121" t="s">
        <v>11</v>
      </c>
      <c r="D124" s="613"/>
      <c r="E124" s="476"/>
      <c r="F124" s="121" t="s">
        <v>11</v>
      </c>
      <c r="G124" s="613"/>
      <c r="H124" s="635"/>
      <c r="I124" s="121" t="s">
        <v>11</v>
      </c>
      <c r="J124" s="613"/>
      <c r="K124" s="635"/>
      <c r="L124" s="121" t="s">
        <v>11</v>
      </c>
      <c r="M124" s="613"/>
      <c r="N124" s="635"/>
      <c r="O124" s="121" t="s">
        <v>12</v>
      </c>
      <c r="P124" s="613"/>
      <c r="Q124" s="476"/>
      <c r="R124" s="640"/>
      <c r="S124" s="641"/>
      <c r="T124" s="635"/>
      <c r="U124" s="613"/>
      <c r="V124" s="613"/>
      <c r="W124" s="476"/>
      <c r="X124" s="475"/>
      <c r="Y124" s="482"/>
      <c r="Z124" s="482"/>
      <c r="AA124" s="482"/>
      <c r="AB124" s="482"/>
      <c r="AC124" s="482"/>
      <c r="AD124" s="482"/>
      <c r="AE124" s="482"/>
      <c r="AF124" s="482"/>
      <c r="AG124" s="483"/>
      <c r="AH124" s="360"/>
      <c r="AI124" s="360"/>
      <c r="AJ124" s="360"/>
    </row>
    <row r="125" spans="1:36" ht="21.95" customHeight="1" x14ac:dyDescent="0.2">
      <c r="A125" s="273"/>
      <c r="B125" s="524"/>
      <c r="C125" s="353"/>
      <c r="D125" s="353"/>
      <c r="E125" s="73"/>
      <c r="F125" s="353"/>
      <c r="G125" s="353"/>
      <c r="H125" s="73"/>
      <c r="I125" s="353"/>
      <c r="J125" s="353"/>
      <c r="K125" s="73"/>
      <c r="L125" s="353"/>
      <c r="M125" s="353"/>
      <c r="N125" s="73"/>
      <c r="O125" s="353"/>
      <c r="P125" s="353"/>
      <c r="Q125" s="73"/>
      <c r="R125" s="167"/>
      <c r="S125" s="353"/>
      <c r="T125" s="73"/>
      <c r="U125" s="353"/>
      <c r="V125" s="353"/>
      <c r="W125" s="73"/>
      <c r="X125" s="73"/>
      <c r="Y125" s="360"/>
      <c r="Z125" s="360"/>
      <c r="AA125" s="360"/>
      <c r="AB125" s="360"/>
      <c r="AC125" s="360"/>
      <c r="AD125" s="360"/>
      <c r="AE125" s="360"/>
      <c r="AF125" s="360"/>
      <c r="AG125" s="360"/>
      <c r="AH125" s="360"/>
      <c r="AI125" s="360"/>
    </row>
    <row r="126" spans="1:36" ht="21.95" customHeight="1" x14ac:dyDescent="0.2">
      <c r="A126" s="642"/>
      <c r="B126" s="181" t="s">
        <v>469</v>
      </c>
      <c r="C126" s="497">
        <v>1</v>
      </c>
      <c r="D126" s="177">
        <v>2</v>
      </c>
      <c r="E126" s="177">
        <v>3</v>
      </c>
      <c r="F126" s="177">
        <v>4</v>
      </c>
      <c r="G126" s="177">
        <v>5</v>
      </c>
      <c r="H126" s="177">
        <v>6</v>
      </c>
      <c r="I126" s="498">
        <v>7</v>
      </c>
      <c r="J126" s="498">
        <v>8</v>
      </c>
      <c r="K126" s="177">
        <v>9</v>
      </c>
      <c r="L126" s="177">
        <v>10</v>
      </c>
      <c r="M126" s="177">
        <v>11</v>
      </c>
      <c r="N126" s="177">
        <v>12</v>
      </c>
      <c r="O126" s="177">
        <v>13</v>
      </c>
      <c r="P126" s="498">
        <v>14</v>
      </c>
      <c r="Q126" s="498">
        <v>15</v>
      </c>
      <c r="R126" s="177">
        <v>16</v>
      </c>
      <c r="S126" s="177">
        <v>17</v>
      </c>
      <c r="T126" s="177">
        <v>18</v>
      </c>
      <c r="U126" s="177">
        <v>19</v>
      </c>
      <c r="V126" s="498">
        <v>20</v>
      </c>
      <c r="W126" s="498">
        <v>21</v>
      </c>
      <c r="X126" s="498">
        <v>22</v>
      </c>
      <c r="Y126" s="177">
        <v>23</v>
      </c>
      <c r="Z126" s="177">
        <v>24</v>
      </c>
      <c r="AA126" s="177">
        <v>25</v>
      </c>
      <c r="AB126" s="177">
        <v>26</v>
      </c>
      <c r="AC126" s="177">
        <v>27</v>
      </c>
      <c r="AD126" s="498">
        <v>28</v>
      </c>
      <c r="AE126" s="498">
        <v>29</v>
      </c>
      <c r="AF126" s="177">
        <v>30</v>
      </c>
      <c r="AG126" s="177">
        <v>31</v>
      </c>
      <c r="AH126" s="643" t="s">
        <v>470</v>
      </c>
      <c r="AI126" s="644" t="s">
        <v>471</v>
      </c>
    </row>
    <row r="127" spans="1:36" ht="21.95" customHeight="1" x14ac:dyDescent="0.2">
      <c r="A127" s="645">
        <v>1</v>
      </c>
      <c r="B127" s="552" t="s">
        <v>588</v>
      </c>
      <c r="C127" s="503"/>
      <c r="D127" s="1088" t="s">
        <v>482</v>
      </c>
      <c r="E127" s="1088" t="s">
        <v>482</v>
      </c>
      <c r="F127" s="1088" t="s">
        <v>482</v>
      </c>
      <c r="G127" s="1088" t="s">
        <v>482</v>
      </c>
      <c r="H127" s="1088" t="s">
        <v>482</v>
      </c>
      <c r="I127" s="1088"/>
      <c r="J127" s="1088"/>
      <c r="K127" s="1088" t="s">
        <v>482</v>
      </c>
      <c r="L127" s="1088" t="s">
        <v>482</v>
      </c>
      <c r="M127" s="1088" t="s">
        <v>482</v>
      </c>
      <c r="N127" s="1088" t="s">
        <v>482</v>
      </c>
      <c r="O127" s="1088" t="s">
        <v>482</v>
      </c>
      <c r="P127" s="1088"/>
      <c r="Q127" s="1088"/>
      <c r="R127" s="1088" t="s">
        <v>482</v>
      </c>
      <c r="S127" s="1088" t="s">
        <v>482</v>
      </c>
      <c r="T127" s="1088" t="s">
        <v>482</v>
      </c>
      <c r="U127" s="1088" t="s">
        <v>482</v>
      </c>
      <c r="V127" s="1088"/>
      <c r="W127" s="1089"/>
      <c r="X127" s="1088"/>
      <c r="Y127" s="1088" t="s">
        <v>482</v>
      </c>
      <c r="Z127" s="1088" t="s">
        <v>482</v>
      </c>
      <c r="AA127" s="1088" t="s">
        <v>482</v>
      </c>
      <c r="AB127" s="1088" t="s">
        <v>482</v>
      </c>
      <c r="AC127" s="1088" t="s">
        <v>482</v>
      </c>
      <c r="AD127" s="1090"/>
      <c r="AE127" s="1090"/>
      <c r="AF127" s="1088" t="s">
        <v>482</v>
      </c>
      <c r="AG127" s="1088" t="s">
        <v>482</v>
      </c>
      <c r="AH127" s="646">
        <v>185</v>
      </c>
      <c r="AI127" s="647">
        <v>37</v>
      </c>
    </row>
    <row r="128" spans="1:36" ht="21.95" customHeight="1" x14ac:dyDescent="0.2">
      <c r="A128" s="645">
        <v>2</v>
      </c>
      <c r="B128" s="552" t="s">
        <v>589</v>
      </c>
      <c r="C128" s="503" t="s">
        <v>504</v>
      </c>
      <c r="D128" s="503" t="s">
        <v>475</v>
      </c>
      <c r="E128" s="503" t="s">
        <v>475</v>
      </c>
      <c r="F128" s="503" t="s">
        <v>475</v>
      </c>
      <c r="G128" s="503" t="s">
        <v>475</v>
      </c>
      <c r="H128" s="503" t="s">
        <v>475</v>
      </c>
      <c r="I128" s="503"/>
      <c r="J128" s="503"/>
      <c r="K128" s="503">
        <v>1</v>
      </c>
      <c r="L128" s="503">
        <v>1</v>
      </c>
      <c r="M128" s="503">
        <v>1</v>
      </c>
      <c r="N128" s="503">
        <v>1</v>
      </c>
      <c r="O128" s="503">
        <v>1</v>
      </c>
      <c r="P128" s="503"/>
      <c r="Q128" s="503"/>
      <c r="R128" s="503">
        <v>9</v>
      </c>
      <c r="S128" s="503">
        <v>9</v>
      </c>
      <c r="T128" s="503">
        <v>9</v>
      </c>
      <c r="U128" s="503">
        <v>9</v>
      </c>
      <c r="V128" s="503">
        <v>9</v>
      </c>
      <c r="W128" s="1715" t="s">
        <v>511</v>
      </c>
      <c r="X128" s="503" t="s">
        <v>511</v>
      </c>
      <c r="Y128" s="503" t="s">
        <v>475</v>
      </c>
      <c r="Z128" s="503" t="s">
        <v>475</v>
      </c>
      <c r="AA128" s="503" t="s">
        <v>475</v>
      </c>
      <c r="AB128" s="503" t="s">
        <v>475</v>
      </c>
      <c r="AC128" s="503" t="s">
        <v>475</v>
      </c>
      <c r="AD128" s="553"/>
      <c r="AE128" s="553"/>
      <c r="AF128" s="503">
        <v>6</v>
      </c>
      <c r="AG128" s="503">
        <v>6</v>
      </c>
      <c r="AH128" s="505">
        <v>185</v>
      </c>
      <c r="AI128" s="506">
        <v>37</v>
      </c>
    </row>
    <row r="129" spans="1:35" ht="21.95" customHeight="1" x14ac:dyDescent="0.2">
      <c r="A129" s="645">
        <v>3</v>
      </c>
      <c r="B129" s="552" t="s">
        <v>590</v>
      </c>
      <c r="C129" s="503"/>
      <c r="D129" s="587" t="s">
        <v>513</v>
      </c>
      <c r="E129" s="587" t="s">
        <v>513</v>
      </c>
      <c r="F129" s="587" t="s">
        <v>513</v>
      </c>
      <c r="G129" s="587" t="s">
        <v>513</v>
      </c>
      <c r="H129" s="587" t="s">
        <v>513</v>
      </c>
      <c r="I129" s="587" t="s">
        <v>550</v>
      </c>
      <c r="J129" s="587" t="s">
        <v>550</v>
      </c>
      <c r="K129" s="587" t="s">
        <v>475</v>
      </c>
      <c r="L129" s="587" t="s">
        <v>475</v>
      </c>
      <c r="M129" s="587" t="s">
        <v>475</v>
      </c>
      <c r="N129" s="587" t="s">
        <v>475</v>
      </c>
      <c r="O129" s="587" t="s">
        <v>475</v>
      </c>
      <c r="P129" s="587"/>
      <c r="Q129" s="587"/>
      <c r="R129" s="587" t="s">
        <v>513</v>
      </c>
      <c r="S129" s="587" t="s">
        <v>551</v>
      </c>
      <c r="T129" s="587" t="s">
        <v>513</v>
      </c>
      <c r="U129" s="587" t="s">
        <v>513</v>
      </c>
      <c r="V129" s="587" t="s">
        <v>551</v>
      </c>
      <c r="W129" s="587"/>
      <c r="X129" s="587"/>
      <c r="Y129" s="1060" t="s">
        <v>513</v>
      </c>
      <c r="Z129" s="1060" t="s">
        <v>513</v>
      </c>
      <c r="AA129" s="1060" t="s">
        <v>513</v>
      </c>
      <c r="AB129" s="1060" t="s">
        <v>513</v>
      </c>
      <c r="AC129" s="1060" t="s">
        <v>513</v>
      </c>
      <c r="AD129" s="1060" t="s">
        <v>550</v>
      </c>
      <c r="AE129" s="1060" t="s">
        <v>550</v>
      </c>
      <c r="AF129" s="1060" t="s">
        <v>475</v>
      </c>
      <c r="AG129" s="1060" t="s">
        <v>475</v>
      </c>
      <c r="AH129" s="505">
        <v>117</v>
      </c>
      <c r="AI129" s="506">
        <v>37</v>
      </c>
    </row>
    <row r="130" spans="1:35" ht="21.95" customHeight="1" x14ac:dyDescent="0.2">
      <c r="A130" s="645">
        <v>4</v>
      </c>
      <c r="B130" s="152" t="s">
        <v>591</v>
      </c>
      <c r="C130" s="503"/>
      <c r="D130" s="1093" t="s">
        <v>482</v>
      </c>
      <c r="E130" s="1093" t="s">
        <v>482</v>
      </c>
      <c r="F130" s="1093" t="s">
        <v>482</v>
      </c>
      <c r="G130" s="1093" t="s">
        <v>482</v>
      </c>
      <c r="H130" s="1093" t="s">
        <v>482</v>
      </c>
      <c r="I130" s="1093"/>
      <c r="J130" s="1093"/>
      <c r="K130" s="1093" t="s">
        <v>482</v>
      </c>
      <c r="L130" s="1093" t="s">
        <v>482</v>
      </c>
      <c r="M130" s="1058" t="s">
        <v>482</v>
      </c>
      <c r="N130" s="1093" t="s">
        <v>482</v>
      </c>
      <c r="O130" s="1093" t="s">
        <v>482</v>
      </c>
      <c r="P130" s="1093"/>
      <c r="Q130" s="1093"/>
      <c r="R130" s="1093" t="s">
        <v>482</v>
      </c>
      <c r="S130" s="1093" t="s">
        <v>482</v>
      </c>
      <c r="T130" s="1093" t="s">
        <v>482</v>
      </c>
      <c r="U130" s="1093" t="s">
        <v>482</v>
      </c>
      <c r="V130" s="1093"/>
      <c r="W130" s="1094"/>
      <c r="X130" s="1093"/>
      <c r="Y130" s="1093" t="s">
        <v>482</v>
      </c>
      <c r="Z130" s="1093" t="s">
        <v>482</v>
      </c>
      <c r="AA130" s="1093" t="s">
        <v>482</v>
      </c>
      <c r="AB130" s="1093" t="s">
        <v>482</v>
      </c>
      <c r="AC130" s="1093" t="s">
        <v>482</v>
      </c>
      <c r="AD130" s="1095"/>
      <c r="AE130" s="1095"/>
      <c r="AF130" s="1093" t="s">
        <v>482</v>
      </c>
      <c r="AG130" s="1093" t="s">
        <v>482</v>
      </c>
      <c r="AH130" s="505">
        <v>185</v>
      </c>
      <c r="AI130" s="506">
        <v>37</v>
      </c>
    </row>
    <row r="131" spans="1:35" ht="21.95" customHeight="1" x14ac:dyDescent="0.2">
      <c r="A131" s="645">
        <v>5</v>
      </c>
      <c r="B131" s="152" t="s">
        <v>592</v>
      </c>
      <c r="C131" s="503"/>
      <c r="D131" s="503" t="s">
        <v>552</v>
      </c>
      <c r="E131" s="1092" t="s">
        <v>540</v>
      </c>
      <c r="F131" s="1092" t="s">
        <v>540</v>
      </c>
      <c r="G131" s="503" t="s">
        <v>540</v>
      </c>
      <c r="H131" s="503" t="s">
        <v>540</v>
      </c>
      <c r="I131" s="503"/>
      <c r="J131" s="503"/>
      <c r="K131" s="1092" t="s">
        <v>513</v>
      </c>
      <c r="L131" s="1092" t="s">
        <v>513</v>
      </c>
      <c r="M131" s="1092" t="s">
        <v>513</v>
      </c>
      <c r="N131" s="1099">
        <v>3</v>
      </c>
      <c r="O131" s="1106">
        <v>7</v>
      </c>
      <c r="P131" s="503"/>
      <c r="Q131" s="503"/>
      <c r="R131" s="503" t="s">
        <v>540</v>
      </c>
      <c r="S131" s="503" t="s">
        <v>540</v>
      </c>
      <c r="T131" s="503" t="s">
        <v>540</v>
      </c>
      <c r="U131" s="503" t="s">
        <v>540</v>
      </c>
      <c r="V131" s="503" t="s">
        <v>484</v>
      </c>
      <c r="W131" s="610"/>
      <c r="X131" s="503"/>
      <c r="Y131" s="503" t="s">
        <v>513</v>
      </c>
      <c r="Z131" s="503" t="s">
        <v>513</v>
      </c>
      <c r="AA131" s="503" t="s">
        <v>513</v>
      </c>
      <c r="AB131" s="503" t="s">
        <v>513</v>
      </c>
      <c r="AC131" s="503" t="s">
        <v>513</v>
      </c>
      <c r="AD131" s="553" t="s">
        <v>550</v>
      </c>
      <c r="AE131" s="553" t="s">
        <v>550</v>
      </c>
      <c r="AF131" s="503" t="s">
        <v>475</v>
      </c>
      <c r="AG131" s="503" t="s">
        <v>475</v>
      </c>
      <c r="AH131" s="505">
        <v>185</v>
      </c>
      <c r="AI131" s="506">
        <v>37</v>
      </c>
    </row>
    <row r="132" spans="1:35" ht="21.95" customHeight="1" x14ac:dyDescent="0.2">
      <c r="A132" s="645">
        <v>6</v>
      </c>
      <c r="B132" s="552" t="s">
        <v>593</v>
      </c>
      <c r="C132" s="503"/>
      <c r="D132" s="1092" t="s">
        <v>522</v>
      </c>
      <c r="E132" s="1092" t="s">
        <v>522</v>
      </c>
      <c r="F132" s="503" t="s">
        <v>475</v>
      </c>
      <c r="G132" s="503" t="s">
        <v>475</v>
      </c>
      <c r="H132" s="503">
        <v>8</v>
      </c>
      <c r="I132" s="503" t="s">
        <v>504</v>
      </c>
      <c r="J132" s="503" t="s">
        <v>504</v>
      </c>
      <c r="K132" s="503" t="s">
        <v>475</v>
      </c>
      <c r="L132" s="503" t="s">
        <v>475</v>
      </c>
      <c r="M132" s="503" t="s">
        <v>475</v>
      </c>
      <c r="N132" s="503">
        <v>3</v>
      </c>
      <c r="O132" s="503">
        <v>3</v>
      </c>
      <c r="P132" s="503"/>
      <c r="Q132" s="503"/>
      <c r="R132" s="503">
        <v>4</v>
      </c>
      <c r="S132" s="503">
        <v>4</v>
      </c>
      <c r="T132" s="503">
        <v>4</v>
      </c>
      <c r="U132" s="503">
        <v>4</v>
      </c>
      <c r="V132" s="503">
        <v>4</v>
      </c>
      <c r="W132" s="1715" t="s">
        <v>505</v>
      </c>
      <c r="X132" s="503"/>
      <c r="Y132" s="503">
        <v>7</v>
      </c>
      <c r="Z132" s="503">
        <v>7</v>
      </c>
      <c r="AA132" s="503">
        <v>7</v>
      </c>
      <c r="AB132" s="503">
        <v>7</v>
      </c>
      <c r="AC132" s="503">
        <v>7</v>
      </c>
      <c r="AD132" s="553"/>
      <c r="AE132" s="553"/>
      <c r="AF132" s="503">
        <v>4</v>
      </c>
      <c r="AG132" s="503">
        <v>4</v>
      </c>
      <c r="AH132" s="505">
        <v>185</v>
      </c>
      <c r="AI132" s="506">
        <v>37</v>
      </c>
    </row>
    <row r="133" spans="1:35" ht="21.95" customHeight="1" x14ac:dyDescent="0.2">
      <c r="A133" s="645">
        <v>7</v>
      </c>
      <c r="B133" s="152" t="s">
        <v>594</v>
      </c>
      <c r="C133" s="503"/>
      <c r="D133" s="503">
        <v>9</v>
      </c>
      <c r="E133" s="503">
        <v>9</v>
      </c>
      <c r="F133" s="503">
        <v>9</v>
      </c>
      <c r="G133" s="503">
        <v>9</v>
      </c>
      <c r="H133" s="503">
        <v>9</v>
      </c>
      <c r="I133" s="503" t="s">
        <v>511</v>
      </c>
      <c r="J133" s="503" t="s">
        <v>511</v>
      </c>
      <c r="K133" s="503" t="s">
        <v>475</v>
      </c>
      <c r="L133" s="503" t="s">
        <v>475</v>
      </c>
      <c r="M133" s="503" t="s">
        <v>475</v>
      </c>
      <c r="N133" s="503" t="s">
        <v>475</v>
      </c>
      <c r="O133" s="503" t="s">
        <v>475</v>
      </c>
      <c r="P133" s="503"/>
      <c r="Q133" s="503"/>
      <c r="R133" s="503">
        <v>6</v>
      </c>
      <c r="S133" s="503">
        <v>6</v>
      </c>
      <c r="T133" s="503">
        <v>6</v>
      </c>
      <c r="U133" s="503">
        <v>6</v>
      </c>
      <c r="V133" s="503">
        <v>8</v>
      </c>
      <c r="W133" s="1715" t="s">
        <v>504</v>
      </c>
      <c r="X133" s="503" t="s">
        <v>504</v>
      </c>
      <c r="Y133" s="1059" t="s">
        <v>482</v>
      </c>
      <c r="Z133" s="1059" t="s">
        <v>482</v>
      </c>
      <c r="AA133" s="1059" t="s">
        <v>482</v>
      </c>
      <c r="AB133" s="1059" t="s">
        <v>482</v>
      </c>
      <c r="AC133" s="1059" t="s">
        <v>482</v>
      </c>
      <c r="AD133" s="1064"/>
      <c r="AE133" s="1064"/>
      <c r="AF133" s="1059" t="s">
        <v>482</v>
      </c>
      <c r="AG133" s="1059" t="s">
        <v>482</v>
      </c>
      <c r="AH133" s="505">
        <v>148</v>
      </c>
      <c r="AI133" s="506">
        <v>37</v>
      </c>
    </row>
    <row r="134" spans="1:35" ht="21.95" customHeight="1" x14ac:dyDescent="0.2">
      <c r="A134" s="645">
        <v>8</v>
      </c>
      <c r="B134" s="1080" t="s">
        <v>595</v>
      </c>
      <c r="C134" s="503"/>
      <c r="D134" s="503" t="s">
        <v>596</v>
      </c>
      <c r="E134" s="503" t="s">
        <v>596</v>
      </c>
      <c r="F134" s="503" t="s">
        <v>596</v>
      </c>
      <c r="G134" s="503" t="s">
        <v>596</v>
      </c>
      <c r="H134" s="503" t="s">
        <v>596</v>
      </c>
      <c r="I134" s="503" t="s">
        <v>505</v>
      </c>
      <c r="J134" s="503"/>
      <c r="K134" s="503" t="s">
        <v>596</v>
      </c>
      <c r="L134" s="503" t="s">
        <v>596</v>
      </c>
      <c r="M134" s="503" t="s">
        <v>596</v>
      </c>
      <c r="N134" s="503" t="s">
        <v>596</v>
      </c>
      <c r="O134" s="503" t="s">
        <v>596</v>
      </c>
      <c r="P134" s="503" t="s">
        <v>484</v>
      </c>
      <c r="Q134" s="503" t="s">
        <v>484</v>
      </c>
      <c r="R134" s="503" t="s">
        <v>596</v>
      </c>
      <c r="S134" s="503" t="s">
        <v>596</v>
      </c>
      <c r="T134" s="503" t="s">
        <v>596</v>
      </c>
      <c r="U134" s="503" t="s">
        <v>596</v>
      </c>
      <c r="V134" s="503"/>
      <c r="W134" s="503"/>
      <c r="X134" s="503" t="s">
        <v>505</v>
      </c>
      <c r="Y134" s="503" t="s">
        <v>596</v>
      </c>
      <c r="Z134" s="503" t="s">
        <v>596</v>
      </c>
      <c r="AA134" s="503" t="s">
        <v>596</v>
      </c>
      <c r="AB134" s="503" t="s">
        <v>596</v>
      </c>
      <c r="AC134" s="503" t="s">
        <v>596</v>
      </c>
      <c r="AD134" s="503" t="s">
        <v>484</v>
      </c>
      <c r="AE134" s="503" t="s">
        <v>484</v>
      </c>
      <c r="AF134" s="503" t="s">
        <v>596</v>
      </c>
      <c r="AG134" s="503" t="s">
        <v>596</v>
      </c>
      <c r="AH134" s="648">
        <v>185</v>
      </c>
      <c r="AI134" s="649">
        <v>37</v>
      </c>
    </row>
    <row r="135" spans="1:35" ht="21.95" customHeight="1" x14ac:dyDescent="0.2">
      <c r="A135" s="645">
        <v>9</v>
      </c>
      <c r="B135" s="152" t="s">
        <v>597</v>
      </c>
      <c r="C135" s="171"/>
      <c r="D135" s="1096" t="s">
        <v>513</v>
      </c>
      <c r="E135" s="1096" t="s">
        <v>513</v>
      </c>
      <c r="F135" s="1096">
        <v>3</v>
      </c>
      <c r="G135" s="1096">
        <v>3</v>
      </c>
      <c r="H135" s="1096">
        <v>3</v>
      </c>
      <c r="I135" s="171"/>
      <c r="J135" s="171"/>
      <c r="K135" s="1096" t="s">
        <v>522</v>
      </c>
      <c r="L135" s="1096" t="s">
        <v>522</v>
      </c>
      <c r="M135" s="171" t="s">
        <v>475</v>
      </c>
      <c r="N135" s="171" t="s">
        <v>475</v>
      </c>
      <c r="O135" s="171" t="s">
        <v>475</v>
      </c>
      <c r="P135" s="171"/>
      <c r="Q135" s="171"/>
      <c r="R135" s="171">
        <v>3</v>
      </c>
      <c r="S135" s="1096">
        <v>9</v>
      </c>
      <c r="T135" s="1096">
        <v>9</v>
      </c>
      <c r="U135" s="1096">
        <v>9</v>
      </c>
      <c r="V135" s="171" t="s">
        <v>475</v>
      </c>
      <c r="W135" s="503" t="s">
        <v>484</v>
      </c>
      <c r="X135" s="171"/>
      <c r="Y135" s="171">
        <v>3</v>
      </c>
      <c r="Z135" s="171">
        <v>3</v>
      </c>
      <c r="AA135" s="171">
        <v>3</v>
      </c>
      <c r="AB135" s="171">
        <v>3</v>
      </c>
      <c r="AC135" s="171">
        <v>3</v>
      </c>
      <c r="AD135" s="171"/>
      <c r="AE135" s="171"/>
      <c r="AF135" s="171">
        <v>8</v>
      </c>
      <c r="AG135" s="650" t="s">
        <v>540</v>
      </c>
      <c r="AH135" s="651">
        <v>185</v>
      </c>
      <c r="AI135" s="523">
        <v>37</v>
      </c>
    </row>
    <row r="136" spans="1:35" ht="21.95" customHeight="1" x14ac:dyDescent="0.2">
      <c r="A136" s="652"/>
      <c r="B136" s="273"/>
      <c r="C136" s="138"/>
      <c r="D136" s="138"/>
      <c r="E136" s="138"/>
      <c r="F136" s="138"/>
      <c r="G136" s="138"/>
      <c r="H136" s="138"/>
      <c r="I136" s="138"/>
      <c r="J136" s="138"/>
      <c r="K136" s="138"/>
      <c r="L136" s="138"/>
      <c r="M136" s="138"/>
      <c r="N136" s="138"/>
      <c r="O136" s="138"/>
      <c r="P136" s="138"/>
      <c r="Q136" s="138"/>
      <c r="R136" s="138"/>
      <c r="S136" s="138"/>
      <c r="T136" s="138"/>
      <c r="U136" s="138"/>
      <c r="V136" s="138"/>
      <c r="W136" s="138"/>
      <c r="X136" s="138"/>
      <c r="Y136" s="138"/>
      <c r="Z136" s="138"/>
      <c r="AA136" s="138"/>
      <c r="AB136" s="138"/>
      <c r="AC136" s="138"/>
      <c r="AD136" s="138"/>
      <c r="AE136" s="138"/>
      <c r="AF136" s="138"/>
      <c r="AG136" s="138"/>
      <c r="AH136" s="591"/>
      <c r="AI136" s="591"/>
    </row>
    <row r="137" spans="1:35" ht="21" customHeight="1" x14ac:dyDescent="0.25">
      <c r="A137" s="653" t="s">
        <v>598</v>
      </c>
    </row>
    <row r="138" spans="1:35" ht="21" customHeight="1" x14ac:dyDescent="0.25">
      <c r="A138" s="654" t="s">
        <v>599</v>
      </c>
    </row>
    <row r="139" spans="1:35" ht="21" customHeight="1" x14ac:dyDescent="0.2">
      <c r="A139" t="s">
        <v>600</v>
      </c>
    </row>
    <row r="140" spans="1:35" ht="21" customHeight="1" x14ac:dyDescent="0.2">
      <c r="A140" s="585"/>
      <c r="B140" s="296" t="s">
        <v>469</v>
      </c>
      <c r="C140" s="497">
        <v>1</v>
      </c>
      <c r="D140" s="177">
        <v>2</v>
      </c>
      <c r="E140" s="177">
        <v>3</v>
      </c>
      <c r="F140" s="177">
        <v>4</v>
      </c>
      <c r="G140" s="177">
        <v>5</v>
      </c>
      <c r="H140" s="177">
        <v>6</v>
      </c>
      <c r="I140" s="498">
        <v>7</v>
      </c>
      <c r="J140" s="498">
        <v>8</v>
      </c>
      <c r="K140" s="177">
        <v>9</v>
      </c>
      <c r="L140" s="177">
        <v>10</v>
      </c>
      <c r="M140" s="177">
        <v>11</v>
      </c>
      <c r="N140" s="177">
        <v>12</v>
      </c>
      <c r="O140" s="177">
        <v>13</v>
      </c>
      <c r="P140" s="498">
        <v>14</v>
      </c>
      <c r="Q140" s="498">
        <v>15</v>
      </c>
      <c r="R140" s="177">
        <v>16</v>
      </c>
      <c r="S140" s="177">
        <v>17</v>
      </c>
      <c r="T140" s="177">
        <v>18</v>
      </c>
      <c r="U140" s="177">
        <v>19</v>
      </c>
      <c r="V140" s="498">
        <v>20</v>
      </c>
      <c r="W140" s="498">
        <v>21</v>
      </c>
      <c r="X140" s="498">
        <v>22</v>
      </c>
      <c r="Y140" s="177">
        <v>23</v>
      </c>
      <c r="Z140" s="177">
        <v>24</v>
      </c>
      <c r="AA140" s="177">
        <v>25</v>
      </c>
      <c r="AB140" s="177">
        <v>26</v>
      </c>
      <c r="AC140" s="177">
        <v>27</v>
      </c>
      <c r="AD140" s="498">
        <v>28</v>
      </c>
      <c r="AE140" s="498">
        <v>29</v>
      </c>
      <c r="AF140" s="177">
        <v>30</v>
      </c>
      <c r="AG140" s="177">
        <v>31</v>
      </c>
      <c r="AH140" s="655"/>
    </row>
    <row r="141" spans="1:35" ht="21" customHeight="1" x14ac:dyDescent="0.2">
      <c r="A141" s="585">
        <v>1</v>
      </c>
      <c r="B141" s="318" t="s">
        <v>35</v>
      </c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656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655"/>
    </row>
    <row r="142" spans="1:35" ht="21" customHeight="1" x14ac:dyDescent="0.2">
      <c r="A142" s="585">
        <v>2</v>
      </c>
      <c r="B142" s="657" t="s">
        <v>601</v>
      </c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655"/>
    </row>
    <row r="143" spans="1:35" ht="21" customHeight="1" x14ac:dyDescent="0.2">
      <c r="A143" s="585">
        <v>3</v>
      </c>
      <c r="B143" s="552" t="s">
        <v>602</v>
      </c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656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655"/>
    </row>
    <row r="144" spans="1:35" ht="21" customHeight="1" x14ac:dyDescent="0.2">
      <c r="A144" s="585">
        <v>4</v>
      </c>
      <c r="B144" s="552" t="s">
        <v>554</v>
      </c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656"/>
      <c r="AC144" s="171"/>
      <c r="AD144" s="171"/>
      <c r="AE144" s="171"/>
      <c r="AF144" s="171"/>
      <c r="AG144" s="171"/>
      <c r="AH144" s="655"/>
    </row>
    <row r="145" spans="1:35" ht="21" customHeight="1" x14ac:dyDescent="0.2">
      <c r="A145" s="585">
        <v>5</v>
      </c>
      <c r="B145" s="552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655"/>
    </row>
    <row r="146" spans="1:35" ht="21" customHeight="1" x14ac:dyDescent="0.2">
      <c r="A146" s="585"/>
      <c r="B146" s="318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656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655"/>
    </row>
    <row r="147" spans="1:35" ht="21.95" customHeight="1" x14ac:dyDescent="0.2">
      <c r="A147" s="1" t="s">
        <v>603</v>
      </c>
      <c r="B147" s="273"/>
      <c r="C147" s="138"/>
      <c r="D147" s="138"/>
      <c r="E147" s="138"/>
      <c r="F147" s="138"/>
      <c r="G147" s="138"/>
      <c r="H147" s="138"/>
      <c r="I147" s="138"/>
      <c r="J147" s="138"/>
      <c r="K147" s="138"/>
      <c r="L147" s="138"/>
      <c r="M147" s="138"/>
      <c r="N147" s="138"/>
      <c r="O147" s="138"/>
      <c r="P147" s="138"/>
      <c r="Q147" s="138"/>
      <c r="R147" s="138"/>
      <c r="S147" s="138"/>
      <c r="T147" s="138"/>
      <c r="U147" s="138"/>
      <c r="V147" s="138"/>
      <c r="W147" s="138"/>
      <c r="X147" s="138"/>
      <c r="Y147" s="138"/>
      <c r="Z147" s="138"/>
      <c r="AA147" s="138"/>
      <c r="AB147" s="138"/>
      <c r="AC147" s="138"/>
      <c r="AD147" s="138"/>
      <c r="AE147" s="138"/>
      <c r="AF147" s="138"/>
      <c r="AG147" s="138"/>
    </row>
    <row r="148" spans="1:35" ht="21.95" customHeight="1" x14ac:dyDescent="0.2">
      <c r="A148" s="1"/>
      <c r="B148" s="200" t="s">
        <v>604</v>
      </c>
      <c r="C148" s="7"/>
      <c r="D148" s="530" t="s">
        <v>2</v>
      </c>
      <c r="E148" s="51"/>
      <c r="F148" s="573"/>
      <c r="G148" s="7"/>
      <c r="H148" s="530" t="s">
        <v>3</v>
      </c>
      <c r="I148" s="51"/>
      <c r="J148" s="573"/>
      <c r="K148" s="7"/>
      <c r="L148" s="530" t="s">
        <v>4</v>
      </c>
      <c r="M148" s="51"/>
      <c r="N148" s="573"/>
      <c r="O148" s="7"/>
      <c r="P148" s="530" t="s">
        <v>5</v>
      </c>
      <c r="Q148" s="51"/>
      <c r="R148" s="573"/>
      <c r="S148" s="7"/>
      <c r="T148" s="530" t="s">
        <v>6</v>
      </c>
      <c r="U148" s="51"/>
      <c r="V148" s="573"/>
      <c r="W148" s="7"/>
      <c r="X148" s="530" t="s">
        <v>7</v>
      </c>
      <c r="Y148" s="51"/>
      <c r="Z148" s="573"/>
      <c r="AA148" s="7"/>
      <c r="AB148" s="530" t="s">
        <v>8</v>
      </c>
      <c r="AC148" s="51"/>
      <c r="AD148" s="51"/>
      <c r="AE148" s="424" t="s">
        <v>10</v>
      </c>
      <c r="AF148" s="51"/>
      <c r="AG148" s="51"/>
      <c r="AH148" s="51"/>
      <c r="AI148" s="531"/>
    </row>
    <row r="149" spans="1:35" ht="21.95" customHeight="1" x14ac:dyDescent="0.2">
      <c r="A149" s="1"/>
      <c r="B149" s="305">
        <v>3701</v>
      </c>
      <c r="C149" s="641" t="s">
        <v>124</v>
      </c>
      <c r="D149" s="658"/>
      <c r="E149" s="55"/>
      <c r="F149" s="580"/>
      <c r="G149" s="641" t="s">
        <v>124</v>
      </c>
      <c r="H149" s="659"/>
      <c r="I149" s="55"/>
      <c r="J149" s="580"/>
      <c r="K149" s="641" t="s">
        <v>124</v>
      </c>
      <c r="L149" s="659"/>
      <c r="M149" s="55"/>
      <c r="N149" s="580"/>
      <c r="O149" s="641" t="s">
        <v>124</v>
      </c>
      <c r="P149" s="659"/>
      <c r="Q149" s="55"/>
      <c r="R149" s="580"/>
      <c r="S149" s="14" t="s">
        <v>125</v>
      </c>
      <c r="T149" s="659"/>
      <c r="U149" s="55"/>
      <c r="V149" s="580"/>
      <c r="W149" s="14"/>
      <c r="X149" s="659"/>
      <c r="Y149" s="55"/>
      <c r="Z149" s="580"/>
      <c r="AA149" s="14"/>
      <c r="AB149" s="659"/>
      <c r="AC149" s="55"/>
      <c r="AD149" s="55"/>
      <c r="AE149" s="660"/>
      <c r="AF149" s="55"/>
      <c r="AG149" s="55"/>
      <c r="AH149" s="55"/>
      <c r="AI149" s="661"/>
    </row>
    <row r="150" spans="1:35" ht="21.95" customHeight="1" x14ac:dyDescent="0.2">
      <c r="B150" s="662">
        <v>3700</v>
      </c>
      <c r="C150" s="121" t="s">
        <v>534</v>
      </c>
      <c r="D150" s="156"/>
      <c r="E150" s="156"/>
      <c r="F150" s="612"/>
      <c r="G150" s="121" t="s">
        <v>534</v>
      </c>
      <c r="H150" s="156"/>
      <c r="I150" s="156"/>
      <c r="J150" s="612"/>
      <c r="K150" s="121" t="s">
        <v>534</v>
      </c>
      <c r="L150" s="156"/>
      <c r="M150" s="156"/>
      <c r="N150" s="612"/>
      <c r="O150" s="121" t="s">
        <v>534</v>
      </c>
      <c r="P150" s="156"/>
      <c r="Q150" s="156"/>
      <c r="R150" s="612"/>
      <c r="S150" s="121" t="s">
        <v>116</v>
      </c>
      <c r="T150" s="156"/>
      <c r="U150" s="156"/>
      <c r="V150" s="612"/>
      <c r="W150" s="121"/>
      <c r="X150" s="156"/>
      <c r="Y150" s="156"/>
      <c r="Z150" s="612"/>
      <c r="AA150" s="611"/>
      <c r="AB150" s="156"/>
      <c r="AC150" s="156"/>
      <c r="AD150" s="613"/>
      <c r="AE150" s="663"/>
      <c r="AF150" s="156"/>
      <c r="AG150" s="156" t="s">
        <v>28</v>
      </c>
      <c r="AH150" s="613"/>
      <c r="AI150" s="489"/>
    </row>
    <row r="151" spans="1:35" ht="21.95" customHeight="1" x14ac:dyDescent="0.2">
      <c r="A151" s="1"/>
      <c r="B151" s="129" t="s">
        <v>605</v>
      </c>
      <c r="C151" s="611" t="s">
        <v>606</v>
      </c>
      <c r="D151" s="156"/>
      <c r="E151" s="156"/>
      <c r="F151" s="612"/>
      <c r="G151" s="611" t="s">
        <v>606</v>
      </c>
      <c r="H151" s="156"/>
      <c r="I151" s="156"/>
      <c r="J151" s="612"/>
      <c r="K151" s="611" t="s">
        <v>606</v>
      </c>
      <c r="L151" s="156"/>
      <c r="M151" s="156"/>
      <c r="N151" s="612"/>
      <c r="O151" s="611" t="s">
        <v>606</v>
      </c>
      <c r="P151" s="156"/>
      <c r="Q151" s="156"/>
      <c r="R151" s="612"/>
      <c r="S151" s="611" t="s">
        <v>607</v>
      </c>
      <c r="T151" s="156"/>
      <c r="U151" s="156"/>
      <c r="V151" s="612"/>
      <c r="W151" s="121"/>
      <c r="X151" s="156"/>
      <c r="Y151" s="156"/>
      <c r="Z151" s="612"/>
      <c r="AA151" s="121"/>
      <c r="AB151" s="156"/>
      <c r="AC151" s="156"/>
      <c r="AD151" s="613"/>
      <c r="AE151" s="121"/>
      <c r="AF151" s="156"/>
      <c r="AG151" s="156"/>
      <c r="AH151" s="613"/>
      <c r="AI151" s="489"/>
    </row>
    <row r="152" spans="1:35" ht="21.95" customHeight="1" x14ac:dyDescent="0.2">
      <c r="A152" s="1"/>
      <c r="B152" s="664">
        <v>8500</v>
      </c>
      <c r="C152" s="665" t="s">
        <v>11</v>
      </c>
      <c r="D152" s="55"/>
      <c r="E152" s="55"/>
      <c r="F152" s="666"/>
      <c r="G152" s="665" t="s">
        <v>11</v>
      </c>
      <c r="H152" s="55"/>
      <c r="I152" s="55"/>
      <c r="J152" s="666"/>
      <c r="K152" s="665" t="s">
        <v>11</v>
      </c>
      <c r="L152" s="55"/>
      <c r="M152" s="55"/>
      <c r="N152" s="666"/>
      <c r="O152" s="665" t="s">
        <v>11</v>
      </c>
      <c r="P152" s="55"/>
      <c r="Q152" s="55"/>
      <c r="R152" s="666"/>
      <c r="S152" s="665" t="s">
        <v>12</v>
      </c>
      <c r="T152" s="55"/>
      <c r="U152" s="55"/>
      <c r="V152" s="666"/>
      <c r="W152" s="665"/>
      <c r="X152" s="55"/>
      <c r="Y152" s="55"/>
      <c r="Z152" s="666"/>
      <c r="AA152" s="665"/>
      <c r="AB152" s="55"/>
      <c r="AC152" s="55"/>
      <c r="AD152" s="666"/>
      <c r="AE152" s="665"/>
      <c r="AF152" s="55"/>
      <c r="AG152" s="55"/>
      <c r="AH152" s="641"/>
      <c r="AI152" s="661"/>
    </row>
    <row r="153" spans="1:35" ht="21.95" customHeight="1" x14ac:dyDescent="0.2">
      <c r="A153" s="1"/>
      <c r="B153" s="9">
        <v>8514</v>
      </c>
      <c r="C153" s="667" t="s">
        <v>124</v>
      </c>
      <c r="D153" s="668"/>
      <c r="E153" s="669"/>
      <c r="F153" s="670"/>
      <c r="G153" s="667" t="s">
        <v>124</v>
      </c>
      <c r="H153" s="668"/>
      <c r="I153" s="669"/>
      <c r="J153" s="670"/>
      <c r="K153" s="667" t="s">
        <v>124</v>
      </c>
      <c r="L153" s="668"/>
      <c r="M153" s="669"/>
      <c r="N153" s="670"/>
      <c r="O153" s="667" t="s">
        <v>124</v>
      </c>
      <c r="P153" s="668"/>
      <c r="Q153" s="669"/>
      <c r="R153" s="670"/>
      <c r="S153" s="667" t="s">
        <v>608</v>
      </c>
      <c r="T153" s="668"/>
      <c r="U153" s="669"/>
      <c r="V153" s="670"/>
      <c r="W153" s="14"/>
      <c r="X153" s="659"/>
      <c r="Y153" s="55"/>
      <c r="Z153" s="580"/>
      <c r="AA153" s="14"/>
      <c r="AB153" s="659"/>
      <c r="AC153" s="55"/>
      <c r="AD153" s="55"/>
      <c r="AE153" s="660"/>
      <c r="AF153" s="55"/>
      <c r="AG153" s="55"/>
      <c r="AH153" s="55"/>
      <c r="AI153" s="661"/>
    </row>
    <row r="154" spans="1:35" ht="21.95" customHeight="1" x14ac:dyDescent="0.2">
      <c r="A154" s="1"/>
      <c r="B154" s="671">
        <v>8521</v>
      </c>
      <c r="C154" s="57" t="s">
        <v>534</v>
      </c>
      <c r="D154" s="53"/>
      <c r="E154" s="53"/>
      <c r="F154" s="619"/>
      <c r="G154" s="57" t="s">
        <v>534</v>
      </c>
      <c r="H154" s="53"/>
      <c r="I154" s="53"/>
      <c r="J154" s="619"/>
      <c r="K154" s="57" t="s">
        <v>534</v>
      </c>
      <c r="L154" s="53"/>
      <c r="M154" s="53"/>
      <c r="N154" s="619"/>
      <c r="O154" s="57" t="s">
        <v>534</v>
      </c>
      <c r="P154" s="53"/>
      <c r="Q154" s="53"/>
      <c r="R154" s="619"/>
      <c r="S154" s="57" t="s">
        <v>116</v>
      </c>
      <c r="T154" s="53"/>
      <c r="U154" s="53"/>
      <c r="V154" s="619"/>
      <c r="W154" s="57"/>
      <c r="X154" s="53"/>
      <c r="Y154" s="53"/>
      <c r="Z154" s="619"/>
      <c r="AA154" s="618"/>
      <c r="AB154" s="53"/>
      <c r="AC154" s="53"/>
      <c r="AD154" s="620"/>
      <c r="AE154" s="672"/>
      <c r="AF154" s="53"/>
      <c r="AG154" s="53" t="s">
        <v>28</v>
      </c>
      <c r="AH154" s="620"/>
      <c r="AI154" s="544"/>
    </row>
    <row r="155" spans="1:35" ht="21.95" customHeight="1" x14ac:dyDescent="0.2">
      <c r="A155" s="1"/>
      <c r="B155" s="72"/>
      <c r="C155" s="311"/>
      <c r="F155" s="353"/>
      <c r="G155" s="311"/>
      <c r="J155" s="353"/>
      <c r="K155" s="311"/>
      <c r="N155" s="353"/>
      <c r="O155" s="311"/>
      <c r="R155" s="353"/>
      <c r="S155" s="311"/>
      <c r="V155" s="353"/>
      <c r="W155" s="353"/>
      <c r="Z155" s="353"/>
      <c r="AA155" s="353"/>
      <c r="AD155" s="353"/>
      <c r="AE155" s="353"/>
      <c r="AH155" s="353"/>
    </row>
    <row r="156" spans="1:35" ht="21.95" customHeight="1" x14ac:dyDescent="0.2">
      <c r="A156" s="1" t="s">
        <v>609</v>
      </c>
      <c r="B156" s="72"/>
      <c r="C156" s="311"/>
      <c r="F156" s="353"/>
      <c r="G156" s="311"/>
      <c r="J156" s="353"/>
      <c r="K156" s="311"/>
      <c r="N156" s="353"/>
      <c r="O156" s="311"/>
      <c r="R156" s="353"/>
      <c r="S156" s="311"/>
      <c r="V156" s="353"/>
      <c r="W156" s="353"/>
      <c r="Z156" s="353"/>
      <c r="AA156" s="353"/>
      <c r="AD156" s="353"/>
      <c r="AE156" s="353"/>
      <c r="AH156" s="353"/>
    </row>
    <row r="157" spans="1:35" ht="21.95" customHeight="1" x14ac:dyDescent="0.2">
      <c r="A157" s="585"/>
      <c r="B157" s="296" t="s">
        <v>469</v>
      </c>
      <c r="C157" s="497">
        <v>1</v>
      </c>
      <c r="D157" s="177">
        <v>2</v>
      </c>
      <c r="E157" s="177">
        <v>3</v>
      </c>
      <c r="F157" s="177">
        <v>4</v>
      </c>
      <c r="G157" s="177">
        <v>5</v>
      </c>
      <c r="H157" s="177">
        <v>6</v>
      </c>
      <c r="I157" s="498">
        <v>7</v>
      </c>
      <c r="J157" s="498">
        <v>8</v>
      </c>
      <c r="K157" s="177">
        <v>9</v>
      </c>
      <c r="L157" s="177">
        <v>10</v>
      </c>
      <c r="M157" s="177">
        <v>11</v>
      </c>
      <c r="N157" s="177">
        <v>12</v>
      </c>
      <c r="O157" s="177">
        <v>13</v>
      </c>
      <c r="P157" s="498">
        <v>14</v>
      </c>
      <c r="Q157" s="498">
        <v>15</v>
      </c>
      <c r="R157" s="177">
        <v>16</v>
      </c>
      <c r="S157" s="177">
        <v>17</v>
      </c>
      <c r="T157" s="177">
        <v>18</v>
      </c>
      <c r="U157" s="177">
        <v>19</v>
      </c>
      <c r="V157" s="498">
        <v>20</v>
      </c>
      <c r="W157" s="498">
        <v>21</v>
      </c>
      <c r="X157" s="498">
        <v>22</v>
      </c>
      <c r="Y157" s="177">
        <v>23</v>
      </c>
      <c r="Z157" s="177">
        <v>24</v>
      </c>
      <c r="AA157" s="177">
        <v>25</v>
      </c>
      <c r="AB157" s="177">
        <v>26</v>
      </c>
      <c r="AC157" s="177">
        <v>27</v>
      </c>
      <c r="AD157" s="498">
        <v>28</v>
      </c>
      <c r="AE157" s="498">
        <v>29</v>
      </c>
      <c r="AF157" s="177">
        <v>30</v>
      </c>
      <c r="AG157" s="177">
        <v>31</v>
      </c>
      <c r="AH157" s="499" t="s">
        <v>470</v>
      </c>
      <c r="AI157" s="500" t="s">
        <v>471</v>
      </c>
    </row>
    <row r="158" spans="1:35" ht="21.95" customHeight="1" x14ac:dyDescent="0.2">
      <c r="A158" s="585"/>
      <c r="B158" s="673" t="s">
        <v>610</v>
      </c>
      <c r="C158" s="503"/>
      <c r="D158" s="1059" t="s">
        <v>482</v>
      </c>
      <c r="E158" s="1059" t="s">
        <v>482</v>
      </c>
      <c r="F158" s="1059" t="s">
        <v>482</v>
      </c>
      <c r="G158" s="1059" t="s">
        <v>482</v>
      </c>
      <c r="H158" s="1059" t="s">
        <v>482</v>
      </c>
      <c r="I158" s="1059"/>
      <c r="J158" s="1059"/>
      <c r="K158" s="503" t="s">
        <v>482</v>
      </c>
      <c r="L158" s="503" t="s">
        <v>482</v>
      </c>
      <c r="M158" s="503" t="s">
        <v>482</v>
      </c>
      <c r="N158" s="503" t="s">
        <v>482</v>
      </c>
      <c r="O158" s="503" t="s">
        <v>482</v>
      </c>
      <c r="P158" s="503"/>
      <c r="Q158" s="503"/>
      <c r="R158" s="503" t="s">
        <v>482</v>
      </c>
      <c r="S158" s="503" t="s">
        <v>482</v>
      </c>
      <c r="T158" s="503" t="s">
        <v>482</v>
      </c>
      <c r="U158" s="503" t="s">
        <v>482</v>
      </c>
      <c r="V158" s="503"/>
      <c r="W158" s="610"/>
      <c r="X158" s="503"/>
      <c r="Y158" s="503" t="s">
        <v>482</v>
      </c>
      <c r="Z158" s="503" t="s">
        <v>482</v>
      </c>
      <c r="AA158" s="503" t="s">
        <v>482</v>
      </c>
      <c r="AB158" s="503" t="s">
        <v>482</v>
      </c>
      <c r="AC158" s="503" t="s">
        <v>482</v>
      </c>
      <c r="AD158" s="553"/>
      <c r="AE158" s="553"/>
      <c r="AF158" s="503" t="s">
        <v>482</v>
      </c>
      <c r="AG158" s="503" t="s">
        <v>482</v>
      </c>
      <c r="AH158" s="648">
        <v>148</v>
      </c>
      <c r="AI158" s="649">
        <v>37</v>
      </c>
    </row>
    <row r="159" spans="1:35" ht="21.95" customHeight="1" x14ac:dyDescent="0.2">
      <c r="A159" s="674">
        <v>8500</v>
      </c>
      <c r="B159" s="675" t="s">
        <v>156</v>
      </c>
      <c r="C159" s="503"/>
      <c r="D159" s="503" t="s">
        <v>482</v>
      </c>
      <c r="E159" s="503" t="s">
        <v>482</v>
      </c>
      <c r="F159" s="503" t="s">
        <v>482</v>
      </c>
      <c r="G159" s="503" t="s">
        <v>482</v>
      </c>
      <c r="H159" s="1059" t="s">
        <v>482</v>
      </c>
      <c r="I159" s="503"/>
      <c r="J159" s="503"/>
      <c r="K159" s="1059" t="s">
        <v>482</v>
      </c>
      <c r="L159" s="1058" t="s">
        <v>482</v>
      </c>
      <c r="M159" s="1058" t="s">
        <v>482</v>
      </c>
      <c r="N159" s="503" t="s">
        <v>482</v>
      </c>
      <c r="O159" s="503" t="s">
        <v>482</v>
      </c>
      <c r="P159" s="503"/>
      <c r="Q159" s="503"/>
      <c r="R159" s="503" t="s">
        <v>482</v>
      </c>
      <c r="S159" s="503" t="s">
        <v>482</v>
      </c>
      <c r="T159" s="503" t="s">
        <v>482</v>
      </c>
      <c r="U159" s="503" t="s">
        <v>482</v>
      </c>
      <c r="V159" s="503"/>
      <c r="W159" s="610"/>
      <c r="X159" s="503"/>
      <c r="Y159" s="1078" t="s">
        <v>482</v>
      </c>
      <c r="Z159" s="1078" t="s">
        <v>482</v>
      </c>
      <c r="AA159" s="503" t="s">
        <v>482</v>
      </c>
      <c r="AB159" s="503" t="s">
        <v>482</v>
      </c>
      <c r="AC159" s="1058" t="s">
        <v>482</v>
      </c>
      <c r="AD159" s="553"/>
      <c r="AE159" s="553"/>
      <c r="AF159" s="503" t="s">
        <v>482</v>
      </c>
      <c r="AG159" s="503" t="s">
        <v>482</v>
      </c>
      <c r="AH159" s="648">
        <v>185</v>
      </c>
      <c r="AI159" s="649">
        <v>37</v>
      </c>
    </row>
    <row r="160" spans="1:35" ht="21" customHeight="1" x14ac:dyDescent="0.2">
      <c r="A160" s="441"/>
      <c r="B160" s="673" t="s">
        <v>611</v>
      </c>
      <c r="C160" s="503"/>
      <c r="D160" s="503" t="s">
        <v>482</v>
      </c>
      <c r="E160" s="1078" t="s">
        <v>482</v>
      </c>
      <c r="F160" s="503" t="s">
        <v>482</v>
      </c>
      <c r="G160" s="503" t="s">
        <v>482</v>
      </c>
      <c r="H160" s="503" t="s">
        <v>482</v>
      </c>
      <c r="I160" s="503"/>
      <c r="J160" s="503"/>
      <c r="K160" s="503" t="s">
        <v>482</v>
      </c>
      <c r="L160" s="503" t="s">
        <v>482</v>
      </c>
      <c r="M160" s="503" t="s">
        <v>482</v>
      </c>
      <c r="N160" s="503" t="s">
        <v>482</v>
      </c>
      <c r="O160" s="503" t="s">
        <v>482</v>
      </c>
      <c r="P160" s="503"/>
      <c r="Q160" s="503"/>
      <c r="R160" s="503" t="s">
        <v>482</v>
      </c>
      <c r="S160" s="503" t="s">
        <v>482</v>
      </c>
      <c r="T160" s="503" t="s">
        <v>482</v>
      </c>
      <c r="U160" s="503" t="s">
        <v>482</v>
      </c>
      <c r="V160" s="503"/>
      <c r="W160" s="610"/>
      <c r="X160" s="503"/>
      <c r="Y160" s="1078" t="s">
        <v>482</v>
      </c>
      <c r="Z160" s="1078" t="s">
        <v>482</v>
      </c>
      <c r="AA160" s="503" t="s">
        <v>482</v>
      </c>
      <c r="AB160" s="503" t="s">
        <v>482</v>
      </c>
      <c r="AC160" s="503" t="s">
        <v>482</v>
      </c>
      <c r="AD160" s="553"/>
      <c r="AE160" s="553"/>
      <c r="AF160" s="503" t="s">
        <v>482</v>
      </c>
      <c r="AG160" s="503" t="s">
        <v>482</v>
      </c>
      <c r="AH160" s="648">
        <v>222</v>
      </c>
      <c r="AI160" s="649">
        <v>37</v>
      </c>
    </row>
    <row r="161" spans="1:35" ht="21" customHeight="1" x14ac:dyDescent="0.2">
      <c r="A161" s="441"/>
      <c r="B161" s="673" t="s">
        <v>612</v>
      </c>
      <c r="C161" s="503"/>
      <c r="D161" s="503" t="s">
        <v>482</v>
      </c>
      <c r="E161" s="503" t="s">
        <v>482</v>
      </c>
      <c r="F161" s="503" t="s">
        <v>482</v>
      </c>
      <c r="G161" s="503" t="s">
        <v>482</v>
      </c>
      <c r="H161" s="503" t="s">
        <v>482</v>
      </c>
      <c r="I161" s="503"/>
      <c r="J161" s="503"/>
      <c r="K161" s="503" t="s">
        <v>482</v>
      </c>
      <c r="L161" s="503" t="s">
        <v>482</v>
      </c>
      <c r="M161" s="503" t="s">
        <v>482</v>
      </c>
      <c r="N161" s="503" t="s">
        <v>482</v>
      </c>
      <c r="O161" s="503" t="s">
        <v>482</v>
      </c>
      <c r="P161" s="503"/>
      <c r="Q161" s="503"/>
      <c r="R161" s="503" t="s">
        <v>482</v>
      </c>
      <c r="S161" s="503" t="s">
        <v>482</v>
      </c>
      <c r="T161" s="503" t="s">
        <v>482</v>
      </c>
      <c r="U161" s="503" t="s">
        <v>482</v>
      </c>
      <c r="V161" s="503"/>
      <c r="W161" s="610"/>
      <c r="X161" s="503"/>
      <c r="Y161" s="503" t="s">
        <v>482</v>
      </c>
      <c r="Z161" s="503" t="s">
        <v>482</v>
      </c>
      <c r="AA161" s="503" t="s">
        <v>482</v>
      </c>
      <c r="AB161" s="503" t="s">
        <v>482</v>
      </c>
      <c r="AC161" s="503" t="s">
        <v>482</v>
      </c>
      <c r="AD161" s="553"/>
      <c r="AE161" s="553"/>
      <c r="AF161" s="503" t="s">
        <v>482</v>
      </c>
      <c r="AG161" s="503" t="s">
        <v>482</v>
      </c>
      <c r="AH161" s="648">
        <v>185</v>
      </c>
      <c r="AI161" s="649">
        <v>37</v>
      </c>
    </row>
    <row r="162" spans="1:35" ht="21" customHeight="1" x14ac:dyDescent="0.2">
      <c r="A162" s="441">
        <v>8521</v>
      </c>
      <c r="B162" s="673" t="s">
        <v>613</v>
      </c>
      <c r="C162" s="503"/>
      <c r="D162" s="503" t="s">
        <v>482</v>
      </c>
      <c r="E162" s="503" t="s">
        <v>482</v>
      </c>
      <c r="F162" s="503" t="s">
        <v>482</v>
      </c>
      <c r="G162" s="503" t="s">
        <v>482</v>
      </c>
      <c r="H162" s="503" t="s">
        <v>482</v>
      </c>
      <c r="I162" s="503"/>
      <c r="J162" s="503"/>
      <c r="K162" s="503" t="s">
        <v>482</v>
      </c>
      <c r="L162" s="503" t="s">
        <v>482</v>
      </c>
      <c r="M162" s="503" t="s">
        <v>482</v>
      </c>
      <c r="N162" s="503" t="s">
        <v>482</v>
      </c>
      <c r="O162" s="503" t="s">
        <v>482</v>
      </c>
      <c r="P162" s="503"/>
      <c r="Q162" s="503"/>
      <c r="R162" s="503" t="s">
        <v>482</v>
      </c>
      <c r="S162" s="503" t="s">
        <v>482</v>
      </c>
      <c r="T162" s="1058" t="s">
        <v>482</v>
      </c>
      <c r="U162" s="1058" t="s">
        <v>482</v>
      </c>
      <c r="V162" s="503"/>
      <c r="W162" s="610"/>
      <c r="X162" s="503"/>
      <c r="Y162" s="1058" t="s">
        <v>482</v>
      </c>
      <c r="Z162" s="503" t="s">
        <v>482</v>
      </c>
      <c r="AA162" s="503" t="s">
        <v>482</v>
      </c>
      <c r="AB162" s="503" t="s">
        <v>482</v>
      </c>
      <c r="AC162" s="503" t="s">
        <v>482</v>
      </c>
      <c r="AD162" s="553"/>
      <c r="AE162" s="553"/>
      <c r="AF162" s="503" t="s">
        <v>482</v>
      </c>
      <c r="AG162" s="503" t="s">
        <v>482</v>
      </c>
      <c r="AH162" s="648">
        <v>185</v>
      </c>
      <c r="AI162" s="649">
        <v>37</v>
      </c>
    </row>
    <row r="163" spans="1:35" ht="21" customHeight="1" x14ac:dyDescent="0.2">
      <c r="A163" s="441"/>
      <c r="B163" s="673" t="s">
        <v>614</v>
      </c>
      <c r="C163" s="503"/>
      <c r="D163" s="503" t="s">
        <v>482</v>
      </c>
      <c r="E163" s="503" t="s">
        <v>482</v>
      </c>
      <c r="F163" s="503" t="s">
        <v>482</v>
      </c>
      <c r="G163" s="503" t="s">
        <v>482</v>
      </c>
      <c r="H163" s="503" t="s">
        <v>482</v>
      </c>
      <c r="I163" s="503"/>
      <c r="J163" s="503"/>
      <c r="K163" s="503" t="s">
        <v>482</v>
      </c>
      <c r="L163" s="503" t="s">
        <v>482</v>
      </c>
      <c r="M163" s="503" t="s">
        <v>482</v>
      </c>
      <c r="N163" s="503" t="s">
        <v>482</v>
      </c>
      <c r="O163" s="503" t="s">
        <v>482</v>
      </c>
      <c r="P163" s="503"/>
      <c r="Q163" s="503"/>
      <c r="R163" s="503" t="s">
        <v>482</v>
      </c>
      <c r="S163" s="503" t="s">
        <v>482</v>
      </c>
      <c r="T163" s="1058" t="s">
        <v>482</v>
      </c>
      <c r="U163" s="503" t="s">
        <v>482</v>
      </c>
      <c r="V163" s="503"/>
      <c r="W163" s="610"/>
      <c r="X163" s="503"/>
      <c r="Y163" s="503" t="s">
        <v>482</v>
      </c>
      <c r="Z163" s="503" t="s">
        <v>482</v>
      </c>
      <c r="AA163" s="503" t="s">
        <v>482</v>
      </c>
      <c r="AB163" s="503" t="s">
        <v>482</v>
      </c>
      <c r="AC163" s="503" t="s">
        <v>482</v>
      </c>
      <c r="AD163" s="553"/>
      <c r="AE163" s="553"/>
      <c r="AF163" s="503" t="s">
        <v>482</v>
      </c>
      <c r="AG163" s="503" t="s">
        <v>482</v>
      </c>
      <c r="AH163" s="648">
        <v>185</v>
      </c>
      <c r="AI163" s="649">
        <v>37</v>
      </c>
    </row>
    <row r="164" spans="1:35" ht="21" customHeight="1" x14ac:dyDescent="0.2">
      <c r="A164" s="441">
        <v>8514</v>
      </c>
      <c r="B164" s="676" t="s">
        <v>615</v>
      </c>
      <c r="C164" s="503"/>
      <c r="D164" s="503" t="s">
        <v>482</v>
      </c>
      <c r="E164" s="503" t="s">
        <v>482</v>
      </c>
      <c r="F164" s="503" t="s">
        <v>482</v>
      </c>
      <c r="G164" s="503" t="s">
        <v>482</v>
      </c>
      <c r="H164" s="503" t="s">
        <v>482</v>
      </c>
      <c r="I164" s="503"/>
      <c r="J164" s="503"/>
      <c r="K164" s="503" t="s">
        <v>482</v>
      </c>
      <c r="L164" s="503" t="s">
        <v>616</v>
      </c>
      <c r="M164" s="503" t="s">
        <v>616</v>
      </c>
      <c r="N164" s="503" t="s">
        <v>616</v>
      </c>
      <c r="O164" s="503" t="s">
        <v>616</v>
      </c>
      <c r="P164" s="503"/>
      <c r="Q164" s="503"/>
      <c r="R164" s="503" t="s">
        <v>482</v>
      </c>
      <c r="S164" s="503" t="s">
        <v>482</v>
      </c>
      <c r="T164" s="1058" t="s">
        <v>482</v>
      </c>
      <c r="U164" s="1058" t="s">
        <v>482</v>
      </c>
      <c r="V164" s="503"/>
      <c r="W164" s="610"/>
      <c r="X164" s="503"/>
      <c r="Y164" s="503" t="s">
        <v>482</v>
      </c>
      <c r="Z164" s="503" t="s">
        <v>482</v>
      </c>
      <c r="AA164" s="503" t="s">
        <v>482</v>
      </c>
      <c r="AB164" s="503" t="s">
        <v>482</v>
      </c>
      <c r="AC164" s="503" t="s">
        <v>482</v>
      </c>
      <c r="AD164" s="553"/>
      <c r="AE164" s="553"/>
      <c r="AF164" s="503" t="s">
        <v>482</v>
      </c>
      <c r="AG164" s="503" t="s">
        <v>482</v>
      </c>
      <c r="AH164" s="648">
        <v>207</v>
      </c>
      <c r="AI164" s="649">
        <v>37</v>
      </c>
    </row>
    <row r="165" spans="1:35" ht="21.95" customHeight="1" x14ac:dyDescent="0.2">
      <c r="A165" s="441">
        <v>3701</v>
      </c>
      <c r="B165" s="673" t="s">
        <v>433</v>
      </c>
      <c r="C165" s="503"/>
      <c r="D165" s="1104" t="s">
        <v>482</v>
      </c>
      <c r="E165" s="1104" t="s">
        <v>482</v>
      </c>
      <c r="F165" s="1104" t="s">
        <v>482</v>
      </c>
      <c r="G165" s="1104" t="s">
        <v>482</v>
      </c>
      <c r="H165" s="1104" t="s">
        <v>482</v>
      </c>
      <c r="I165" s="1104"/>
      <c r="J165" s="1104"/>
      <c r="K165" s="1104" t="s">
        <v>482</v>
      </c>
      <c r="L165" s="1104" t="s">
        <v>482</v>
      </c>
      <c r="M165" s="1104" t="s">
        <v>482</v>
      </c>
      <c r="N165" s="1104" t="s">
        <v>482</v>
      </c>
      <c r="O165" s="1104" t="s">
        <v>482</v>
      </c>
      <c r="P165" s="1104"/>
      <c r="Q165" s="1104"/>
      <c r="R165" s="1104" t="s">
        <v>482</v>
      </c>
      <c r="S165" s="1104" t="s">
        <v>482</v>
      </c>
      <c r="T165" s="1104" t="s">
        <v>482</v>
      </c>
      <c r="U165" s="1104" t="s">
        <v>482</v>
      </c>
      <c r="V165" s="1104"/>
      <c r="W165" s="1115"/>
      <c r="X165" s="1104"/>
      <c r="Y165" s="1104" t="s">
        <v>482</v>
      </c>
      <c r="Z165" s="1104" t="s">
        <v>482</v>
      </c>
      <c r="AA165" s="1104" t="s">
        <v>482</v>
      </c>
      <c r="AB165" s="1104" t="s">
        <v>482</v>
      </c>
      <c r="AC165" s="1104" t="s">
        <v>482</v>
      </c>
      <c r="AD165" s="1116"/>
      <c r="AE165" s="1116"/>
      <c r="AF165" s="1104" t="s">
        <v>482</v>
      </c>
      <c r="AG165" s="1104" t="s">
        <v>482</v>
      </c>
      <c r="AH165" s="648">
        <v>220</v>
      </c>
      <c r="AI165" s="649">
        <v>37</v>
      </c>
    </row>
    <row r="166" spans="1:35" ht="21.95" customHeight="1" x14ac:dyDescent="0.2">
      <c r="A166" s="441">
        <v>3701</v>
      </c>
      <c r="B166" s="673" t="s">
        <v>431</v>
      </c>
      <c r="C166" s="503"/>
      <c r="D166" s="503" t="s">
        <v>482</v>
      </c>
      <c r="E166" s="503" t="s">
        <v>482</v>
      </c>
      <c r="F166" s="503" t="s">
        <v>482</v>
      </c>
      <c r="G166" s="503" t="s">
        <v>482</v>
      </c>
      <c r="H166" s="503" t="s">
        <v>482</v>
      </c>
      <c r="I166" s="503"/>
      <c r="J166" s="503"/>
      <c r="K166" s="503" t="s">
        <v>482</v>
      </c>
      <c r="L166" s="503" t="s">
        <v>482</v>
      </c>
      <c r="M166" s="503" t="s">
        <v>482</v>
      </c>
      <c r="N166" s="503" t="s">
        <v>482</v>
      </c>
      <c r="O166" s="503" t="s">
        <v>482</v>
      </c>
      <c r="P166" s="503"/>
      <c r="Q166" s="503"/>
      <c r="R166" s="503" t="s">
        <v>482</v>
      </c>
      <c r="S166" s="503" t="s">
        <v>482</v>
      </c>
      <c r="T166" s="503" t="s">
        <v>482</v>
      </c>
      <c r="U166" s="503" t="s">
        <v>482</v>
      </c>
      <c r="V166" s="503"/>
      <c r="W166" s="610"/>
      <c r="X166" s="503"/>
      <c r="Y166" s="503" t="s">
        <v>482</v>
      </c>
      <c r="Z166" s="503" t="s">
        <v>482</v>
      </c>
      <c r="AA166" s="503" t="s">
        <v>482</v>
      </c>
      <c r="AB166" s="503" t="s">
        <v>482</v>
      </c>
      <c r="AC166" s="503" t="s">
        <v>482</v>
      </c>
      <c r="AD166" s="553"/>
      <c r="AE166" s="553"/>
      <c r="AF166" s="503" t="s">
        <v>482</v>
      </c>
      <c r="AG166" s="503" t="s">
        <v>482</v>
      </c>
      <c r="AH166" s="648">
        <v>206</v>
      </c>
      <c r="AI166" s="649">
        <v>37</v>
      </c>
    </row>
    <row r="167" spans="1:35" ht="21.95" customHeight="1" x14ac:dyDescent="0.2">
      <c r="A167" s="441">
        <v>3701</v>
      </c>
      <c r="B167" s="673" t="s">
        <v>434</v>
      </c>
      <c r="C167" s="503"/>
      <c r="D167" s="1081">
        <v>18</v>
      </c>
      <c r="E167" s="1081">
        <v>18</v>
      </c>
      <c r="F167" s="1104">
        <v>18</v>
      </c>
      <c r="G167" s="1104">
        <v>18</v>
      </c>
      <c r="H167" s="503">
        <v>16</v>
      </c>
      <c r="I167" s="503"/>
      <c r="J167" s="503"/>
      <c r="K167" s="503" t="s">
        <v>552</v>
      </c>
      <c r="L167" s="503" t="s">
        <v>552</v>
      </c>
      <c r="M167" s="503" t="s">
        <v>552</v>
      </c>
      <c r="N167" s="503" t="s">
        <v>552</v>
      </c>
      <c r="O167" s="503" t="s">
        <v>552</v>
      </c>
      <c r="P167" s="503"/>
      <c r="Q167" s="503"/>
      <c r="R167" s="503" t="s">
        <v>552</v>
      </c>
      <c r="S167" s="503" t="s">
        <v>552</v>
      </c>
      <c r="T167" s="503" t="s">
        <v>552</v>
      </c>
      <c r="U167" s="503" t="s">
        <v>552</v>
      </c>
      <c r="V167" s="503"/>
      <c r="W167" s="610"/>
      <c r="X167" s="503"/>
      <c r="Y167" s="503" t="s">
        <v>552</v>
      </c>
      <c r="Z167" s="503" t="s">
        <v>552</v>
      </c>
      <c r="AA167" s="503" t="s">
        <v>552</v>
      </c>
      <c r="AB167" s="503" t="s">
        <v>552</v>
      </c>
      <c r="AC167" s="503" t="s">
        <v>482</v>
      </c>
      <c r="AD167" s="553"/>
      <c r="AE167" s="553"/>
      <c r="AF167" s="503" t="s">
        <v>482</v>
      </c>
      <c r="AG167" s="1104" t="s">
        <v>482</v>
      </c>
      <c r="AH167" s="648">
        <v>185</v>
      </c>
      <c r="AI167" s="649">
        <v>21</v>
      </c>
    </row>
    <row r="168" spans="1:35" ht="21.95" customHeight="1" x14ac:dyDescent="0.2">
      <c r="A168" s="441">
        <v>3701</v>
      </c>
      <c r="B168" s="673" t="s">
        <v>436</v>
      </c>
      <c r="C168" s="503"/>
      <c r="D168" s="503" t="s">
        <v>552</v>
      </c>
      <c r="E168" s="503" t="s">
        <v>552</v>
      </c>
      <c r="F168" s="503" t="s">
        <v>552</v>
      </c>
      <c r="G168" s="503" t="s">
        <v>552</v>
      </c>
      <c r="H168" s="1058" t="s">
        <v>552</v>
      </c>
      <c r="I168" s="503"/>
      <c r="J168" s="503"/>
      <c r="K168" s="503" t="s">
        <v>552</v>
      </c>
      <c r="L168" s="503" t="s">
        <v>552</v>
      </c>
      <c r="M168" s="503" t="s">
        <v>552</v>
      </c>
      <c r="N168" s="503" t="s">
        <v>552</v>
      </c>
      <c r="O168" s="503" t="s">
        <v>552</v>
      </c>
      <c r="P168" s="503"/>
      <c r="Q168" s="503"/>
      <c r="R168" s="503" t="s">
        <v>552</v>
      </c>
      <c r="S168" s="503" t="s">
        <v>552</v>
      </c>
      <c r="T168" s="503" t="s">
        <v>552</v>
      </c>
      <c r="U168" s="503" t="s">
        <v>552</v>
      </c>
      <c r="V168" s="503"/>
      <c r="W168" s="610"/>
      <c r="X168" s="503"/>
      <c r="Y168" s="503">
        <v>18</v>
      </c>
      <c r="Z168" s="503">
        <v>18</v>
      </c>
      <c r="AA168" s="503">
        <v>18</v>
      </c>
      <c r="AB168" s="503">
        <v>18</v>
      </c>
      <c r="AC168" s="503">
        <v>18</v>
      </c>
      <c r="AD168" s="553"/>
      <c r="AE168" s="553"/>
      <c r="AF168" s="503" t="s">
        <v>482</v>
      </c>
      <c r="AG168" s="503" t="s">
        <v>482</v>
      </c>
      <c r="AH168" s="648">
        <v>185</v>
      </c>
      <c r="AI168" s="649">
        <v>37</v>
      </c>
    </row>
    <row r="169" spans="1:35" ht="21.95" customHeight="1" x14ac:dyDescent="0.2">
      <c r="A169" s="441">
        <v>3701</v>
      </c>
      <c r="B169" s="673" t="s">
        <v>437</v>
      </c>
      <c r="C169" s="503"/>
      <c r="D169" s="503" t="s">
        <v>552</v>
      </c>
      <c r="E169" s="503" t="s">
        <v>617</v>
      </c>
      <c r="F169" s="503" t="s">
        <v>552</v>
      </c>
      <c r="G169" s="503" t="s">
        <v>552</v>
      </c>
      <c r="H169" s="503" t="s">
        <v>552</v>
      </c>
      <c r="I169" s="503"/>
      <c r="J169" s="503"/>
      <c r="K169" s="503" t="s">
        <v>552</v>
      </c>
      <c r="L169" s="503" t="s">
        <v>552</v>
      </c>
      <c r="M169" s="503" t="s">
        <v>552</v>
      </c>
      <c r="N169" s="503" t="s">
        <v>552</v>
      </c>
      <c r="O169" s="503" t="s">
        <v>552</v>
      </c>
      <c r="P169" s="503"/>
      <c r="Q169" s="503"/>
      <c r="R169" s="503" t="s">
        <v>552</v>
      </c>
      <c r="S169" s="503" t="s">
        <v>552</v>
      </c>
      <c r="T169" s="503" t="s">
        <v>552</v>
      </c>
      <c r="U169" s="503" t="s">
        <v>552</v>
      </c>
      <c r="V169" s="503"/>
      <c r="W169" s="610"/>
      <c r="X169" s="503"/>
      <c r="Y169" s="1059" t="s">
        <v>552</v>
      </c>
      <c r="Z169" s="1059" t="s">
        <v>552</v>
      </c>
      <c r="AA169" s="1059" t="s">
        <v>552</v>
      </c>
      <c r="AB169" s="1059" t="s">
        <v>552</v>
      </c>
      <c r="AC169" s="1059" t="s">
        <v>482</v>
      </c>
      <c r="AD169" s="1064"/>
      <c r="AE169" s="1064"/>
      <c r="AF169" s="503" t="s">
        <v>482</v>
      </c>
      <c r="AG169" s="503" t="s">
        <v>482</v>
      </c>
      <c r="AH169" s="648">
        <v>148</v>
      </c>
      <c r="AI169" s="649">
        <v>37</v>
      </c>
    </row>
    <row r="170" spans="1:35" ht="21.95" customHeight="1" x14ac:dyDescent="0.2">
      <c r="A170" s="441">
        <v>3701</v>
      </c>
      <c r="B170" s="673" t="s">
        <v>618</v>
      </c>
      <c r="C170" s="503"/>
      <c r="D170" s="503" t="s">
        <v>552</v>
      </c>
      <c r="E170" s="503" t="s">
        <v>552</v>
      </c>
      <c r="F170" s="503" t="s">
        <v>552</v>
      </c>
      <c r="G170" s="503" t="s">
        <v>552</v>
      </c>
      <c r="H170" s="503" t="s">
        <v>552</v>
      </c>
      <c r="I170" s="503"/>
      <c r="J170" s="503"/>
      <c r="K170" s="503">
        <v>18</v>
      </c>
      <c r="L170" s="503">
        <v>18</v>
      </c>
      <c r="M170" s="503">
        <v>18</v>
      </c>
      <c r="N170" s="503">
        <v>18</v>
      </c>
      <c r="O170" s="503">
        <v>16</v>
      </c>
      <c r="P170" s="503"/>
      <c r="Q170" s="503"/>
      <c r="R170" s="503" t="s">
        <v>552</v>
      </c>
      <c r="S170" s="503" t="s">
        <v>552</v>
      </c>
      <c r="T170" s="503" t="s">
        <v>552</v>
      </c>
      <c r="U170" s="503" t="s">
        <v>552</v>
      </c>
      <c r="V170" s="503"/>
      <c r="W170" s="610"/>
      <c r="X170" s="503"/>
      <c r="Y170" s="503" t="s">
        <v>552</v>
      </c>
      <c r="Z170" s="503" t="s">
        <v>552</v>
      </c>
      <c r="AA170" s="503" t="s">
        <v>552</v>
      </c>
      <c r="AB170" s="503" t="s">
        <v>552</v>
      </c>
      <c r="AC170" s="503" t="s">
        <v>482</v>
      </c>
      <c r="AD170" s="553"/>
      <c r="AE170" s="553"/>
      <c r="AF170" s="503" t="s">
        <v>482</v>
      </c>
      <c r="AG170" s="503" t="s">
        <v>482</v>
      </c>
      <c r="AH170" s="648">
        <v>199</v>
      </c>
      <c r="AI170" s="649">
        <v>37</v>
      </c>
    </row>
    <row r="171" spans="1:35" ht="21.95" customHeight="1" x14ac:dyDescent="0.2">
      <c r="A171" s="441">
        <v>3701</v>
      </c>
      <c r="B171" s="552" t="s">
        <v>619</v>
      </c>
      <c r="C171" s="503"/>
      <c r="D171" s="503" t="s">
        <v>552</v>
      </c>
      <c r="E171" s="503" t="s">
        <v>552</v>
      </c>
      <c r="F171" s="1058" t="s">
        <v>552</v>
      </c>
      <c r="G171" s="503" t="s">
        <v>552</v>
      </c>
      <c r="H171" s="503" t="s">
        <v>552</v>
      </c>
      <c r="I171" s="503"/>
      <c r="J171" s="503"/>
      <c r="K171" s="503" t="s">
        <v>552</v>
      </c>
      <c r="L171" s="503" t="s">
        <v>552</v>
      </c>
      <c r="M171" s="503" t="s">
        <v>552</v>
      </c>
      <c r="N171" s="503" t="s">
        <v>552</v>
      </c>
      <c r="O171" s="503" t="s">
        <v>552</v>
      </c>
      <c r="P171" s="503"/>
      <c r="Q171" s="503"/>
      <c r="R171" s="503" t="s">
        <v>552</v>
      </c>
      <c r="S171" s="503" t="s">
        <v>552</v>
      </c>
      <c r="T171" s="503" t="s">
        <v>552</v>
      </c>
      <c r="U171" s="503" t="s">
        <v>552</v>
      </c>
      <c r="V171" s="503"/>
      <c r="W171" s="610"/>
      <c r="X171" s="503"/>
      <c r="Y171" s="503" t="s">
        <v>552</v>
      </c>
      <c r="Z171" s="503" t="s">
        <v>552</v>
      </c>
      <c r="AA171" s="503" t="s">
        <v>552</v>
      </c>
      <c r="AB171" s="503" t="s">
        <v>552</v>
      </c>
      <c r="AC171" s="503" t="s">
        <v>482</v>
      </c>
      <c r="AD171" s="553"/>
      <c r="AE171" s="553"/>
      <c r="AF171" s="1716">
        <v>18</v>
      </c>
      <c r="AG171" s="1716">
        <v>18</v>
      </c>
      <c r="AH171" s="648">
        <v>185</v>
      </c>
      <c r="AI171" s="649">
        <v>37</v>
      </c>
    </row>
    <row r="172" spans="1:35" ht="21.95" customHeight="1" x14ac:dyDescent="0.2">
      <c r="A172" s="1717">
        <v>3701</v>
      </c>
      <c r="B172" s="1718" t="s">
        <v>620</v>
      </c>
      <c r="C172" s="503"/>
      <c r="D172" s="503" t="s">
        <v>552</v>
      </c>
      <c r="E172" s="503" t="s">
        <v>552</v>
      </c>
      <c r="F172" s="503" t="s">
        <v>552</v>
      </c>
      <c r="G172" s="503" t="s">
        <v>552</v>
      </c>
      <c r="H172" s="503" t="s">
        <v>552</v>
      </c>
      <c r="I172" s="503"/>
      <c r="J172" s="503"/>
      <c r="K172" s="503" t="s">
        <v>552</v>
      </c>
      <c r="L172" s="503" t="s">
        <v>552</v>
      </c>
      <c r="M172" s="503" t="s">
        <v>552</v>
      </c>
      <c r="N172" s="503" t="s">
        <v>552</v>
      </c>
      <c r="O172" s="503" t="s">
        <v>552</v>
      </c>
      <c r="P172" s="503"/>
      <c r="Q172" s="503"/>
      <c r="R172" s="503">
        <v>18</v>
      </c>
      <c r="S172" s="503">
        <v>18</v>
      </c>
      <c r="T172" s="1059">
        <v>18</v>
      </c>
      <c r="U172" s="1059">
        <v>18</v>
      </c>
      <c r="V172" s="503"/>
      <c r="W172" s="610"/>
      <c r="X172" s="503"/>
      <c r="Y172" s="503" t="s">
        <v>552</v>
      </c>
      <c r="Z172" s="503" t="s">
        <v>552</v>
      </c>
      <c r="AA172" s="503" t="s">
        <v>552</v>
      </c>
      <c r="AB172" s="503" t="s">
        <v>552</v>
      </c>
      <c r="AC172" s="503" t="s">
        <v>482</v>
      </c>
      <c r="AD172" s="553"/>
      <c r="AE172" s="553"/>
      <c r="AF172" s="503" t="s">
        <v>482</v>
      </c>
      <c r="AG172" s="503" t="s">
        <v>482</v>
      </c>
      <c r="AH172" s="648">
        <v>171</v>
      </c>
      <c r="AI172" s="649">
        <v>37</v>
      </c>
    </row>
    <row r="173" spans="1:35" ht="21.95" customHeight="1" x14ac:dyDescent="0.2">
      <c r="A173" s="441">
        <v>3701</v>
      </c>
      <c r="B173" s="552" t="s">
        <v>621</v>
      </c>
      <c r="C173" s="503"/>
      <c r="D173" s="503" t="s">
        <v>552</v>
      </c>
      <c r="E173" s="503" t="s">
        <v>552</v>
      </c>
      <c r="F173" s="503" t="s">
        <v>552</v>
      </c>
      <c r="G173" s="503" t="s">
        <v>552</v>
      </c>
      <c r="H173" s="503" t="s">
        <v>552</v>
      </c>
      <c r="I173" s="503"/>
      <c r="J173" s="503"/>
      <c r="K173" s="503" t="s">
        <v>552</v>
      </c>
      <c r="L173" s="503" t="s">
        <v>552</v>
      </c>
      <c r="M173" s="503" t="s">
        <v>552</v>
      </c>
      <c r="N173" s="503" t="s">
        <v>552</v>
      </c>
      <c r="O173" s="503" t="s">
        <v>552</v>
      </c>
      <c r="P173" s="503"/>
      <c r="Q173" s="503"/>
      <c r="R173" s="503" t="s">
        <v>482</v>
      </c>
      <c r="S173" s="503" t="s">
        <v>482</v>
      </c>
      <c r="T173" s="503" t="s">
        <v>482</v>
      </c>
      <c r="U173" s="503" t="s">
        <v>482</v>
      </c>
      <c r="W173" s="610"/>
      <c r="X173" s="503"/>
      <c r="Y173" s="503" t="s">
        <v>552</v>
      </c>
      <c r="Z173" s="503" t="s">
        <v>552</v>
      </c>
      <c r="AA173" s="503" t="s">
        <v>552</v>
      </c>
      <c r="AB173" s="503" t="s">
        <v>552</v>
      </c>
      <c r="AC173" s="503" t="s">
        <v>482</v>
      </c>
      <c r="AD173" s="553"/>
      <c r="AE173" s="553"/>
      <c r="AF173" s="503" t="s">
        <v>482</v>
      </c>
      <c r="AG173" s="503" t="s">
        <v>482</v>
      </c>
      <c r="AH173" s="648">
        <v>199</v>
      </c>
      <c r="AI173" s="649">
        <v>37</v>
      </c>
    </row>
    <row r="174" spans="1:35" ht="21.95" customHeight="1" x14ac:dyDescent="0.2">
      <c r="A174" s="441">
        <v>3701</v>
      </c>
      <c r="B174" s="673" t="s">
        <v>622</v>
      </c>
      <c r="C174" s="503"/>
      <c r="D174" s="503" t="s">
        <v>482</v>
      </c>
      <c r="E174" s="503" t="s">
        <v>482</v>
      </c>
      <c r="F174" s="503" t="s">
        <v>482</v>
      </c>
      <c r="G174" s="503" t="s">
        <v>482</v>
      </c>
      <c r="H174" s="503" t="s">
        <v>482</v>
      </c>
      <c r="I174" s="503"/>
      <c r="J174" s="503"/>
      <c r="K174" s="503" t="s">
        <v>482</v>
      </c>
      <c r="L174" s="503" t="s">
        <v>482</v>
      </c>
      <c r="M174" s="503" t="s">
        <v>482</v>
      </c>
      <c r="N174" s="503" t="s">
        <v>482</v>
      </c>
      <c r="O174" s="503" t="s">
        <v>482</v>
      </c>
      <c r="P174" s="503"/>
      <c r="Q174" s="503"/>
      <c r="R174" s="503" t="s">
        <v>482</v>
      </c>
      <c r="S174" s="503" t="s">
        <v>482</v>
      </c>
      <c r="T174" s="503" t="s">
        <v>482</v>
      </c>
      <c r="U174" s="503" t="s">
        <v>482</v>
      </c>
      <c r="V174" s="503"/>
      <c r="W174" s="610"/>
      <c r="X174" s="503"/>
      <c r="Y174" s="503" t="s">
        <v>482</v>
      </c>
      <c r="Z174" s="503" t="s">
        <v>482</v>
      </c>
      <c r="AA174" s="503" t="s">
        <v>482</v>
      </c>
      <c r="AB174" s="503" t="s">
        <v>482</v>
      </c>
      <c r="AC174" s="503" t="s">
        <v>482</v>
      </c>
      <c r="AD174" s="553"/>
      <c r="AE174" s="553"/>
      <c r="AF174" s="503" t="s">
        <v>482</v>
      </c>
      <c r="AG174" s="503" t="s">
        <v>482</v>
      </c>
      <c r="AH174" s="648">
        <v>223</v>
      </c>
      <c r="AI174" s="649">
        <v>37</v>
      </c>
    </row>
    <row r="175" spans="1:35" ht="21.95" customHeight="1" x14ac:dyDescent="0.2">
      <c r="A175" s="441">
        <v>3701</v>
      </c>
      <c r="B175" s="1108" t="s">
        <v>623</v>
      </c>
      <c r="C175" s="1109"/>
      <c r="D175" s="1109" t="s">
        <v>482</v>
      </c>
      <c r="E175" s="1109" t="s">
        <v>482</v>
      </c>
      <c r="F175" s="1109" t="s">
        <v>482</v>
      </c>
      <c r="G175" s="1109" t="s">
        <v>482</v>
      </c>
      <c r="H175" s="1109" t="s">
        <v>482</v>
      </c>
      <c r="I175" s="1109"/>
      <c r="J175" s="1109"/>
      <c r="K175" s="1109" t="s">
        <v>482</v>
      </c>
      <c r="L175" s="1109" t="s">
        <v>482</v>
      </c>
      <c r="M175" s="1109" t="s">
        <v>482</v>
      </c>
      <c r="N175" s="1109" t="s">
        <v>482</v>
      </c>
      <c r="O175" s="1109" t="s">
        <v>482</v>
      </c>
      <c r="P175" s="1109"/>
      <c r="Q175" s="1109"/>
      <c r="R175" s="1109" t="s">
        <v>482</v>
      </c>
      <c r="S175" s="1109" t="s">
        <v>482</v>
      </c>
      <c r="T175" s="1109" t="s">
        <v>482</v>
      </c>
      <c r="U175" s="1109" t="s">
        <v>482</v>
      </c>
      <c r="V175" s="1109"/>
      <c r="W175" s="1110"/>
      <c r="X175" s="1109"/>
      <c r="Y175" s="1109" t="s">
        <v>482</v>
      </c>
      <c r="Z175" s="1109" t="s">
        <v>482</v>
      </c>
      <c r="AA175" s="1109" t="s">
        <v>482</v>
      </c>
      <c r="AB175" s="1109" t="s">
        <v>482</v>
      </c>
      <c r="AC175" s="1109" t="s">
        <v>482</v>
      </c>
      <c r="AD175" s="521"/>
      <c r="AE175" s="521"/>
      <c r="AF175" s="1109" t="s">
        <v>482</v>
      </c>
      <c r="AG175" s="1109" t="s">
        <v>482</v>
      </c>
      <c r="AH175" s="648">
        <v>185</v>
      </c>
      <c r="AI175" s="649">
        <v>37</v>
      </c>
    </row>
    <row r="176" spans="1:35" ht="21.95" customHeight="1" x14ac:dyDescent="0.2">
      <c r="A176" s="1107">
        <v>3701</v>
      </c>
      <c r="B176" s="1111"/>
      <c r="C176" s="1112"/>
      <c r="D176" s="1112"/>
      <c r="E176" s="1112"/>
      <c r="F176" s="1112"/>
      <c r="G176" s="1112"/>
      <c r="H176" s="1112"/>
      <c r="I176" s="1112"/>
      <c r="J176" s="1112"/>
      <c r="K176" s="1112"/>
      <c r="L176" s="1112"/>
      <c r="M176" s="1112"/>
      <c r="N176" s="1112"/>
      <c r="O176" s="1112"/>
      <c r="P176" s="1112"/>
      <c r="Q176" s="1112"/>
      <c r="R176" s="1112"/>
      <c r="S176" s="1112"/>
      <c r="T176" s="1112"/>
      <c r="U176" s="1112"/>
      <c r="V176" s="1112"/>
      <c r="W176" s="1113"/>
      <c r="X176" s="1112"/>
      <c r="Y176" s="1112"/>
      <c r="Z176" s="1112"/>
      <c r="AA176" s="1112"/>
      <c r="AB176" s="1112"/>
      <c r="AC176" s="1112"/>
      <c r="AD176" s="1114"/>
      <c r="AE176" s="1114"/>
      <c r="AF176" s="1112"/>
      <c r="AG176" s="1112"/>
      <c r="AH176" s="1113"/>
      <c r="AI176" s="1113"/>
    </row>
    <row r="177" spans="1:35" ht="21.95" customHeight="1" x14ac:dyDescent="0.2">
      <c r="A177" s="621"/>
      <c r="B177" s="677"/>
      <c r="C177" s="590"/>
      <c r="D177" s="590"/>
      <c r="E177" s="590"/>
      <c r="F177" s="590"/>
      <c r="G177" s="590"/>
      <c r="H177" s="590"/>
      <c r="I177" s="590"/>
      <c r="J177" s="590"/>
      <c r="K177" s="525"/>
      <c r="L177" s="590"/>
      <c r="M177" s="590"/>
      <c r="N177" s="590"/>
      <c r="O177" s="590"/>
      <c r="P177" s="546"/>
      <c r="Q177" s="546"/>
      <c r="R177" s="546"/>
      <c r="S177" s="590"/>
      <c r="T177" s="590"/>
      <c r="U177" s="590"/>
      <c r="V177" s="590"/>
      <c r="W177" s="590"/>
      <c r="X177" s="590"/>
      <c r="Y177" s="590"/>
      <c r="Z177" s="590"/>
      <c r="AA177" s="590"/>
      <c r="AB177" s="590"/>
      <c r="AC177" s="590"/>
      <c r="AD177" s="590"/>
      <c r="AE177" s="590"/>
      <c r="AF177" s="590"/>
      <c r="AG177" s="590"/>
      <c r="AH177" s="591"/>
      <c r="AI177" s="591"/>
    </row>
    <row r="178" spans="1:35" ht="21" customHeight="1" x14ac:dyDescent="0.2">
      <c r="A178" s="1" t="s">
        <v>624</v>
      </c>
    </row>
    <row r="179" spans="1:35" ht="21" customHeight="1" x14ac:dyDescent="0.2">
      <c r="B179" s="200" t="s">
        <v>604</v>
      </c>
      <c r="C179" s="7"/>
      <c r="D179" s="530" t="s">
        <v>2</v>
      </c>
      <c r="E179" s="51"/>
      <c r="F179" s="573"/>
      <c r="G179" s="7"/>
      <c r="H179" s="530" t="s">
        <v>3</v>
      </c>
      <c r="I179" s="51"/>
      <c r="J179" s="573"/>
      <c r="K179" s="7"/>
      <c r="L179" s="530" t="s">
        <v>4</v>
      </c>
      <c r="M179" s="51"/>
      <c r="N179" s="573"/>
      <c r="O179" s="7"/>
      <c r="P179" s="530" t="s">
        <v>5</v>
      </c>
      <c r="Q179" s="51"/>
      <c r="R179" s="573"/>
      <c r="S179" s="7"/>
      <c r="T179" s="530" t="s">
        <v>6</v>
      </c>
      <c r="U179" s="51"/>
      <c r="V179" s="573"/>
      <c r="W179" s="7"/>
      <c r="X179" s="530" t="s">
        <v>7</v>
      </c>
      <c r="Y179" s="51"/>
      <c r="Z179" s="573"/>
      <c r="AA179" s="7"/>
      <c r="AB179" s="530" t="s">
        <v>8</v>
      </c>
      <c r="AC179" s="51"/>
      <c r="AD179" s="51"/>
      <c r="AE179" s="424" t="s">
        <v>10</v>
      </c>
      <c r="AF179" s="51"/>
      <c r="AG179" s="51"/>
      <c r="AH179" s="51"/>
      <c r="AI179" s="531"/>
    </row>
    <row r="180" spans="1:35" ht="21" customHeight="1" x14ac:dyDescent="0.2">
      <c r="B180" s="9">
        <v>8502</v>
      </c>
      <c r="C180" s="14" t="s">
        <v>11</v>
      </c>
      <c r="D180" s="659"/>
      <c r="E180" s="55"/>
      <c r="F180" s="580"/>
      <c r="G180" s="14" t="s">
        <v>11</v>
      </c>
      <c r="H180" s="659"/>
      <c r="I180" s="55"/>
      <c r="J180" s="580"/>
      <c r="K180" s="14" t="s">
        <v>11</v>
      </c>
      <c r="L180" s="659"/>
      <c r="M180" s="55"/>
      <c r="N180" s="580"/>
      <c r="O180" s="14" t="s">
        <v>11</v>
      </c>
      <c r="P180" s="659"/>
      <c r="Q180" s="55"/>
      <c r="R180" s="580"/>
      <c r="S180" s="14" t="s">
        <v>12</v>
      </c>
      <c r="T180" s="659"/>
      <c r="U180" s="55"/>
      <c r="V180" s="580"/>
      <c r="W180" s="14"/>
      <c r="X180" s="659"/>
      <c r="Y180" s="55"/>
      <c r="Z180" s="580"/>
      <c r="AA180" s="14"/>
      <c r="AB180" s="659"/>
      <c r="AC180" s="55"/>
      <c r="AD180" s="55"/>
      <c r="AE180" s="660"/>
      <c r="AF180" s="55"/>
      <c r="AG180" s="55"/>
      <c r="AH180" s="55"/>
      <c r="AI180" s="661"/>
    </row>
    <row r="181" spans="1:35" ht="21" customHeight="1" x14ac:dyDescent="0.2">
      <c r="B181" s="662">
        <v>3701</v>
      </c>
      <c r="C181" s="121" t="s">
        <v>11</v>
      </c>
      <c r="D181" s="130"/>
      <c r="E181" s="55"/>
      <c r="F181" s="580"/>
      <c r="G181" s="121" t="s">
        <v>11</v>
      </c>
      <c r="H181" s="659"/>
      <c r="I181" s="55"/>
      <c r="J181" s="580"/>
      <c r="K181" s="121" t="s">
        <v>11</v>
      </c>
      <c r="L181" s="659"/>
      <c r="M181" s="55"/>
      <c r="N181" s="580"/>
      <c r="O181" s="121" t="s">
        <v>11</v>
      </c>
      <c r="P181" s="659"/>
      <c r="Q181" s="55"/>
      <c r="R181" s="580"/>
      <c r="S181" s="14" t="s">
        <v>12</v>
      </c>
      <c r="T181" s="659"/>
      <c r="U181" s="55"/>
      <c r="V181" s="580"/>
      <c r="W181" s="14"/>
      <c r="X181" s="659"/>
      <c r="Y181" s="55"/>
      <c r="Z181" s="580"/>
      <c r="AA181" s="14"/>
      <c r="AB181" s="659"/>
      <c r="AC181" s="55"/>
      <c r="AD181" s="55"/>
      <c r="AE181" s="660"/>
      <c r="AF181" s="55"/>
      <c r="AG181" s="55"/>
      <c r="AH181" s="55"/>
      <c r="AI181" s="661"/>
    </row>
    <row r="182" spans="1:35" ht="21" customHeight="1" x14ac:dyDescent="0.2">
      <c r="B182" s="662">
        <v>3705</v>
      </c>
      <c r="C182" s="121" t="s">
        <v>147</v>
      </c>
      <c r="D182" s="130"/>
      <c r="E182" s="55"/>
      <c r="F182" s="580"/>
      <c r="G182" s="121" t="s">
        <v>147</v>
      </c>
      <c r="H182" s="659"/>
      <c r="I182" s="55"/>
      <c r="J182" s="580"/>
      <c r="K182" s="121" t="s">
        <v>147</v>
      </c>
      <c r="L182" s="659"/>
      <c r="M182" s="55"/>
      <c r="N182" s="580"/>
      <c r="O182" s="121" t="s">
        <v>147</v>
      </c>
      <c r="P182" s="659"/>
      <c r="Q182" s="55"/>
      <c r="R182" s="580"/>
      <c r="S182" s="121" t="s">
        <v>536</v>
      </c>
      <c r="T182" s="659"/>
      <c r="U182" s="55"/>
      <c r="V182" s="580"/>
      <c r="W182" s="14"/>
      <c r="X182" s="659"/>
      <c r="Y182" s="55"/>
      <c r="Z182" s="580"/>
      <c r="AA182" s="14"/>
      <c r="AB182" s="659"/>
      <c r="AC182" s="55"/>
      <c r="AD182" s="55"/>
      <c r="AE182" s="660"/>
      <c r="AF182" s="55"/>
      <c r="AG182" s="55"/>
      <c r="AH182" s="55"/>
      <c r="AI182" s="661"/>
    </row>
    <row r="183" spans="1:35" ht="21" customHeight="1" x14ac:dyDescent="0.2">
      <c r="B183" s="662" t="s">
        <v>625</v>
      </c>
      <c r="C183" s="611" t="s">
        <v>626</v>
      </c>
      <c r="D183" s="130"/>
      <c r="E183" s="55"/>
      <c r="F183" s="580"/>
      <c r="G183" s="611" t="s">
        <v>626</v>
      </c>
      <c r="H183" s="659"/>
      <c r="I183" s="55"/>
      <c r="J183" s="580"/>
      <c r="K183" s="611" t="s">
        <v>626</v>
      </c>
      <c r="L183" s="659"/>
      <c r="M183" s="55"/>
      <c r="N183" s="580"/>
      <c r="O183" s="611" t="s">
        <v>626</v>
      </c>
      <c r="P183" s="659"/>
      <c r="Q183" s="55"/>
      <c r="R183" s="580"/>
      <c r="S183" s="611" t="s">
        <v>626</v>
      </c>
      <c r="T183" s="659"/>
      <c r="U183" s="55"/>
      <c r="V183" s="580"/>
      <c r="W183" s="14"/>
      <c r="X183" s="659"/>
      <c r="Y183" s="55"/>
      <c r="Z183" s="580"/>
      <c r="AA183" s="14"/>
      <c r="AB183" s="659"/>
      <c r="AC183" s="55"/>
      <c r="AD183" s="55"/>
      <c r="AE183" s="660"/>
      <c r="AF183" s="55"/>
      <c r="AG183" s="55"/>
      <c r="AH183" s="55"/>
      <c r="AI183" s="661"/>
    </row>
    <row r="184" spans="1:35" ht="21" customHeight="1" x14ac:dyDescent="0.2">
      <c r="B184" s="662" t="s">
        <v>627</v>
      </c>
      <c r="C184" s="611" t="s">
        <v>628</v>
      </c>
      <c r="D184" s="130"/>
      <c r="E184" s="55"/>
      <c r="F184" s="580"/>
      <c r="G184" s="659" t="s">
        <v>629</v>
      </c>
      <c r="H184" s="659"/>
      <c r="I184" s="55"/>
      <c r="J184" s="580"/>
      <c r="K184" s="659" t="s">
        <v>630</v>
      </c>
      <c r="L184" s="659"/>
      <c r="M184" s="55"/>
      <c r="N184" s="580"/>
      <c r="O184" s="659" t="s">
        <v>630</v>
      </c>
      <c r="P184" s="659"/>
      <c r="Q184" s="55"/>
      <c r="R184" s="580"/>
      <c r="S184" s="659" t="s">
        <v>631</v>
      </c>
      <c r="T184" s="659"/>
      <c r="U184" s="55"/>
      <c r="V184" s="580"/>
      <c r="W184" s="14"/>
      <c r="X184" s="659"/>
      <c r="Y184" s="55"/>
      <c r="Z184" s="580"/>
      <c r="AA184" s="14"/>
      <c r="AB184" s="659"/>
      <c r="AC184" s="55"/>
      <c r="AD184" s="55"/>
      <c r="AE184" s="660"/>
      <c r="AF184" s="55"/>
      <c r="AG184" s="55"/>
      <c r="AH184" s="55"/>
      <c r="AI184" s="661"/>
    </row>
    <row r="185" spans="1:35" ht="21" customHeight="1" x14ac:dyDescent="0.2">
      <c r="B185" s="662" t="s">
        <v>324</v>
      </c>
      <c r="C185" s="611" t="s">
        <v>632</v>
      </c>
      <c r="D185" s="130"/>
      <c r="E185" s="55"/>
      <c r="F185" s="580"/>
      <c r="G185" s="611" t="s">
        <v>632</v>
      </c>
      <c r="H185" s="130"/>
      <c r="I185" s="55"/>
      <c r="J185" s="580"/>
      <c r="K185" s="611" t="s">
        <v>632</v>
      </c>
      <c r="L185" s="130"/>
      <c r="M185" s="55"/>
      <c r="N185" s="580"/>
      <c r="O185" s="611" t="s">
        <v>632</v>
      </c>
      <c r="P185" s="130"/>
      <c r="Q185" s="55"/>
      <c r="R185" s="580"/>
      <c r="S185" s="659" t="s">
        <v>633</v>
      </c>
      <c r="T185" s="659"/>
      <c r="U185" s="55"/>
      <c r="V185" s="580"/>
      <c r="W185" s="14"/>
      <c r="X185" s="659"/>
      <c r="Y185" s="55"/>
      <c r="Z185" s="580"/>
      <c r="AA185" s="14"/>
      <c r="AB185" s="659"/>
      <c r="AC185" s="55"/>
      <c r="AD185" s="55"/>
      <c r="AE185" s="660"/>
      <c r="AF185" s="55"/>
      <c r="AG185" s="55"/>
      <c r="AH185" s="55"/>
      <c r="AI185" s="661"/>
    </row>
    <row r="186" spans="1:35" ht="21" customHeight="1" x14ac:dyDescent="0.2">
      <c r="B186" s="662" t="s">
        <v>325</v>
      </c>
      <c r="C186" s="611" t="s">
        <v>634</v>
      </c>
      <c r="D186" s="130"/>
      <c r="E186" s="55"/>
      <c r="F186" s="580"/>
      <c r="G186" s="611" t="s">
        <v>634</v>
      </c>
      <c r="H186" s="130"/>
      <c r="I186" s="55"/>
      <c r="J186" s="580"/>
      <c r="K186" s="611" t="s">
        <v>634</v>
      </c>
      <c r="L186" s="130"/>
      <c r="M186" s="55"/>
      <c r="N186" s="580"/>
      <c r="O186" s="611" t="s">
        <v>634</v>
      </c>
      <c r="P186" s="130"/>
      <c r="Q186" s="55"/>
      <c r="R186" s="580"/>
      <c r="S186" s="659" t="s">
        <v>635</v>
      </c>
      <c r="T186" s="659"/>
      <c r="U186" s="55"/>
      <c r="V186" s="580"/>
      <c r="W186" s="14"/>
      <c r="X186" s="659"/>
      <c r="Y186" s="55"/>
      <c r="Z186" s="580"/>
      <c r="AA186" s="14"/>
      <c r="AB186" s="659"/>
      <c r="AC186" s="55"/>
      <c r="AD186" s="55"/>
      <c r="AE186" s="660"/>
      <c r="AF186" s="55"/>
      <c r="AG186" s="55"/>
      <c r="AH186" s="55"/>
      <c r="AI186" s="661"/>
    </row>
    <row r="187" spans="1:35" ht="21" customHeight="1" x14ac:dyDescent="0.2">
      <c r="B187" s="671" t="s">
        <v>326</v>
      </c>
      <c r="C187" s="618" t="s">
        <v>636</v>
      </c>
      <c r="D187" s="48"/>
      <c r="E187" s="678"/>
      <c r="F187" s="239"/>
      <c r="G187" s="618" t="s">
        <v>636</v>
      </c>
      <c r="H187" s="48"/>
      <c r="I187" s="678"/>
      <c r="J187" s="239"/>
      <c r="K187" s="618" t="s">
        <v>636</v>
      </c>
      <c r="L187" s="48"/>
      <c r="M187" s="678"/>
      <c r="N187" s="239"/>
      <c r="O187" s="618" t="s">
        <v>636</v>
      </c>
      <c r="P187" s="48"/>
      <c r="Q187" s="678"/>
      <c r="R187" s="239"/>
      <c r="S187" s="148" t="s">
        <v>637</v>
      </c>
      <c r="T187" s="148"/>
      <c r="U187" s="678"/>
      <c r="V187" s="239"/>
      <c r="W187" s="679"/>
      <c r="X187" s="148"/>
      <c r="Y187" s="678"/>
      <c r="Z187" s="239"/>
      <c r="AA187" s="679"/>
      <c r="AB187" s="148"/>
      <c r="AC187" s="678"/>
      <c r="AD187" s="678"/>
      <c r="AE187" s="680"/>
      <c r="AF187" s="678"/>
      <c r="AG187" s="678"/>
      <c r="AH187" s="678"/>
      <c r="AI187" s="681"/>
    </row>
    <row r="188" spans="1:35" ht="21" customHeight="1" x14ac:dyDescent="0.2">
      <c r="B188" s="273"/>
      <c r="C188" s="311"/>
      <c r="D188" s="72"/>
      <c r="G188" s="311"/>
      <c r="H188" s="72"/>
      <c r="K188" s="311"/>
      <c r="L188" s="72"/>
      <c r="O188" s="311"/>
      <c r="P188" s="72"/>
      <c r="S188" s="311"/>
      <c r="T188" s="311"/>
      <c r="X188" s="311"/>
      <c r="AB188" s="311"/>
      <c r="AE188" s="311"/>
    </row>
    <row r="189" spans="1:35" ht="21" customHeight="1" x14ac:dyDescent="0.2">
      <c r="A189" s="682" t="s">
        <v>638</v>
      </c>
    </row>
    <row r="190" spans="1:35" ht="21" customHeight="1" x14ac:dyDescent="0.2">
      <c r="A190" s="585"/>
      <c r="B190" s="296" t="s">
        <v>469</v>
      </c>
      <c r="C190" s="497">
        <v>1</v>
      </c>
      <c r="D190" s="177">
        <v>2</v>
      </c>
      <c r="E190" s="177">
        <v>3</v>
      </c>
      <c r="F190" s="177">
        <v>4</v>
      </c>
      <c r="G190" s="177">
        <v>5</v>
      </c>
      <c r="H190" s="177">
        <v>6</v>
      </c>
      <c r="I190" s="498">
        <v>7</v>
      </c>
      <c r="J190" s="498">
        <v>8</v>
      </c>
      <c r="K190" s="177">
        <v>9</v>
      </c>
      <c r="L190" s="177">
        <v>10</v>
      </c>
      <c r="M190" s="177">
        <v>11</v>
      </c>
      <c r="N190" s="177">
        <v>12</v>
      </c>
      <c r="O190" s="177">
        <v>13</v>
      </c>
      <c r="P190" s="498">
        <v>14</v>
      </c>
      <c r="Q190" s="498">
        <v>15</v>
      </c>
      <c r="R190" s="177">
        <v>16</v>
      </c>
      <c r="S190" s="177">
        <v>17</v>
      </c>
      <c r="T190" s="177">
        <v>18</v>
      </c>
      <c r="U190" s="177">
        <v>19</v>
      </c>
      <c r="V190" s="498">
        <v>20</v>
      </c>
      <c r="W190" s="498">
        <v>21</v>
      </c>
      <c r="X190" s="498">
        <v>22</v>
      </c>
      <c r="Y190" s="177">
        <v>23</v>
      </c>
      <c r="Z190" s="177">
        <v>24</v>
      </c>
      <c r="AA190" s="177">
        <v>25</v>
      </c>
      <c r="AB190" s="177">
        <v>26</v>
      </c>
      <c r="AC190" s="177">
        <v>27</v>
      </c>
      <c r="AD190" s="498">
        <v>28</v>
      </c>
      <c r="AE190" s="498">
        <v>29</v>
      </c>
      <c r="AF190" s="177">
        <v>30</v>
      </c>
      <c r="AG190" s="177">
        <v>31</v>
      </c>
      <c r="AH190" s="499" t="s">
        <v>470</v>
      </c>
      <c r="AI190" s="500" t="s">
        <v>471</v>
      </c>
    </row>
    <row r="191" spans="1:35" ht="21" customHeight="1" x14ac:dyDescent="0.2">
      <c r="A191" s="441">
        <v>3702</v>
      </c>
      <c r="B191" s="152" t="s">
        <v>639</v>
      </c>
      <c r="C191" s="503"/>
      <c r="D191" s="503">
        <v>2</v>
      </c>
      <c r="E191" s="1078">
        <v>2</v>
      </c>
      <c r="F191" s="503">
        <v>2</v>
      </c>
      <c r="G191" s="503">
        <v>2</v>
      </c>
      <c r="H191" s="503">
        <v>2</v>
      </c>
      <c r="I191" s="503"/>
      <c r="J191" s="503"/>
      <c r="K191" s="503">
        <v>1</v>
      </c>
      <c r="L191" s="503">
        <v>1</v>
      </c>
      <c r="M191" s="503">
        <v>1</v>
      </c>
      <c r="N191" s="503">
        <v>1</v>
      </c>
      <c r="O191" s="503">
        <v>1</v>
      </c>
      <c r="P191" s="503"/>
      <c r="Q191" s="503"/>
      <c r="R191" s="503">
        <v>2</v>
      </c>
      <c r="S191" s="503">
        <v>2</v>
      </c>
      <c r="T191" s="503">
        <v>2</v>
      </c>
      <c r="U191" s="503">
        <v>2</v>
      </c>
      <c r="V191" s="503"/>
      <c r="W191" s="503"/>
      <c r="X191" s="503"/>
      <c r="Y191" s="503">
        <v>1</v>
      </c>
      <c r="Z191" s="503">
        <v>1</v>
      </c>
      <c r="AA191" s="503">
        <v>1</v>
      </c>
      <c r="AB191" s="503">
        <v>1</v>
      </c>
      <c r="AC191" s="503">
        <v>1</v>
      </c>
      <c r="AD191" s="503">
        <v>1</v>
      </c>
      <c r="AE191" s="503"/>
      <c r="AF191" s="503">
        <v>2</v>
      </c>
      <c r="AG191" s="503">
        <v>2</v>
      </c>
      <c r="AH191" s="505">
        <v>185</v>
      </c>
      <c r="AI191" s="506">
        <v>37</v>
      </c>
    </row>
    <row r="192" spans="1:35" ht="21" customHeight="1" x14ac:dyDescent="0.2">
      <c r="A192" s="441">
        <v>3701</v>
      </c>
      <c r="B192" s="152" t="s">
        <v>640</v>
      </c>
      <c r="C192" s="503"/>
      <c r="D192" s="1059" t="s">
        <v>482</v>
      </c>
      <c r="E192" s="503" t="s">
        <v>482</v>
      </c>
      <c r="F192" s="503" t="s">
        <v>482</v>
      </c>
      <c r="G192" s="503" t="s">
        <v>482</v>
      </c>
      <c r="H192" s="503" t="s">
        <v>482</v>
      </c>
      <c r="I192" s="503"/>
      <c r="J192" s="503"/>
      <c r="K192" s="503" t="s">
        <v>482</v>
      </c>
      <c r="L192" s="503" t="s">
        <v>482</v>
      </c>
      <c r="M192" s="503" t="s">
        <v>482</v>
      </c>
      <c r="N192" s="503" t="s">
        <v>482</v>
      </c>
      <c r="O192" s="503" t="s">
        <v>482</v>
      </c>
      <c r="P192" s="503"/>
      <c r="Q192" s="503"/>
      <c r="R192" s="503" t="s">
        <v>482</v>
      </c>
      <c r="S192" s="503" t="s">
        <v>482</v>
      </c>
      <c r="T192" s="503" t="s">
        <v>482</v>
      </c>
      <c r="U192" s="503" t="s">
        <v>482</v>
      </c>
      <c r="V192" s="503"/>
      <c r="W192" s="503"/>
      <c r="X192" s="503"/>
      <c r="Y192" s="503" t="s">
        <v>482</v>
      </c>
      <c r="Z192" s="503" t="s">
        <v>482</v>
      </c>
      <c r="AA192" s="503" t="s">
        <v>482</v>
      </c>
      <c r="AB192" s="503" t="s">
        <v>482</v>
      </c>
      <c r="AC192" s="503" t="s">
        <v>482</v>
      </c>
      <c r="AD192" s="503" t="s">
        <v>482</v>
      </c>
      <c r="AE192" s="503"/>
      <c r="AF192" s="503" t="s">
        <v>482</v>
      </c>
      <c r="AG192" s="503" t="s">
        <v>482</v>
      </c>
      <c r="AH192" s="505">
        <v>185</v>
      </c>
      <c r="AI192" s="506">
        <v>37</v>
      </c>
    </row>
    <row r="193" spans="1:35" ht="21" customHeight="1" x14ac:dyDescent="0.2">
      <c r="A193" s="441">
        <v>3702</v>
      </c>
      <c r="B193" s="152" t="s">
        <v>641</v>
      </c>
      <c r="C193" s="503"/>
      <c r="D193" s="503">
        <v>1</v>
      </c>
      <c r="E193" s="503">
        <v>1</v>
      </c>
      <c r="F193" s="503">
        <v>1</v>
      </c>
      <c r="G193" s="503">
        <v>1</v>
      </c>
      <c r="H193" s="503">
        <v>1</v>
      </c>
      <c r="I193" s="503"/>
      <c r="J193" s="503"/>
      <c r="K193" s="503">
        <v>2</v>
      </c>
      <c r="L193" s="503">
        <v>2</v>
      </c>
      <c r="M193" s="503">
        <v>2</v>
      </c>
      <c r="N193" s="503">
        <v>2</v>
      </c>
      <c r="O193" s="503">
        <v>2</v>
      </c>
      <c r="P193" s="503"/>
      <c r="Q193" s="503"/>
      <c r="R193" s="503">
        <v>1</v>
      </c>
      <c r="S193" s="503">
        <v>1</v>
      </c>
      <c r="T193" s="503">
        <v>1</v>
      </c>
      <c r="U193" s="503">
        <v>1</v>
      </c>
      <c r="V193" s="503"/>
      <c r="W193" s="503"/>
      <c r="X193" s="503"/>
      <c r="Y193" s="503">
        <v>2</v>
      </c>
      <c r="Z193" s="503">
        <v>2</v>
      </c>
      <c r="AA193" s="503">
        <v>2</v>
      </c>
      <c r="AB193" s="503">
        <v>2</v>
      </c>
      <c r="AC193" s="503">
        <v>2</v>
      </c>
      <c r="AD193" s="503">
        <v>2</v>
      </c>
      <c r="AE193" s="503"/>
      <c r="AF193" s="503">
        <v>1</v>
      </c>
      <c r="AG193" s="503">
        <v>1</v>
      </c>
      <c r="AH193" s="505">
        <v>185</v>
      </c>
      <c r="AI193" s="506">
        <v>37</v>
      </c>
    </row>
    <row r="194" spans="1:35" ht="21" customHeight="1" x14ac:dyDescent="0.2">
      <c r="A194" s="683">
        <v>3706</v>
      </c>
      <c r="B194" s="552"/>
      <c r="C194" s="503"/>
      <c r="D194" s="503"/>
      <c r="E194" s="503"/>
      <c r="F194" s="503"/>
      <c r="G194" s="503"/>
      <c r="H194" s="503"/>
      <c r="I194" s="503"/>
      <c r="J194" s="503"/>
      <c r="K194" s="503"/>
      <c r="L194" s="503"/>
      <c r="M194" s="503"/>
      <c r="N194" s="503"/>
      <c r="O194" s="503"/>
      <c r="P194" s="503"/>
      <c r="Q194" s="503"/>
      <c r="R194" s="503"/>
      <c r="S194" s="503"/>
      <c r="T194" s="503"/>
      <c r="U194" s="503"/>
      <c r="V194" s="503"/>
      <c r="W194" s="503"/>
      <c r="X194" s="503"/>
      <c r="Y194" s="503"/>
      <c r="Z194" s="503"/>
      <c r="AA194" s="503"/>
      <c r="AB194" s="503"/>
      <c r="AC194" s="503"/>
      <c r="AD194" s="503"/>
      <c r="AE194" s="503"/>
      <c r="AF194" s="503"/>
      <c r="AG194" s="503"/>
      <c r="AH194" s="505">
        <v>185</v>
      </c>
      <c r="AI194" s="506">
        <v>37</v>
      </c>
    </row>
    <row r="195" spans="1:35" ht="21" customHeight="1" x14ac:dyDescent="0.2">
      <c r="A195" s="684"/>
      <c r="B195" s="685" t="s">
        <v>642</v>
      </c>
      <c r="C195" s="686"/>
      <c r="D195" s="686"/>
      <c r="E195" s="686"/>
      <c r="F195" s="686"/>
      <c r="G195" s="686"/>
      <c r="H195" s="686"/>
      <c r="I195" s="686"/>
      <c r="J195" s="686"/>
      <c r="K195" s="686"/>
      <c r="L195" s="686"/>
      <c r="M195" s="686"/>
      <c r="N195" s="686"/>
      <c r="O195" s="686"/>
      <c r="P195" s="686"/>
      <c r="Q195" s="686"/>
      <c r="R195" s="686"/>
      <c r="S195" s="686"/>
      <c r="T195" s="686"/>
      <c r="U195" s="686"/>
      <c r="V195" s="686"/>
      <c r="W195" s="686"/>
      <c r="X195" s="686"/>
      <c r="Y195" s="686"/>
      <c r="Z195" s="686"/>
      <c r="AA195" s="686"/>
      <c r="AB195" s="686"/>
      <c r="AC195" s="686"/>
      <c r="AD195" s="686"/>
      <c r="AE195" s="686"/>
      <c r="AF195" s="686"/>
      <c r="AG195" s="687"/>
      <c r="AH195" s="688"/>
      <c r="AI195" s="689"/>
    </row>
    <row r="196" spans="1:35" ht="21" customHeight="1" x14ac:dyDescent="0.2">
      <c r="A196" s="441">
        <v>3702</v>
      </c>
      <c r="B196" s="152"/>
      <c r="C196" s="152"/>
      <c r="D196" s="503" t="s">
        <v>643</v>
      </c>
      <c r="E196" s="503" t="s">
        <v>643</v>
      </c>
      <c r="F196" s="503" t="s">
        <v>643</v>
      </c>
      <c r="G196" s="503" t="s">
        <v>643</v>
      </c>
      <c r="H196" s="503" t="s">
        <v>643</v>
      </c>
      <c r="I196" s="503"/>
      <c r="J196" s="503"/>
      <c r="K196" s="503" t="s">
        <v>596</v>
      </c>
      <c r="L196" s="503" t="s">
        <v>596</v>
      </c>
      <c r="M196" s="503" t="s">
        <v>596</v>
      </c>
      <c r="N196" s="503" t="s">
        <v>596</v>
      </c>
      <c r="O196" s="503" t="s">
        <v>596</v>
      </c>
      <c r="P196" s="503"/>
      <c r="Q196" s="503"/>
      <c r="R196" s="503" t="s">
        <v>644</v>
      </c>
      <c r="S196" s="503" t="s">
        <v>644</v>
      </c>
      <c r="T196" s="503" t="s">
        <v>644</v>
      </c>
      <c r="U196" s="503" t="s">
        <v>644</v>
      </c>
      <c r="V196" s="503"/>
      <c r="W196" s="503"/>
      <c r="X196" s="152"/>
      <c r="Y196" s="503" t="s">
        <v>643</v>
      </c>
      <c r="Z196" s="503" t="s">
        <v>643</v>
      </c>
      <c r="AA196" s="503" t="s">
        <v>643</v>
      </c>
      <c r="AB196" s="503" t="s">
        <v>643</v>
      </c>
      <c r="AC196" s="503" t="s">
        <v>643</v>
      </c>
      <c r="AD196" s="503"/>
      <c r="AE196" s="503"/>
      <c r="AF196" s="503" t="s">
        <v>596</v>
      </c>
      <c r="AG196" s="503" t="s">
        <v>596</v>
      </c>
      <c r="AH196" s="505">
        <v>185</v>
      </c>
      <c r="AI196" s="506">
        <v>37</v>
      </c>
    </row>
    <row r="197" spans="1:35" ht="21" customHeight="1" x14ac:dyDescent="0.2">
      <c r="A197" s="441"/>
      <c r="B197" s="152" t="s">
        <v>645</v>
      </c>
      <c r="C197" s="152"/>
      <c r="D197" s="503" t="s">
        <v>596</v>
      </c>
      <c r="E197" s="503" t="s">
        <v>596</v>
      </c>
      <c r="F197" s="503" t="s">
        <v>596</v>
      </c>
      <c r="G197" s="503" t="s">
        <v>596</v>
      </c>
      <c r="H197" s="503" t="s">
        <v>596</v>
      </c>
      <c r="I197" s="503"/>
      <c r="J197" s="503"/>
      <c r="K197" s="503" t="s">
        <v>644</v>
      </c>
      <c r="L197" s="503" t="s">
        <v>644</v>
      </c>
      <c r="M197" s="503" t="s">
        <v>644</v>
      </c>
      <c r="N197" s="503" t="s">
        <v>644</v>
      </c>
      <c r="O197" s="503" t="s">
        <v>644</v>
      </c>
      <c r="P197" s="503"/>
      <c r="Q197" s="503"/>
      <c r="R197" s="503" t="s">
        <v>643</v>
      </c>
      <c r="S197" s="503" t="s">
        <v>643</v>
      </c>
      <c r="T197" s="503" t="s">
        <v>643</v>
      </c>
      <c r="U197" s="503" t="s">
        <v>643</v>
      </c>
      <c r="V197" s="503"/>
      <c r="W197" s="503"/>
      <c r="X197" s="152"/>
      <c r="Y197" s="503" t="s">
        <v>596</v>
      </c>
      <c r="Z197" s="503" t="s">
        <v>596</v>
      </c>
      <c r="AA197" s="503" t="s">
        <v>596</v>
      </c>
      <c r="AB197" s="503" t="s">
        <v>596</v>
      </c>
      <c r="AC197" s="503" t="s">
        <v>596</v>
      </c>
      <c r="AD197" s="503"/>
      <c r="AE197" s="503"/>
      <c r="AF197" s="503" t="s">
        <v>644</v>
      </c>
      <c r="AG197" s="503" t="s">
        <v>644</v>
      </c>
      <c r="AH197" s="505">
        <v>193</v>
      </c>
      <c r="AI197" s="506">
        <v>37</v>
      </c>
    </row>
    <row r="198" spans="1:35" ht="21" customHeight="1" x14ac:dyDescent="0.2">
      <c r="A198" s="441"/>
      <c r="B198" s="152" t="s">
        <v>646</v>
      </c>
      <c r="C198" s="152"/>
      <c r="D198" s="503" t="s">
        <v>644</v>
      </c>
      <c r="E198" s="503" t="s">
        <v>644</v>
      </c>
      <c r="F198" s="503" t="s">
        <v>644</v>
      </c>
      <c r="G198" s="503" t="s">
        <v>644</v>
      </c>
      <c r="H198" s="503" t="s">
        <v>644</v>
      </c>
      <c r="I198" s="503"/>
      <c r="J198" s="503"/>
      <c r="K198" s="503" t="s">
        <v>643</v>
      </c>
      <c r="L198" s="503" t="s">
        <v>643</v>
      </c>
      <c r="M198" s="503" t="s">
        <v>643</v>
      </c>
      <c r="N198" s="503" t="s">
        <v>643</v>
      </c>
      <c r="O198" s="503" t="s">
        <v>643</v>
      </c>
      <c r="P198" s="503"/>
      <c r="Q198" s="503"/>
      <c r="R198" s="503" t="s">
        <v>596</v>
      </c>
      <c r="S198" s="503" t="s">
        <v>596</v>
      </c>
      <c r="T198" s="503" t="s">
        <v>596</v>
      </c>
      <c r="U198" s="1081" t="s">
        <v>596</v>
      </c>
      <c r="V198" s="503"/>
      <c r="W198" s="503"/>
      <c r="X198" s="152"/>
      <c r="Y198" s="1081" t="s">
        <v>644</v>
      </c>
      <c r="Z198" s="503" t="s">
        <v>644</v>
      </c>
      <c r="AA198" s="503" t="s">
        <v>644</v>
      </c>
      <c r="AB198" s="503" t="s">
        <v>644</v>
      </c>
      <c r="AC198" s="503" t="s">
        <v>644</v>
      </c>
      <c r="AD198" s="503"/>
      <c r="AE198" s="503"/>
      <c r="AF198" s="503" t="s">
        <v>643</v>
      </c>
      <c r="AG198" s="503" t="s">
        <v>643</v>
      </c>
      <c r="AH198" s="505">
        <v>185</v>
      </c>
      <c r="AI198" s="506">
        <v>21.5</v>
      </c>
    </row>
    <row r="199" spans="1:35" ht="21" customHeight="1" x14ac:dyDescent="0.2"/>
    <row r="200" spans="1:35" ht="21" customHeight="1" x14ac:dyDescent="0.2"/>
    <row r="201" spans="1:35" ht="21" customHeight="1" x14ac:dyDescent="0.2">
      <c r="A201" s="1" t="s">
        <v>647</v>
      </c>
    </row>
    <row r="202" spans="1:35" ht="21" customHeight="1" x14ac:dyDescent="0.2">
      <c r="B202" s="200" t="s">
        <v>604</v>
      </c>
      <c r="C202" s="7"/>
      <c r="D202" s="530" t="s">
        <v>2</v>
      </c>
      <c r="E202" s="51"/>
      <c r="F202" s="573"/>
      <c r="G202" s="7"/>
      <c r="H202" s="530" t="s">
        <v>3</v>
      </c>
      <c r="I202" s="51"/>
      <c r="J202" s="573"/>
      <c r="K202" s="7"/>
      <c r="L202" s="530" t="s">
        <v>4</v>
      </c>
      <c r="M202" s="51"/>
      <c r="N202" s="573"/>
      <c r="O202" s="7"/>
      <c r="P202" s="530" t="s">
        <v>5</v>
      </c>
      <c r="Q202" s="51"/>
      <c r="R202" s="573"/>
      <c r="S202" s="7"/>
      <c r="T202" s="530" t="s">
        <v>6</v>
      </c>
      <c r="U202" s="51"/>
      <c r="V202" s="573"/>
      <c r="W202" s="7"/>
      <c r="X202" s="530" t="s">
        <v>7</v>
      </c>
      <c r="Y202" s="51"/>
      <c r="Z202" s="573"/>
      <c r="AA202" s="7"/>
      <c r="AB202" s="530" t="s">
        <v>8</v>
      </c>
      <c r="AC202" s="51"/>
      <c r="AD202" s="51"/>
      <c r="AE202" s="424" t="s">
        <v>10</v>
      </c>
      <c r="AF202" s="51"/>
      <c r="AG202" s="51"/>
      <c r="AH202" s="51"/>
      <c r="AI202" s="531"/>
    </row>
    <row r="203" spans="1:35" ht="21" customHeight="1" x14ac:dyDescent="0.2">
      <c r="B203" s="9">
        <v>8500</v>
      </c>
      <c r="C203" s="121" t="s">
        <v>33</v>
      </c>
      <c r="D203" s="659"/>
      <c r="E203" s="55"/>
      <c r="F203" s="580"/>
      <c r="G203" s="121" t="s">
        <v>33</v>
      </c>
      <c r="H203" s="659"/>
      <c r="I203" s="55"/>
      <c r="J203" s="580"/>
      <c r="K203" s="121" t="s">
        <v>33</v>
      </c>
      <c r="L203" s="659"/>
      <c r="M203" s="55"/>
      <c r="N203" s="580"/>
      <c r="O203" s="121" t="s">
        <v>33</v>
      </c>
      <c r="P203" s="659"/>
      <c r="Q203" s="55"/>
      <c r="R203" s="580"/>
      <c r="S203" s="121" t="s">
        <v>34</v>
      </c>
      <c r="T203" s="659"/>
      <c r="U203" s="55"/>
      <c r="V203" s="580"/>
      <c r="W203" s="14"/>
      <c r="X203" s="659"/>
      <c r="Y203" s="55"/>
      <c r="Z203" s="580"/>
      <c r="AA203" s="14"/>
      <c r="AB203" s="659"/>
      <c r="AC203" s="55"/>
      <c r="AD203" s="55"/>
      <c r="AE203" s="660"/>
      <c r="AF203" s="55"/>
      <c r="AG203" s="55"/>
      <c r="AH203" s="55"/>
      <c r="AI203" s="661"/>
    </row>
    <row r="204" spans="1:35" ht="21" customHeight="1" x14ac:dyDescent="0.2">
      <c r="B204" s="162" t="s">
        <v>648</v>
      </c>
      <c r="C204" s="690" t="s">
        <v>649</v>
      </c>
      <c r="D204" s="607"/>
      <c r="E204" s="678"/>
      <c r="F204" s="239"/>
      <c r="G204" s="690" t="s">
        <v>649</v>
      </c>
      <c r="H204" s="148"/>
      <c r="I204" s="678"/>
      <c r="J204" s="239"/>
      <c r="K204" s="690" t="s">
        <v>649</v>
      </c>
      <c r="L204" s="148"/>
      <c r="M204" s="678"/>
      <c r="N204" s="239"/>
      <c r="O204" s="690" t="s">
        <v>650</v>
      </c>
      <c r="P204" s="148"/>
      <c r="Q204" s="678"/>
      <c r="R204" s="239"/>
      <c r="S204" s="690" t="s">
        <v>16</v>
      </c>
      <c r="T204" s="148"/>
      <c r="U204" s="678"/>
      <c r="V204" s="239"/>
      <c r="W204" s="679"/>
      <c r="X204" s="148"/>
      <c r="Y204" s="678"/>
      <c r="Z204" s="239"/>
      <c r="AA204" s="679"/>
      <c r="AB204" s="148"/>
      <c r="AC204" s="678"/>
      <c r="AD204" s="678"/>
      <c r="AE204" s="680"/>
      <c r="AF204" s="678"/>
      <c r="AG204" s="678"/>
      <c r="AH204" s="678"/>
      <c r="AI204" s="681"/>
    </row>
    <row r="205" spans="1:35" ht="21" customHeight="1" x14ac:dyDescent="0.2">
      <c r="A205" s="60" t="s">
        <v>651</v>
      </c>
    </row>
    <row r="206" spans="1:35" ht="21" customHeight="1" x14ac:dyDescent="0.2">
      <c r="A206" s="691"/>
      <c r="B206" s="296" t="s">
        <v>469</v>
      </c>
      <c r="C206" s="497">
        <v>1</v>
      </c>
      <c r="D206" s="177">
        <v>2</v>
      </c>
      <c r="E206" s="177">
        <v>3</v>
      </c>
      <c r="F206" s="177">
        <v>4</v>
      </c>
      <c r="G206" s="177">
        <v>5</v>
      </c>
      <c r="H206" s="177">
        <v>6</v>
      </c>
      <c r="I206" s="498">
        <v>7</v>
      </c>
      <c r="J206" s="498">
        <v>8</v>
      </c>
      <c r="K206" s="177">
        <v>9</v>
      </c>
      <c r="L206" s="177">
        <v>10</v>
      </c>
      <c r="M206" s="177">
        <v>11</v>
      </c>
      <c r="N206" s="177">
        <v>12</v>
      </c>
      <c r="O206" s="177">
        <v>13</v>
      </c>
      <c r="P206" s="498">
        <v>14</v>
      </c>
      <c r="Q206" s="498">
        <v>15</v>
      </c>
      <c r="R206" s="177">
        <v>16</v>
      </c>
      <c r="S206" s="177">
        <v>17</v>
      </c>
      <c r="T206" s="177">
        <v>18</v>
      </c>
      <c r="U206" s="177">
        <v>19</v>
      </c>
      <c r="V206" s="498">
        <v>20</v>
      </c>
      <c r="W206" s="498">
        <v>21</v>
      </c>
      <c r="X206" s="498">
        <v>22</v>
      </c>
      <c r="Y206" s="177">
        <v>23</v>
      </c>
      <c r="Z206" s="177">
        <v>24</v>
      </c>
      <c r="AA206" s="177">
        <v>25</v>
      </c>
      <c r="AB206" s="177">
        <v>26</v>
      </c>
      <c r="AC206" s="177">
        <v>27</v>
      </c>
      <c r="AD206" s="498">
        <v>28</v>
      </c>
      <c r="AE206" s="498">
        <v>29</v>
      </c>
      <c r="AF206" s="177">
        <v>30</v>
      </c>
      <c r="AG206" s="177">
        <v>31</v>
      </c>
      <c r="AH206" s="499" t="s">
        <v>470</v>
      </c>
      <c r="AI206" s="500" t="s">
        <v>471</v>
      </c>
    </row>
    <row r="207" spans="1:35" ht="21" customHeight="1" x14ac:dyDescent="0.2">
      <c r="A207" s="154">
        <v>8500</v>
      </c>
      <c r="B207" s="692" t="s">
        <v>652</v>
      </c>
      <c r="C207" s="503"/>
      <c r="D207" s="503" t="s">
        <v>482</v>
      </c>
      <c r="E207" s="1078" t="s">
        <v>482</v>
      </c>
      <c r="F207" s="503" t="s">
        <v>482</v>
      </c>
      <c r="G207" s="503" t="s">
        <v>482</v>
      </c>
      <c r="H207" s="503" t="s">
        <v>482</v>
      </c>
      <c r="I207" s="503"/>
      <c r="J207" s="503"/>
      <c r="K207" s="503" t="s">
        <v>482</v>
      </c>
      <c r="L207" s="503" t="s">
        <v>482</v>
      </c>
      <c r="M207" s="503" t="s">
        <v>482</v>
      </c>
      <c r="N207" s="503" t="s">
        <v>482</v>
      </c>
      <c r="O207" s="503" t="s">
        <v>482</v>
      </c>
      <c r="P207" s="503"/>
      <c r="Q207" s="503"/>
      <c r="R207" s="1104" t="s">
        <v>617</v>
      </c>
      <c r="S207" s="503" t="s">
        <v>482</v>
      </c>
      <c r="T207" s="503" t="s">
        <v>482</v>
      </c>
      <c r="U207" s="503" t="s">
        <v>482</v>
      </c>
      <c r="V207" s="503"/>
      <c r="W207" s="610"/>
      <c r="X207" s="503"/>
      <c r="Y207" s="1078" t="s">
        <v>482</v>
      </c>
      <c r="Z207" s="1078" t="s">
        <v>482</v>
      </c>
      <c r="AA207" s="503" t="s">
        <v>482</v>
      </c>
      <c r="AB207" s="503" t="s">
        <v>482</v>
      </c>
      <c r="AC207" s="503" t="s">
        <v>482</v>
      </c>
      <c r="AD207" s="553"/>
      <c r="AE207" s="553"/>
      <c r="AF207" s="503" t="s">
        <v>482</v>
      </c>
      <c r="AG207" s="503" t="s">
        <v>482</v>
      </c>
      <c r="AH207" s="693">
        <v>220</v>
      </c>
      <c r="AI207" s="694">
        <v>37</v>
      </c>
    </row>
    <row r="208" spans="1:35" ht="21" customHeight="1" x14ac:dyDescent="0.2">
      <c r="A208" s="501" t="s">
        <v>653</v>
      </c>
      <c r="B208" s="152" t="s">
        <v>654</v>
      </c>
      <c r="C208" s="503"/>
      <c r="D208" s="503" t="s">
        <v>482</v>
      </c>
      <c r="E208" s="503" t="s">
        <v>482</v>
      </c>
      <c r="F208" s="503" t="s">
        <v>482</v>
      </c>
      <c r="G208" s="503" t="s">
        <v>482</v>
      </c>
      <c r="H208" s="503" t="s">
        <v>482</v>
      </c>
      <c r="I208" s="503"/>
      <c r="J208" s="503"/>
      <c r="K208" s="503" t="s">
        <v>482</v>
      </c>
      <c r="L208" s="503" t="s">
        <v>482</v>
      </c>
      <c r="M208" s="503" t="s">
        <v>482</v>
      </c>
      <c r="N208" s="503" t="s">
        <v>482</v>
      </c>
      <c r="O208" s="503" t="s">
        <v>482</v>
      </c>
      <c r="P208" s="503"/>
      <c r="Q208" s="503"/>
      <c r="R208" s="1059" t="s">
        <v>482</v>
      </c>
      <c r="S208" s="1059" t="s">
        <v>482</v>
      </c>
      <c r="T208" s="1059" t="s">
        <v>482</v>
      </c>
      <c r="U208" s="1059" t="s">
        <v>482</v>
      </c>
      <c r="V208" s="1059"/>
      <c r="W208" s="1445"/>
      <c r="X208" s="1059"/>
      <c r="Y208" s="1059" t="s">
        <v>482</v>
      </c>
      <c r="Z208" s="1059" t="s">
        <v>482</v>
      </c>
      <c r="AA208" s="1059" t="s">
        <v>482</v>
      </c>
      <c r="AB208" s="1059" t="s">
        <v>482</v>
      </c>
      <c r="AC208" s="1059" t="s">
        <v>482</v>
      </c>
      <c r="AD208" s="1064"/>
      <c r="AE208" s="1064"/>
      <c r="AF208" s="503" t="s">
        <v>482</v>
      </c>
      <c r="AG208" s="503" t="s">
        <v>482</v>
      </c>
      <c r="AH208" s="693">
        <v>108</v>
      </c>
      <c r="AI208" s="694">
        <v>37</v>
      </c>
    </row>
    <row r="209" spans="1:35" ht="21" customHeight="1" x14ac:dyDescent="0.2">
      <c r="A209" s="152">
        <v>8500</v>
      </c>
      <c r="B209" s="152" t="s">
        <v>655</v>
      </c>
      <c r="C209" s="503"/>
      <c r="D209" s="503" t="s">
        <v>482</v>
      </c>
      <c r="E209" s="503" t="s">
        <v>482</v>
      </c>
      <c r="F209" s="503" t="s">
        <v>482</v>
      </c>
      <c r="G209" s="503" t="s">
        <v>482</v>
      </c>
      <c r="H209" s="503" t="s">
        <v>482</v>
      </c>
      <c r="I209" s="503"/>
      <c r="J209" s="503"/>
      <c r="K209" s="503" t="s">
        <v>482</v>
      </c>
      <c r="L209" s="503" t="s">
        <v>482</v>
      </c>
      <c r="M209" s="503" t="s">
        <v>482</v>
      </c>
      <c r="N209" s="503" t="s">
        <v>482</v>
      </c>
      <c r="O209" s="503" t="s">
        <v>482</v>
      </c>
      <c r="P209" s="503"/>
      <c r="Q209" s="503"/>
      <c r="R209" s="503" t="s">
        <v>482</v>
      </c>
      <c r="S209" s="503" t="s">
        <v>482</v>
      </c>
      <c r="T209" s="503" t="s">
        <v>482</v>
      </c>
      <c r="U209" s="503" t="s">
        <v>482</v>
      </c>
      <c r="V209" s="503"/>
      <c r="W209" s="610"/>
      <c r="X209" s="503"/>
      <c r="Y209" s="503" t="s">
        <v>482</v>
      </c>
      <c r="Z209" s="503" t="s">
        <v>482</v>
      </c>
      <c r="AA209" s="503" t="s">
        <v>482</v>
      </c>
      <c r="AB209" s="503" t="s">
        <v>482</v>
      </c>
      <c r="AC209" s="503" t="s">
        <v>482</v>
      </c>
      <c r="AD209" s="553"/>
      <c r="AE209" s="553"/>
      <c r="AF209" s="503" t="s">
        <v>482</v>
      </c>
      <c r="AG209" s="503" t="s">
        <v>482</v>
      </c>
      <c r="AH209" s="693">
        <v>193</v>
      </c>
      <c r="AI209" s="694">
        <v>37</v>
      </c>
    </row>
    <row r="210" spans="1:35" ht="21.95" customHeight="1" x14ac:dyDescent="0.2">
      <c r="A210" s="441"/>
      <c r="B210" s="152" t="s">
        <v>656</v>
      </c>
      <c r="C210" s="503"/>
      <c r="D210" s="503" t="s">
        <v>482</v>
      </c>
      <c r="E210" s="503" t="s">
        <v>482</v>
      </c>
      <c r="F210" s="503" t="s">
        <v>482</v>
      </c>
      <c r="G210" s="503" t="s">
        <v>482</v>
      </c>
      <c r="H210" s="503" t="s">
        <v>482</v>
      </c>
      <c r="I210" s="503"/>
      <c r="J210" s="503"/>
      <c r="K210" s="503" t="s">
        <v>482</v>
      </c>
      <c r="L210" s="503" t="s">
        <v>482</v>
      </c>
      <c r="M210" s="503" t="s">
        <v>482</v>
      </c>
      <c r="N210" s="503" t="s">
        <v>482</v>
      </c>
      <c r="O210" s="503" t="s">
        <v>482</v>
      </c>
      <c r="P210" s="503"/>
      <c r="Q210" s="503"/>
      <c r="R210" s="503" t="s">
        <v>482</v>
      </c>
      <c r="S210" s="503" t="s">
        <v>482</v>
      </c>
      <c r="T210" s="503" t="s">
        <v>482</v>
      </c>
      <c r="U210" s="503" t="s">
        <v>482</v>
      </c>
      <c r="V210" s="503"/>
      <c r="W210" s="610"/>
      <c r="X210" s="503"/>
      <c r="Y210" s="503" t="s">
        <v>482</v>
      </c>
      <c r="Z210" s="503" t="s">
        <v>482</v>
      </c>
      <c r="AA210" s="503" t="s">
        <v>482</v>
      </c>
      <c r="AB210" s="503" t="s">
        <v>482</v>
      </c>
      <c r="AC210" s="503" t="s">
        <v>482</v>
      </c>
      <c r="AD210" s="553"/>
      <c r="AE210" s="553"/>
      <c r="AF210" s="503" t="s">
        <v>482</v>
      </c>
      <c r="AG210" s="503" t="s">
        <v>482</v>
      </c>
      <c r="AH210" s="693">
        <v>185</v>
      </c>
      <c r="AI210" s="694">
        <v>37</v>
      </c>
    </row>
    <row r="211" spans="1:35" ht="21.95" customHeight="1" x14ac:dyDescent="0.2">
      <c r="A211" s="512">
        <v>3350</v>
      </c>
      <c r="B211" s="54" t="s">
        <v>657</v>
      </c>
      <c r="C211" s="503"/>
      <c r="D211" s="503" t="s">
        <v>482</v>
      </c>
      <c r="E211" s="503" t="s">
        <v>482</v>
      </c>
      <c r="F211" s="503" t="s">
        <v>482</v>
      </c>
      <c r="G211" s="503" t="s">
        <v>482</v>
      </c>
      <c r="H211" s="503" t="s">
        <v>482</v>
      </c>
      <c r="I211" s="503"/>
      <c r="J211" s="503"/>
      <c r="K211" s="503" t="s">
        <v>482</v>
      </c>
      <c r="L211" s="503" t="s">
        <v>482</v>
      </c>
      <c r="M211" s="503" t="s">
        <v>482</v>
      </c>
      <c r="N211" s="503" t="s">
        <v>482</v>
      </c>
      <c r="O211" s="503" t="s">
        <v>482</v>
      </c>
      <c r="P211" s="503"/>
      <c r="Q211" s="503"/>
      <c r="R211" s="503" t="s">
        <v>482</v>
      </c>
      <c r="S211" s="503" t="s">
        <v>482</v>
      </c>
      <c r="T211" s="503" t="s">
        <v>482</v>
      </c>
      <c r="U211" s="503" t="s">
        <v>482</v>
      </c>
      <c r="V211" s="503"/>
      <c r="W211" s="610"/>
      <c r="X211" s="503"/>
      <c r="Y211" s="503" t="s">
        <v>482</v>
      </c>
      <c r="Z211" s="503" t="s">
        <v>482</v>
      </c>
      <c r="AA211" s="503" t="s">
        <v>482</v>
      </c>
      <c r="AB211" s="503" t="s">
        <v>482</v>
      </c>
      <c r="AC211" s="503" t="s">
        <v>482</v>
      </c>
      <c r="AD211" s="553"/>
      <c r="AE211" s="553"/>
      <c r="AF211" s="503" t="s">
        <v>482</v>
      </c>
      <c r="AG211" s="503" t="s">
        <v>482</v>
      </c>
      <c r="AH211" s="693">
        <v>199</v>
      </c>
      <c r="AI211" s="694">
        <v>37</v>
      </c>
    </row>
    <row r="212" spans="1:35" ht="21.95" customHeight="1" x14ac:dyDescent="0.2">
      <c r="A212" s="524">
        <v>3701</v>
      </c>
      <c r="B212" s="152" t="s">
        <v>658</v>
      </c>
      <c r="C212" s="503"/>
      <c r="D212" s="503" t="s">
        <v>482</v>
      </c>
      <c r="E212" s="503" t="s">
        <v>482</v>
      </c>
      <c r="F212" s="503" t="s">
        <v>482</v>
      </c>
      <c r="G212" s="503" t="s">
        <v>482</v>
      </c>
      <c r="H212" s="503" t="s">
        <v>482</v>
      </c>
      <c r="I212" s="503"/>
      <c r="J212" s="503"/>
      <c r="K212" s="503" t="s">
        <v>482</v>
      </c>
      <c r="L212" s="503" t="s">
        <v>482</v>
      </c>
      <c r="M212" s="503" t="s">
        <v>482</v>
      </c>
      <c r="N212" s="503" t="s">
        <v>482</v>
      </c>
      <c r="O212" s="503" t="s">
        <v>482</v>
      </c>
      <c r="P212" s="503"/>
      <c r="Q212" s="503"/>
      <c r="R212" s="503" t="s">
        <v>482</v>
      </c>
      <c r="S212" s="503" t="s">
        <v>482</v>
      </c>
      <c r="T212" s="503" t="s">
        <v>482</v>
      </c>
      <c r="U212" s="503" t="s">
        <v>482</v>
      </c>
      <c r="V212" s="503"/>
      <c r="W212" s="610"/>
      <c r="X212" s="503"/>
      <c r="Y212" s="503" t="s">
        <v>482</v>
      </c>
      <c r="Z212" s="503" t="s">
        <v>482</v>
      </c>
      <c r="AA212" s="503" t="s">
        <v>482</v>
      </c>
      <c r="AB212" s="1081" t="s">
        <v>482</v>
      </c>
      <c r="AC212" s="1081" t="s">
        <v>482</v>
      </c>
      <c r="AD212" s="553"/>
      <c r="AE212" s="553"/>
      <c r="AF212" s="503" t="s">
        <v>482</v>
      </c>
      <c r="AG212" s="503" t="s">
        <v>482</v>
      </c>
      <c r="AH212" s="693">
        <v>185</v>
      </c>
      <c r="AI212" s="694">
        <v>23.5</v>
      </c>
    </row>
    <row r="213" spans="1:35" ht="25.5" customHeight="1" x14ac:dyDescent="0.2">
      <c r="A213" s="1" t="s">
        <v>659</v>
      </c>
    </row>
    <row r="214" spans="1:35" ht="21" customHeight="1" x14ac:dyDescent="0.2">
      <c r="A214" s="1"/>
      <c r="B214" s="200" t="s">
        <v>604</v>
      </c>
      <c r="C214" s="7"/>
      <c r="D214" s="530" t="s">
        <v>2</v>
      </c>
      <c r="E214" s="51"/>
      <c r="F214" s="573"/>
      <c r="G214" s="7"/>
      <c r="H214" s="530" t="s">
        <v>3</v>
      </c>
      <c r="I214" s="51"/>
      <c r="J214" s="573"/>
      <c r="K214" s="7"/>
      <c r="L214" s="530" t="s">
        <v>4</v>
      </c>
      <c r="M214" s="51"/>
      <c r="N214" s="573"/>
      <c r="O214" s="7"/>
      <c r="P214" s="530" t="s">
        <v>5</v>
      </c>
      <c r="Q214" s="51"/>
      <c r="R214" s="573"/>
      <c r="S214" s="7"/>
      <c r="T214" s="530" t="s">
        <v>6</v>
      </c>
      <c r="U214" s="51"/>
      <c r="V214" s="573"/>
      <c r="W214" s="7"/>
      <c r="X214" s="530" t="s">
        <v>7</v>
      </c>
      <c r="Y214" s="51"/>
      <c r="Z214" s="573"/>
      <c r="AA214" s="7"/>
      <c r="AB214" s="530" t="s">
        <v>8</v>
      </c>
      <c r="AC214" s="51"/>
      <c r="AD214" s="51"/>
      <c r="AE214" s="424" t="s">
        <v>10</v>
      </c>
      <c r="AF214" s="51"/>
      <c r="AG214" s="51"/>
      <c r="AH214" s="51"/>
      <c r="AI214" s="531"/>
    </row>
    <row r="215" spans="1:35" ht="21" customHeight="1" x14ac:dyDescent="0.2">
      <c r="A215" s="1"/>
      <c r="B215" s="9"/>
      <c r="C215" s="14"/>
      <c r="D215" s="659"/>
      <c r="E215" s="55"/>
      <c r="F215" s="580"/>
      <c r="G215" s="14"/>
      <c r="H215" s="659"/>
      <c r="I215" s="55"/>
      <c r="J215" s="580"/>
      <c r="K215" s="14"/>
      <c r="L215" s="659"/>
      <c r="M215" s="55"/>
      <c r="N215" s="580"/>
      <c r="O215" s="14"/>
      <c r="P215" s="659"/>
      <c r="Q215" s="55"/>
      <c r="R215" s="580"/>
      <c r="S215" s="14"/>
      <c r="T215" s="659"/>
      <c r="U215" s="55"/>
      <c r="V215" s="580"/>
      <c r="W215" s="14"/>
      <c r="X215" s="659"/>
      <c r="Y215" s="55"/>
      <c r="Z215" s="580"/>
      <c r="AA215" s="14"/>
      <c r="AB215" s="659"/>
      <c r="AC215" s="55"/>
      <c r="AD215" s="55"/>
      <c r="AE215" s="660"/>
      <c r="AF215" s="55"/>
      <c r="AG215" s="55"/>
      <c r="AH215" s="55"/>
      <c r="AI215" s="661"/>
    </row>
    <row r="216" spans="1:35" ht="21" customHeight="1" x14ac:dyDescent="0.2">
      <c r="B216" s="662"/>
      <c r="C216" s="121"/>
      <c r="D216" s="156"/>
      <c r="E216" s="156"/>
      <c r="F216" s="612"/>
      <c r="G216" s="121"/>
      <c r="H216" s="156"/>
      <c r="I216" s="156"/>
      <c r="J216" s="612"/>
      <c r="K216" s="121"/>
      <c r="L216" s="156"/>
      <c r="M216" s="156"/>
      <c r="N216" s="612"/>
      <c r="O216" s="121"/>
      <c r="P216" s="156"/>
      <c r="Q216" s="156"/>
      <c r="R216" s="612"/>
      <c r="S216" s="121"/>
      <c r="T216" s="156"/>
      <c r="U216" s="156"/>
      <c r="V216" s="612"/>
      <c r="W216" s="121"/>
      <c r="X216" s="156"/>
      <c r="Y216" s="156"/>
      <c r="Z216" s="612"/>
      <c r="AA216" s="611"/>
      <c r="AB216" s="156"/>
      <c r="AC216" s="156"/>
      <c r="AD216" s="613"/>
      <c r="AE216" s="663"/>
      <c r="AF216" s="156"/>
      <c r="AG216" s="156" t="s">
        <v>28</v>
      </c>
      <c r="AH216" s="613"/>
      <c r="AI216" s="489"/>
    </row>
    <row r="217" spans="1:35" ht="21" customHeight="1" x14ac:dyDescent="0.2">
      <c r="A217" s="1"/>
      <c r="B217" s="47"/>
      <c r="C217" s="618"/>
      <c r="D217" s="53"/>
      <c r="E217" s="53"/>
      <c r="F217" s="619"/>
      <c r="G217" s="618"/>
      <c r="H217" s="53"/>
      <c r="I217" s="53"/>
      <c r="J217" s="619"/>
      <c r="K217" s="618"/>
      <c r="L217" s="53"/>
      <c r="M217" s="53"/>
      <c r="N217" s="619"/>
      <c r="O217" s="618"/>
      <c r="P217" s="53"/>
      <c r="Q217" s="53"/>
      <c r="R217" s="619"/>
      <c r="S217" s="618"/>
      <c r="T217" s="53"/>
      <c r="U217" s="53"/>
      <c r="V217" s="619"/>
      <c r="W217" s="57"/>
      <c r="X217" s="53"/>
      <c r="Y217" s="53"/>
      <c r="Z217" s="619"/>
      <c r="AA217" s="57"/>
      <c r="AB217" s="53"/>
      <c r="AC217" s="53"/>
      <c r="AD217" s="620"/>
      <c r="AE217" s="57"/>
      <c r="AF217" s="53"/>
      <c r="AG217" s="53"/>
      <c r="AH217" s="620"/>
      <c r="AI217" s="544"/>
    </row>
    <row r="218" spans="1:35" ht="33" customHeight="1" x14ac:dyDescent="0.2">
      <c r="A218" s="1" t="s">
        <v>660</v>
      </c>
      <c r="B218" s="72"/>
      <c r="C218" s="311"/>
      <c r="F218" s="353"/>
      <c r="G218" s="311"/>
      <c r="J218" s="353"/>
      <c r="K218" s="311"/>
      <c r="N218" s="353"/>
      <c r="O218" s="311"/>
      <c r="R218" s="353"/>
      <c r="S218" s="311"/>
      <c r="V218" s="353"/>
      <c r="W218" s="353"/>
      <c r="Z218" s="353"/>
      <c r="AA218" s="353"/>
      <c r="AD218" s="353"/>
      <c r="AE218" s="353"/>
      <c r="AH218" s="353"/>
    </row>
    <row r="219" spans="1:35" ht="21" customHeight="1" x14ac:dyDescent="0.2">
      <c r="A219" s="585" t="s">
        <v>468</v>
      </c>
      <c r="B219" s="296" t="s">
        <v>469</v>
      </c>
      <c r="C219" s="497">
        <v>1</v>
      </c>
      <c r="D219" s="177">
        <v>2</v>
      </c>
      <c r="E219" s="177">
        <v>3</v>
      </c>
      <c r="F219" s="177">
        <v>4</v>
      </c>
      <c r="G219" s="177">
        <v>5</v>
      </c>
      <c r="H219" s="177">
        <v>6</v>
      </c>
      <c r="I219" s="498">
        <v>7</v>
      </c>
      <c r="J219" s="498">
        <v>8</v>
      </c>
      <c r="K219" s="177">
        <v>9</v>
      </c>
      <c r="L219" s="177">
        <v>10</v>
      </c>
      <c r="M219" s="177">
        <v>11</v>
      </c>
      <c r="N219" s="177">
        <v>12</v>
      </c>
      <c r="O219" s="177">
        <v>13</v>
      </c>
      <c r="P219" s="498">
        <v>14</v>
      </c>
      <c r="Q219" s="498">
        <v>15</v>
      </c>
      <c r="R219" s="177">
        <v>16</v>
      </c>
      <c r="S219" s="177">
        <v>17</v>
      </c>
      <c r="T219" s="177">
        <v>18</v>
      </c>
      <c r="U219" s="177">
        <v>19</v>
      </c>
      <c r="V219" s="498">
        <v>20</v>
      </c>
      <c r="W219" s="498">
        <v>21</v>
      </c>
      <c r="X219" s="498">
        <v>22</v>
      </c>
      <c r="Y219" s="177">
        <v>23</v>
      </c>
      <c r="Z219" s="177">
        <v>24</v>
      </c>
      <c r="AA219" s="177">
        <v>25</v>
      </c>
      <c r="AB219" s="177">
        <v>26</v>
      </c>
      <c r="AC219" s="177">
        <v>27</v>
      </c>
      <c r="AD219" s="498">
        <v>28</v>
      </c>
      <c r="AE219" s="498">
        <v>29</v>
      </c>
      <c r="AF219" s="177">
        <v>30</v>
      </c>
      <c r="AG219" s="177">
        <v>31</v>
      </c>
      <c r="AH219" s="499" t="s">
        <v>470</v>
      </c>
      <c r="AI219" s="500" t="s">
        <v>471</v>
      </c>
    </row>
    <row r="220" spans="1:35" ht="21" customHeight="1" x14ac:dyDescent="0.2">
      <c r="A220" s="441"/>
      <c r="B220" s="673" t="s">
        <v>661</v>
      </c>
      <c r="C220" s="503"/>
      <c r="D220" s="503" t="s">
        <v>482</v>
      </c>
      <c r="E220" s="1078" t="s">
        <v>482</v>
      </c>
      <c r="F220" s="503" t="s">
        <v>482</v>
      </c>
      <c r="G220" s="503" t="s">
        <v>482</v>
      </c>
      <c r="H220" s="503" t="s">
        <v>482</v>
      </c>
      <c r="I220" s="503"/>
      <c r="J220" s="503"/>
      <c r="K220" s="503" t="s">
        <v>482</v>
      </c>
      <c r="L220" s="503" t="s">
        <v>482</v>
      </c>
      <c r="M220" s="503" t="s">
        <v>482</v>
      </c>
      <c r="N220" s="503" t="s">
        <v>482</v>
      </c>
      <c r="O220" s="503" t="s">
        <v>482</v>
      </c>
      <c r="P220" s="503"/>
      <c r="Q220" s="503"/>
      <c r="R220" s="503" t="s">
        <v>482</v>
      </c>
      <c r="S220" s="503" t="s">
        <v>482</v>
      </c>
      <c r="T220" s="503" t="s">
        <v>482</v>
      </c>
      <c r="U220" s="503" t="s">
        <v>482</v>
      </c>
      <c r="V220" s="503"/>
      <c r="W220" s="610"/>
      <c r="X220" s="503"/>
      <c r="Y220" s="1078" t="s">
        <v>482</v>
      </c>
      <c r="Z220" s="1078" t="s">
        <v>482</v>
      </c>
      <c r="AA220" s="503" t="s">
        <v>482</v>
      </c>
      <c r="AB220" s="503" t="s">
        <v>482</v>
      </c>
      <c r="AC220" s="503" t="s">
        <v>482</v>
      </c>
      <c r="AD220" s="553"/>
      <c r="AE220" s="553"/>
      <c r="AF220" s="503" t="s">
        <v>482</v>
      </c>
      <c r="AG220" s="503" t="s">
        <v>482</v>
      </c>
      <c r="AH220" s="693">
        <v>185</v>
      </c>
      <c r="AI220" s="694">
        <v>37</v>
      </c>
    </row>
    <row r="221" spans="1:35" ht="21" customHeight="1" x14ac:dyDescent="0.2">
      <c r="A221" s="441"/>
      <c r="B221" s="673" t="s">
        <v>662</v>
      </c>
      <c r="C221" s="503"/>
      <c r="D221" s="503" t="s">
        <v>482</v>
      </c>
      <c r="E221" s="503" t="s">
        <v>482</v>
      </c>
      <c r="F221" s="503" t="s">
        <v>482</v>
      </c>
      <c r="G221" s="1059" t="s">
        <v>482</v>
      </c>
      <c r="H221" s="503" t="s">
        <v>482</v>
      </c>
      <c r="I221" s="503"/>
      <c r="J221" s="503"/>
      <c r="K221" s="503" t="s">
        <v>482</v>
      </c>
      <c r="L221" s="503" t="s">
        <v>482</v>
      </c>
      <c r="M221" s="503" t="s">
        <v>482</v>
      </c>
      <c r="N221" s="503" t="s">
        <v>482</v>
      </c>
      <c r="O221" s="503" t="s">
        <v>482</v>
      </c>
      <c r="P221" s="503"/>
      <c r="Q221" s="503"/>
      <c r="R221" s="503" t="s">
        <v>482</v>
      </c>
      <c r="S221" s="503" t="s">
        <v>482</v>
      </c>
      <c r="T221" s="503" t="s">
        <v>482</v>
      </c>
      <c r="U221" s="503" t="s">
        <v>482</v>
      </c>
      <c r="V221" s="503"/>
      <c r="W221" s="610"/>
      <c r="X221" s="503"/>
      <c r="Y221" s="503" t="s">
        <v>482</v>
      </c>
      <c r="Z221" s="503" t="s">
        <v>482</v>
      </c>
      <c r="AA221" s="503" t="s">
        <v>482</v>
      </c>
      <c r="AB221" s="503" t="s">
        <v>482</v>
      </c>
      <c r="AC221" s="503" t="s">
        <v>482</v>
      </c>
      <c r="AD221" s="553"/>
      <c r="AE221" s="553"/>
      <c r="AF221" s="503" t="s">
        <v>482</v>
      </c>
      <c r="AG221" s="503" t="s">
        <v>482</v>
      </c>
      <c r="AH221" s="693">
        <v>177</v>
      </c>
      <c r="AI221" s="694">
        <v>37</v>
      </c>
    </row>
    <row r="222" spans="1:35" ht="21" customHeight="1" x14ac:dyDescent="0.2">
      <c r="A222" s="441"/>
      <c r="B222" s="673" t="s">
        <v>663</v>
      </c>
      <c r="C222" s="503"/>
      <c r="D222" s="503" t="s">
        <v>482</v>
      </c>
      <c r="E222" s="503" t="s">
        <v>482</v>
      </c>
      <c r="F222" s="503" t="s">
        <v>482</v>
      </c>
      <c r="G222" s="503" t="s">
        <v>482</v>
      </c>
      <c r="H222" s="503" t="s">
        <v>482</v>
      </c>
      <c r="I222" s="503"/>
      <c r="J222" s="503"/>
      <c r="K222" s="503" t="s">
        <v>482</v>
      </c>
      <c r="L222" s="503" t="s">
        <v>482</v>
      </c>
      <c r="M222" s="503" t="s">
        <v>482</v>
      </c>
      <c r="N222" s="503" t="s">
        <v>482</v>
      </c>
      <c r="O222" s="503" t="s">
        <v>482</v>
      </c>
      <c r="P222" s="503"/>
      <c r="Q222" s="503"/>
      <c r="R222" s="503" t="s">
        <v>482</v>
      </c>
      <c r="S222" s="503" t="s">
        <v>482</v>
      </c>
      <c r="T222" s="1059" t="s">
        <v>482</v>
      </c>
      <c r="U222" s="503" t="s">
        <v>482</v>
      </c>
      <c r="V222" s="503"/>
      <c r="W222" s="610"/>
      <c r="X222" s="503"/>
      <c r="Y222" s="503" t="s">
        <v>482</v>
      </c>
      <c r="Z222" s="503" t="s">
        <v>482</v>
      </c>
      <c r="AA222" s="503" t="s">
        <v>482</v>
      </c>
      <c r="AB222" s="503" t="s">
        <v>482</v>
      </c>
      <c r="AC222" s="503" t="s">
        <v>482</v>
      </c>
      <c r="AD222" s="553"/>
      <c r="AE222" s="553"/>
      <c r="AF222" s="503" t="s">
        <v>482</v>
      </c>
      <c r="AG222" s="503" t="s">
        <v>482</v>
      </c>
      <c r="AH222" s="693">
        <v>192</v>
      </c>
      <c r="AI222" s="694">
        <v>37</v>
      </c>
    </row>
    <row r="223" spans="1:35" ht="21" customHeight="1" x14ac:dyDescent="0.2">
      <c r="A223" s="441"/>
      <c r="B223" s="673" t="s">
        <v>664</v>
      </c>
      <c r="C223" s="503"/>
      <c r="D223" s="503" t="s">
        <v>482</v>
      </c>
      <c r="E223" s="503" t="s">
        <v>482</v>
      </c>
      <c r="F223" s="503" t="s">
        <v>482</v>
      </c>
      <c r="G223" s="503" t="s">
        <v>482</v>
      </c>
      <c r="H223" s="503" t="s">
        <v>482</v>
      </c>
      <c r="I223" s="503"/>
      <c r="J223" s="503"/>
      <c r="K223" s="503" t="s">
        <v>482</v>
      </c>
      <c r="L223" s="503" t="s">
        <v>482</v>
      </c>
      <c r="M223" s="503" t="s">
        <v>482</v>
      </c>
      <c r="N223" s="503" t="s">
        <v>482</v>
      </c>
      <c r="O223" s="503" t="s">
        <v>482</v>
      </c>
      <c r="P223" s="503"/>
      <c r="Q223" s="503"/>
      <c r="R223" s="503" t="s">
        <v>482</v>
      </c>
      <c r="S223" s="503" t="s">
        <v>482</v>
      </c>
      <c r="T223" s="503" t="s">
        <v>482</v>
      </c>
      <c r="U223" s="503" t="s">
        <v>482</v>
      </c>
      <c r="V223" s="503"/>
      <c r="W223" s="610"/>
      <c r="X223" s="503"/>
      <c r="Y223" s="503" t="s">
        <v>482</v>
      </c>
      <c r="Z223" s="503" t="s">
        <v>482</v>
      </c>
      <c r="AA223" s="503" t="s">
        <v>482</v>
      </c>
      <c r="AB223" s="503" t="s">
        <v>482</v>
      </c>
      <c r="AC223" s="503" t="s">
        <v>482</v>
      </c>
      <c r="AD223" s="553"/>
      <c r="AE223" s="553"/>
      <c r="AF223" s="503" t="s">
        <v>482</v>
      </c>
      <c r="AG223" s="503" t="s">
        <v>482</v>
      </c>
      <c r="AH223" s="693">
        <v>185</v>
      </c>
      <c r="AI223" s="694">
        <v>37</v>
      </c>
    </row>
    <row r="224" spans="1:35" ht="21" customHeight="1" x14ac:dyDescent="0.2">
      <c r="A224" s="441"/>
      <c r="B224" s="673" t="s">
        <v>665</v>
      </c>
      <c r="C224" s="503"/>
      <c r="D224" s="503" t="s">
        <v>482</v>
      </c>
      <c r="E224" s="503" t="s">
        <v>482</v>
      </c>
      <c r="F224" s="503" t="s">
        <v>482</v>
      </c>
      <c r="G224" s="503" t="s">
        <v>482</v>
      </c>
      <c r="H224" s="503" t="s">
        <v>482</v>
      </c>
      <c r="I224" s="503"/>
      <c r="J224" s="503"/>
      <c r="K224" s="503" t="s">
        <v>482</v>
      </c>
      <c r="L224" s="503" t="s">
        <v>482</v>
      </c>
      <c r="M224" s="503" t="s">
        <v>482</v>
      </c>
      <c r="N224" s="503" t="s">
        <v>482</v>
      </c>
      <c r="O224" s="1059" t="s">
        <v>482</v>
      </c>
      <c r="P224" s="1059"/>
      <c r="Q224" s="1059"/>
      <c r="R224" s="1059" t="s">
        <v>482</v>
      </c>
      <c r="S224" s="1059" t="s">
        <v>482</v>
      </c>
      <c r="T224" s="1059" t="s">
        <v>482</v>
      </c>
      <c r="U224" s="1059" t="s">
        <v>482</v>
      </c>
      <c r="V224" s="503"/>
      <c r="W224" s="610"/>
      <c r="X224" s="503"/>
      <c r="Y224" s="503" t="s">
        <v>482</v>
      </c>
      <c r="Z224" s="503" t="s">
        <v>482</v>
      </c>
      <c r="AA224" s="503" t="s">
        <v>482</v>
      </c>
      <c r="AB224" s="503" t="s">
        <v>482</v>
      </c>
      <c r="AC224" s="503" t="s">
        <v>482</v>
      </c>
      <c r="AD224" s="553"/>
      <c r="AE224" s="553"/>
      <c r="AF224" s="503" t="s">
        <v>482</v>
      </c>
      <c r="AG224" s="503" t="s">
        <v>482</v>
      </c>
      <c r="AH224" s="693">
        <v>148</v>
      </c>
      <c r="AI224" s="694">
        <v>37</v>
      </c>
    </row>
    <row r="225" spans="1:35" ht="21" customHeight="1" x14ac:dyDescent="0.2">
      <c r="A225" s="441"/>
      <c r="B225" s="673" t="s">
        <v>666</v>
      </c>
      <c r="C225" s="503"/>
      <c r="D225" s="503" t="s">
        <v>482</v>
      </c>
      <c r="E225" s="503" t="s">
        <v>482</v>
      </c>
      <c r="F225" s="503" t="s">
        <v>482</v>
      </c>
      <c r="G225" s="503" t="s">
        <v>482</v>
      </c>
      <c r="H225" s="503" t="s">
        <v>482</v>
      </c>
      <c r="I225" s="503"/>
      <c r="J225" s="503"/>
      <c r="K225" s="503" t="s">
        <v>482</v>
      </c>
      <c r="L225" s="503" t="s">
        <v>482</v>
      </c>
      <c r="M225" s="503" t="s">
        <v>482</v>
      </c>
      <c r="N225" s="503" t="s">
        <v>482</v>
      </c>
      <c r="O225" s="503" t="s">
        <v>482</v>
      </c>
      <c r="P225" s="503"/>
      <c r="Q225" s="503"/>
      <c r="R225" s="503" t="s">
        <v>482</v>
      </c>
      <c r="S225" s="503" t="s">
        <v>482</v>
      </c>
      <c r="T225" s="503" t="s">
        <v>482</v>
      </c>
      <c r="U225" s="503" t="s">
        <v>482</v>
      </c>
      <c r="V225" s="503"/>
      <c r="W225" s="610"/>
      <c r="X225" s="503"/>
      <c r="Y225" s="503" t="s">
        <v>482</v>
      </c>
      <c r="Z225" s="503" t="s">
        <v>482</v>
      </c>
      <c r="AA225" s="503" t="s">
        <v>482</v>
      </c>
      <c r="AB225" s="503" t="s">
        <v>482</v>
      </c>
      <c r="AC225" s="503" t="s">
        <v>482</v>
      </c>
      <c r="AD225" s="553"/>
      <c r="AE225" s="553"/>
      <c r="AF225" s="503" t="s">
        <v>482</v>
      </c>
      <c r="AG225" s="503" t="s">
        <v>482</v>
      </c>
      <c r="AH225" s="693">
        <v>185</v>
      </c>
      <c r="AI225" s="694">
        <v>37</v>
      </c>
    </row>
    <row r="226" spans="1:35" ht="21" customHeight="1" x14ac:dyDescent="0.2">
      <c r="A226" s="441"/>
      <c r="B226" s="673" t="s">
        <v>667</v>
      </c>
      <c r="C226" s="503"/>
      <c r="D226" s="503" t="s">
        <v>482</v>
      </c>
      <c r="E226" s="503" t="s">
        <v>482</v>
      </c>
      <c r="F226" s="503" t="s">
        <v>482</v>
      </c>
      <c r="G226" s="1104" t="s">
        <v>482</v>
      </c>
      <c r="H226" s="1104" t="s">
        <v>617</v>
      </c>
      <c r="I226" s="503"/>
      <c r="J226" s="503"/>
      <c r="K226" s="503" t="s">
        <v>482</v>
      </c>
      <c r="L226" s="503" t="s">
        <v>482</v>
      </c>
      <c r="M226" s="503" t="s">
        <v>482</v>
      </c>
      <c r="N226" s="503" t="s">
        <v>482</v>
      </c>
      <c r="O226" s="503" t="s">
        <v>482</v>
      </c>
      <c r="P226" s="503"/>
      <c r="Q226" s="503"/>
      <c r="R226" s="503" t="s">
        <v>482</v>
      </c>
      <c r="S226" s="503" t="s">
        <v>482</v>
      </c>
      <c r="T226" s="503" t="s">
        <v>482</v>
      </c>
      <c r="U226" s="503" t="s">
        <v>482</v>
      </c>
      <c r="V226" s="503"/>
      <c r="W226" s="610"/>
      <c r="X226" s="503"/>
      <c r="Y226" s="503" t="s">
        <v>482</v>
      </c>
      <c r="Z226" s="503" t="s">
        <v>482</v>
      </c>
      <c r="AA226" s="503" t="s">
        <v>482</v>
      </c>
      <c r="AB226" s="503" t="s">
        <v>482</v>
      </c>
      <c r="AC226" s="503" t="s">
        <v>482</v>
      </c>
      <c r="AD226" s="553"/>
      <c r="AE226" s="553"/>
      <c r="AF226" s="1059" t="s">
        <v>482</v>
      </c>
      <c r="AG226" s="503" t="s">
        <v>482</v>
      </c>
      <c r="AH226" s="693">
        <v>216</v>
      </c>
      <c r="AI226" s="694">
        <v>37</v>
      </c>
    </row>
    <row r="227" spans="1:35" ht="21" customHeight="1" x14ac:dyDescent="0.2">
      <c r="A227" s="441"/>
      <c r="B227" s="673" t="s">
        <v>668</v>
      </c>
      <c r="C227" s="503"/>
      <c r="D227" s="503" t="s">
        <v>482</v>
      </c>
      <c r="E227" s="1078" t="s">
        <v>482</v>
      </c>
      <c r="F227" s="503" t="s">
        <v>482</v>
      </c>
      <c r="G227" s="1058" t="s">
        <v>482</v>
      </c>
      <c r="H227" s="503" t="s">
        <v>482</v>
      </c>
      <c r="I227" s="503"/>
      <c r="J227" s="503"/>
      <c r="K227" s="503" t="s">
        <v>482</v>
      </c>
      <c r="L227" s="503" t="s">
        <v>482</v>
      </c>
      <c r="M227" s="503" t="s">
        <v>482</v>
      </c>
      <c r="N227" s="503" t="s">
        <v>482</v>
      </c>
      <c r="O227" s="503" t="s">
        <v>482</v>
      </c>
      <c r="P227" s="503"/>
      <c r="Q227" s="503"/>
      <c r="R227" s="503" t="s">
        <v>482</v>
      </c>
      <c r="S227" s="503" t="s">
        <v>482</v>
      </c>
      <c r="T227" s="503" t="s">
        <v>482</v>
      </c>
      <c r="U227" s="503" t="s">
        <v>482</v>
      </c>
      <c r="V227" s="503"/>
      <c r="W227" s="610"/>
      <c r="X227" s="503"/>
      <c r="Y227" s="1078" t="s">
        <v>482</v>
      </c>
      <c r="Z227" s="1078" t="s">
        <v>482</v>
      </c>
      <c r="AA227" s="503" t="s">
        <v>482</v>
      </c>
      <c r="AB227" s="503" t="s">
        <v>482</v>
      </c>
      <c r="AC227" s="503" t="s">
        <v>482</v>
      </c>
      <c r="AD227" s="553"/>
      <c r="AE227" s="553"/>
      <c r="AF227" s="503" t="s">
        <v>482</v>
      </c>
      <c r="AG227" s="503" t="s">
        <v>482</v>
      </c>
      <c r="AH227" s="693">
        <v>185</v>
      </c>
      <c r="AI227" s="694">
        <v>37</v>
      </c>
    </row>
    <row r="228" spans="1:35" ht="21" customHeight="1" x14ac:dyDescent="0.2">
      <c r="A228" s="441"/>
      <c r="B228" s="673" t="s">
        <v>669</v>
      </c>
      <c r="C228" s="503"/>
      <c r="D228" s="503" t="s">
        <v>482</v>
      </c>
      <c r="E228" s="503" t="s">
        <v>482</v>
      </c>
      <c r="F228" s="503" t="s">
        <v>482</v>
      </c>
      <c r="G228" s="503" t="s">
        <v>482</v>
      </c>
      <c r="H228" s="503" t="s">
        <v>482</v>
      </c>
      <c r="I228" s="503"/>
      <c r="J228" s="503"/>
      <c r="K228" s="503" t="s">
        <v>482</v>
      </c>
      <c r="L228" s="503" t="s">
        <v>482</v>
      </c>
      <c r="M228" s="503" t="s">
        <v>482</v>
      </c>
      <c r="N228" s="503" t="s">
        <v>482</v>
      </c>
      <c r="O228" s="503" t="s">
        <v>482</v>
      </c>
      <c r="P228" s="503"/>
      <c r="Q228" s="503"/>
      <c r="R228" s="503" t="s">
        <v>482</v>
      </c>
      <c r="S228" s="503" t="s">
        <v>482</v>
      </c>
      <c r="T228" s="503" t="s">
        <v>482</v>
      </c>
      <c r="U228" s="503" t="s">
        <v>482</v>
      </c>
      <c r="V228" s="503"/>
      <c r="W228" s="610"/>
      <c r="X228" s="503"/>
      <c r="Y228" s="503" t="s">
        <v>482</v>
      </c>
      <c r="Z228" s="503" t="s">
        <v>482</v>
      </c>
      <c r="AA228" s="503" t="s">
        <v>482</v>
      </c>
      <c r="AB228" s="503" t="s">
        <v>482</v>
      </c>
      <c r="AC228" s="503" t="s">
        <v>482</v>
      </c>
      <c r="AD228" s="553"/>
      <c r="AE228" s="553"/>
      <c r="AF228" s="503" t="s">
        <v>482</v>
      </c>
      <c r="AG228" s="503" t="s">
        <v>482</v>
      </c>
      <c r="AH228" s="693">
        <v>300</v>
      </c>
      <c r="AI228" s="694">
        <v>37</v>
      </c>
    </row>
    <row r="229" spans="1:35" ht="21" customHeight="1" x14ac:dyDescent="0.2">
      <c r="A229" s="441"/>
      <c r="B229" s="673" t="s">
        <v>670</v>
      </c>
      <c r="C229" s="503"/>
      <c r="D229" s="503" t="s">
        <v>482</v>
      </c>
      <c r="E229" s="503" t="s">
        <v>482</v>
      </c>
      <c r="F229" s="503" t="s">
        <v>482</v>
      </c>
      <c r="G229" s="503" t="s">
        <v>482</v>
      </c>
      <c r="H229" s="503" t="s">
        <v>482</v>
      </c>
      <c r="I229" s="503"/>
      <c r="J229" s="503"/>
      <c r="K229" s="503" t="s">
        <v>482</v>
      </c>
      <c r="L229" s="503" t="s">
        <v>482</v>
      </c>
      <c r="M229" s="503" t="s">
        <v>482</v>
      </c>
      <c r="N229" s="503" t="s">
        <v>482</v>
      </c>
      <c r="O229" s="503" t="s">
        <v>482</v>
      </c>
      <c r="P229" s="503"/>
      <c r="Q229" s="503"/>
      <c r="R229" s="1059" t="s">
        <v>482</v>
      </c>
      <c r="S229" s="1059" t="s">
        <v>482</v>
      </c>
      <c r="T229" s="1059" t="s">
        <v>482</v>
      </c>
      <c r="U229" s="1059" t="s">
        <v>482</v>
      </c>
      <c r="V229" s="503"/>
      <c r="W229" s="610"/>
      <c r="X229" s="503"/>
      <c r="Y229" s="503" t="s">
        <v>482</v>
      </c>
      <c r="Z229" s="503" t="s">
        <v>482</v>
      </c>
      <c r="AA229" s="503" t="s">
        <v>482</v>
      </c>
      <c r="AB229" s="503" t="s">
        <v>482</v>
      </c>
      <c r="AC229" s="503" t="s">
        <v>482</v>
      </c>
      <c r="AD229" s="553"/>
      <c r="AE229" s="553"/>
      <c r="AF229" s="1104" t="s">
        <v>482</v>
      </c>
      <c r="AG229" s="1104" t="s">
        <v>482</v>
      </c>
      <c r="AH229" s="693">
        <v>154</v>
      </c>
      <c r="AI229" s="694">
        <v>37</v>
      </c>
    </row>
    <row r="230" spans="1:35" ht="21" customHeight="1" x14ac:dyDescent="0.2">
      <c r="A230" s="441"/>
      <c r="B230" s="673"/>
      <c r="C230" s="503"/>
      <c r="D230" s="503" t="s">
        <v>482</v>
      </c>
      <c r="E230" s="503" t="s">
        <v>482</v>
      </c>
      <c r="F230" s="503" t="s">
        <v>482</v>
      </c>
      <c r="G230" s="503" t="s">
        <v>482</v>
      </c>
      <c r="H230" s="503" t="s">
        <v>482</v>
      </c>
      <c r="I230" s="503"/>
      <c r="J230" s="503"/>
      <c r="K230" s="503" t="s">
        <v>482</v>
      </c>
      <c r="L230" s="503" t="s">
        <v>482</v>
      </c>
      <c r="M230" s="503" t="s">
        <v>482</v>
      </c>
      <c r="N230" s="503" t="s">
        <v>482</v>
      </c>
      <c r="O230" s="503" t="s">
        <v>482</v>
      </c>
      <c r="P230" s="503"/>
      <c r="Q230" s="503"/>
      <c r="R230" s="503" t="s">
        <v>482</v>
      </c>
      <c r="S230" s="503" t="s">
        <v>482</v>
      </c>
      <c r="T230" s="503" t="s">
        <v>482</v>
      </c>
      <c r="U230" s="503" t="s">
        <v>482</v>
      </c>
      <c r="V230" s="503"/>
      <c r="W230" s="610"/>
      <c r="X230" s="503"/>
      <c r="Y230" s="503" t="s">
        <v>482</v>
      </c>
      <c r="Z230" s="503" t="s">
        <v>482</v>
      </c>
      <c r="AA230" s="503" t="s">
        <v>482</v>
      </c>
      <c r="AB230" s="503" t="s">
        <v>482</v>
      </c>
      <c r="AC230" s="503" t="s">
        <v>482</v>
      </c>
      <c r="AD230" s="553"/>
      <c r="AE230" s="553"/>
      <c r="AF230" s="503" t="s">
        <v>482</v>
      </c>
      <c r="AG230" s="503" t="s">
        <v>482</v>
      </c>
      <c r="AH230" s="693">
        <v>185</v>
      </c>
      <c r="AI230" s="694">
        <v>37</v>
      </c>
    </row>
    <row r="231" spans="1:35" ht="21" customHeight="1" x14ac:dyDescent="0.2">
      <c r="A231" s="441"/>
      <c r="B231" s="152" t="s">
        <v>671</v>
      </c>
      <c r="C231" s="503"/>
      <c r="D231" s="1104" t="s">
        <v>482</v>
      </c>
      <c r="E231" s="1104" t="s">
        <v>482</v>
      </c>
      <c r="F231" s="1104" t="s">
        <v>482</v>
      </c>
      <c r="G231" s="1104" t="s">
        <v>482</v>
      </c>
      <c r="H231" s="1104" t="s">
        <v>617</v>
      </c>
      <c r="I231" s="503"/>
      <c r="J231" s="503"/>
      <c r="K231" s="503" t="s">
        <v>482</v>
      </c>
      <c r="L231" s="503" t="s">
        <v>482</v>
      </c>
      <c r="M231" s="503" t="s">
        <v>482</v>
      </c>
      <c r="N231" s="503" t="s">
        <v>482</v>
      </c>
      <c r="O231" s="503" t="s">
        <v>482</v>
      </c>
      <c r="P231" s="503"/>
      <c r="Q231" s="503"/>
      <c r="R231" s="503" t="s">
        <v>482</v>
      </c>
      <c r="S231" s="503" t="s">
        <v>482</v>
      </c>
      <c r="T231" s="503" t="s">
        <v>482</v>
      </c>
      <c r="U231" s="503" t="s">
        <v>482</v>
      </c>
      <c r="V231" s="503"/>
      <c r="W231" s="610"/>
      <c r="X231" s="503"/>
      <c r="Y231" s="503" t="s">
        <v>482</v>
      </c>
      <c r="Z231" s="503" t="s">
        <v>482</v>
      </c>
      <c r="AA231" s="503" t="s">
        <v>482</v>
      </c>
      <c r="AB231" s="503" t="s">
        <v>482</v>
      </c>
      <c r="AC231" s="503" t="s">
        <v>482</v>
      </c>
      <c r="AD231" s="553"/>
      <c r="AE231" s="553"/>
      <c r="AF231" s="1104" t="s">
        <v>482</v>
      </c>
      <c r="AG231" s="1104" t="s">
        <v>482</v>
      </c>
      <c r="AH231" s="693">
        <v>185</v>
      </c>
      <c r="AI231" s="694">
        <v>37</v>
      </c>
    </row>
    <row r="232" spans="1:35" ht="21" customHeight="1" x14ac:dyDescent="0.2">
      <c r="A232" s="152"/>
      <c r="B232" s="152"/>
      <c r="C232" s="503"/>
      <c r="D232" s="503" t="s">
        <v>482</v>
      </c>
      <c r="E232" s="503" t="s">
        <v>482</v>
      </c>
      <c r="F232" s="503" t="s">
        <v>482</v>
      </c>
      <c r="G232" s="503" t="s">
        <v>482</v>
      </c>
      <c r="H232" s="503" t="s">
        <v>482</v>
      </c>
      <c r="I232" s="503"/>
      <c r="J232" s="503"/>
      <c r="K232" s="503" t="s">
        <v>482</v>
      </c>
      <c r="L232" s="503" t="s">
        <v>482</v>
      </c>
      <c r="M232" s="503" t="s">
        <v>482</v>
      </c>
      <c r="N232" s="503" t="s">
        <v>482</v>
      </c>
      <c r="O232" s="503" t="s">
        <v>482</v>
      </c>
      <c r="P232" s="503"/>
      <c r="Q232" s="503"/>
      <c r="R232" s="503" t="s">
        <v>482</v>
      </c>
      <c r="S232" s="503" t="s">
        <v>482</v>
      </c>
      <c r="T232" s="503" t="s">
        <v>482</v>
      </c>
      <c r="U232" s="503" t="s">
        <v>482</v>
      </c>
      <c r="V232" s="503"/>
      <c r="W232" s="610"/>
      <c r="X232" s="503"/>
      <c r="Y232" s="503" t="s">
        <v>482</v>
      </c>
      <c r="Z232" s="503" t="s">
        <v>482</v>
      </c>
      <c r="AA232" s="503" t="s">
        <v>482</v>
      </c>
      <c r="AB232" s="503" t="s">
        <v>482</v>
      </c>
      <c r="AC232" s="503" t="s">
        <v>482</v>
      </c>
      <c r="AD232" s="553"/>
      <c r="AE232" s="553"/>
      <c r="AF232" s="503" t="s">
        <v>482</v>
      </c>
      <c r="AG232" s="503" t="s">
        <v>482</v>
      </c>
      <c r="AH232" s="693">
        <v>185</v>
      </c>
      <c r="AI232" s="694">
        <v>37</v>
      </c>
    </row>
    <row r="233" spans="1:35" ht="21" customHeight="1" x14ac:dyDescent="0.2">
      <c r="A233" s="152"/>
      <c r="B233" s="152" t="s">
        <v>672</v>
      </c>
      <c r="C233" s="503"/>
      <c r="D233" s="503" t="s">
        <v>482</v>
      </c>
      <c r="E233" s="503" t="s">
        <v>482</v>
      </c>
      <c r="F233" s="503" t="s">
        <v>482</v>
      </c>
      <c r="G233" s="503" t="s">
        <v>482</v>
      </c>
      <c r="H233" s="503" t="s">
        <v>482</v>
      </c>
      <c r="I233" s="503"/>
      <c r="J233" s="503"/>
      <c r="K233" s="503" t="s">
        <v>482</v>
      </c>
      <c r="L233" s="503" t="s">
        <v>482</v>
      </c>
      <c r="M233" s="503" t="s">
        <v>482</v>
      </c>
      <c r="N233" s="503" t="s">
        <v>482</v>
      </c>
      <c r="O233" s="503" t="s">
        <v>482</v>
      </c>
      <c r="P233" s="503"/>
      <c r="Q233" s="503"/>
      <c r="R233" s="503" t="s">
        <v>482</v>
      </c>
      <c r="S233" s="1059" t="s">
        <v>482</v>
      </c>
      <c r="T233" s="1059" t="s">
        <v>482</v>
      </c>
      <c r="U233" s="1059" t="s">
        <v>482</v>
      </c>
      <c r="V233" s="503"/>
      <c r="W233" s="610"/>
      <c r="X233" s="503"/>
      <c r="Y233" s="503" t="s">
        <v>482</v>
      </c>
      <c r="Z233" s="503" t="s">
        <v>482</v>
      </c>
      <c r="AA233" s="503" t="s">
        <v>482</v>
      </c>
      <c r="AB233" s="503" t="s">
        <v>482</v>
      </c>
      <c r="AC233" s="503" t="s">
        <v>482</v>
      </c>
      <c r="AD233" s="553"/>
      <c r="AE233" s="553"/>
      <c r="AF233" s="503" t="s">
        <v>482</v>
      </c>
      <c r="AG233" s="503" t="s">
        <v>482</v>
      </c>
      <c r="AH233" s="693">
        <v>162</v>
      </c>
      <c r="AI233" s="694">
        <v>37</v>
      </c>
    </row>
    <row r="234" spans="1:35" ht="21" customHeight="1" x14ac:dyDescent="0.2">
      <c r="A234" s="152"/>
      <c r="B234" s="152" t="s">
        <v>673</v>
      </c>
      <c r="C234" s="503"/>
      <c r="D234" s="503" t="s">
        <v>482</v>
      </c>
      <c r="E234" s="503" t="s">
        <v>482</v>
      </c>
      <c r="F234" s="503" t="s">
        <v>482</v>
      </c>
      <c r="G234" s="503" t="s">
        <v>482</v>
      </c>
      <c r="H234" s="503" t="s">
        <v>482</v>
      </c>
      <c r="I234" s="503"/>
      <c r="J234" s="503"/>
      <c r="K234" s="503" t="s">
        <v>482</v>
      </c>
      <c r="L234" s="503" t="s">
        <v>482</v>
      </c>
      <c r="M234" s="503" t="s">
        <v>482</v>
      </c>
      <c r="N234" s="503" t="s">
        <v>482</v>
      </c>
      <c r="O234" s="503" t="s">
        <v>482</v>
      </c>
      <c r="P234" s="503"/>
      <c r="Q234" s="503"/>
      <c r="R234" s="1059" t="s">
        <v>482</v>
      </c>
      <c r="S234" s="1059" t="s">
        <v>482</v>
      </c>
      <c r="T234" s="1059" t="s">
        <v>482</v>
      </c>
      <c r="U234" s="1059" t="s">
        <v>482</v>
      </c>
      <c r="V234" s="503"/>
      <c r="W234" s="610"/>
      <c r="X234" s="503"/>
      <c r="Y234" s="503" t="s">
        <v>482</v>
      </c>
      <c r="Z234" s="503" t="s">
        <v>482</v>
      </c>
      <c r="AA234" s="503" t="s">
        <v>482</v>
      </c>
      <c r="AB234" s="503" t="s">
        <v>482</v>
      </c>
      <c r="AC234" s="503" t="s">
        <v>482</v>
      </c>
      <c r="AD234" s="553"/>
      <c r="AE234" s="553"/>
      <c r="AF234" s="503" t="s">
        <v>482</v>
      </c>
      <c r="AG234" s="503" t="s">
        <v>482</v>
      </c>
      <c r="AH234" s="693">
        <v>154</v>
      </c>
      <c r="AI234" s="694">
        <v>37</v>
      </c>
    </row>
    <row r="235" spans="1:35" ht="21" customHeight="1" x14ac:dyDescent="0.2">
      <c r="A235" s="152"/>
      <c r="B235" s="152"/>
      <c r="C235" s="503"/>
      <c r="D235" s="503" t="s">
        <v>482</v>
      </c>
      <c r="E235" s="503" t="s">
        <v>482</v>
      </c>
      <c r="F235" s="503" t="s">
        <v>482</v>
      </c>
      <c r="G235" s="503" t="s">
        <v>482</v>
      </c>
      <c r="H235" s="503" t="s">
        <v>482</v>
      </c>
      <c r="I235" s="503"/>
      <c r="J235" s="503"/>
      <c r="K235" s="503" t="s">
        <v>482</v>
      </c>
      <c r="L235" s="503" t="s">
        <v>482</v>
      </c>
      <c r="M235" s="503" t="s">
        <v>482</v>
      </c>
      <c r="N235" s="503" t="s">
        <v>482</v>
      </c>
      <c r="O235" s="503" t="s">
        <v>482</v>
      </c>
      <c r="P235" s="503"/>
      <c r="Q235" s="503"/>
      <c r="R235" s="503" t="s">
        <v>482</v>
      </c>
      <c r="S235" s="503" t="s">
        <v>482</v>
      </c>
      <c r="T235" s="503" t="s">
        <v>482</v>
      </c>
      <c r="U235" s="503" t="s">
        <v>482</v>
      </c>
      <c r="V235" s="503"/>
      <c r="W235" s="610"/>
      <c r="X235" s="503"/>
      <c r="Y235" s="503" t="s">
        <v>482</v>
      </c>
      <c r="Z235" s="503" t="s">
        <v>482</v>
      </c>
      <c r="AA235" s="503" t="s">
        <v>482</v>
      </c>
      <c r="AB235" s="503" t="s">
        <v>482</v>
      </c>
      <c r="AC235" s="503" t="s">
        <v>482</v>
      </c>
      <c r="AD235" s="553"/>
      <c r="AE235" s="553"/>
      <c r="AF235" s="503" t="s">
        <v>482</v>
      </c>
      <c r="AG235" s="503" t="s">
        <v>482</v>
      </c>
      <c r="AH235" s="693">
        <v>185</v>
      </c>
      <c r="AI235" s="694">
        <v>37</v>
      </c>
    </row>
    <row r="236" spans="1:35" ht="21" customHeight="1" x14ac:dyDescent="0.2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AC236" s="152"/>
      <c r="AD236" s="152"/>
      <c r="AE236" s="152"/>
      <c r="AF236" s="152"/>
      <c r="AG236" s="154"/>
      <c r="AH236" s="328"/>
      <c r="AI236" s="190"/>
    </row>
    <row r="237" spans="1:35" ht="21" customHeight="1" x14ac:dyDescent="0.2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AC237" s="152"/>
      <c r="AD237" s="152"/>
      <c r="AE237" s="152"/>
      <c r="AF237" s="152"/>
      <c r="AG237" s="154"/>
      <c r="AH237" s="328"/>
      <c r="AI237" s="190"/>
    </row>
    <row r="238" spans="1:35" ht="21" customHeight="1" x14ac:dyDescent="0.2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AC238" s="152"/>
      <c r="AD238" s="152"/>
      <c r="AE238" s="152"/>
      <c r="AF238" s="152"/>
      <c r="AG238" s="154"/>
      <c r="AH238" s="330"/>
      <c r="AI238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19" max="16383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5"/>
  <dimension ref="A1:AM238"/>
  <sheetViews>
    <sheetView topLeftCell="A67" zoomScale="67" zoomScaleNormal="67" workbookViewId="0">
      <selection activeCell="AJ35" sqref="AJ35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177">
        <v>1</v>
      </c>
      <c r="D10" s="497">
        <v>2</v>
      </c>
      <c r="E10" s="177">
        <v>3</v>
      </c>
      <c r="F10" s="497">
        <v>4</v>
      </c>
      <c r="G10" s="497">
        <v>5</v>
      </c>
      <c r="H10" s="177">
        <v>6</v>
      </c>
      <c r="I10" s="177">
        <v>7</v>
      </c>
      <c r="J10" s="177">
        <v>8</v>
      </c>
      <c r="K10" s="177">
        <v>9</v>
      </c>
      <c r="L10" s="177">
        <v>10</v>
      </c>
      <c r="M10" s="497">
        <v>11</v>
      </c>
      <c r="N10" s="497">
        <v>12</v>
      </c>
      <c r="O10" s="497">
        <v>13</v>
      </c>
      <c r="P10" s="177">
        <v>14</v>
      </c>
      <c r="Q10" s="177">
        <v>15</v>
      </c>
      <c r="R10" s="177">
        <v>16</v>
      </c>
      <c r="S10" s="177">
        <v>17</v>
      </c>
      <c r="T10" s="497">
        <v>18</v>
      </c>
      <c r="U10" s="497">
        <v>19</v>
      </c>
      <c r="V10" s="177">
        <v>20</v>
      </c>
      <c r="W10" s="177">
        <v>21</v>
      </c>
      <c r="X10" s="177">
        <v>22</v>
      </c>
      <c r="Y10" s="177">
        <v>23</v>
      </c>
      <c r="Z10" s="177">
        <v>24</v>
      </c>
      <c r="AA10" s="497">
        <v>25</v>
      </c>
      <c r="AB10" s="497">
        <v>26</v>
      </c>
      <c r="AC10" s="177">
        <v>27</v>
      </c>
      <c r="AD10" s="177">
        <v>28</v>
      </c>
      <c r="AE10" s="177">
        <v>29</v>
      </c>
      <c r="AF10" s="177">
        <v>30</v>
      </c>
      <c r="AG10" s="177"/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x14ac:dyDescent="0.2">
      <c r="A13" s="512">
        <v>8546</v>
      </c>
      <c r="B13" s="513" t="s">
        <v>473</v>
      </c>
      <c r="C13" s="1103">
        <v>1</v>
      </c>
      <c r="D13" s="514">
        <v>1</v>
      </c>
      <c r="E13" s="1103">
        <v>1</v>
      </c>
      <c r="F13" s="514"/>
      <c r="G13" s="514"/>
      <c r="H13" s="503">
        <v>2</v>
      </c>
      <c r="I13" s="514">
        <v>2</v>
      </c>
      <c r="J13" s="514">
        <v>2</v>
      </c>
      <c r="K13" s="514">
        <v>2</v>
      </c>
      <c r="L13" s="514">
        <v>2</v>
      </c>
      <c r="M13" s="514" t="s">
        <v>474</v>
      </c>
      <c r="N13" s="514" t="s">
        <v>474</v>
      </c>
      <c r="O13" s="514" t="s">
        <v>475</v>
      </c>
      <c r="P13" s="514" t="s">
        <v>475</v>
      </c>
      <c r="Q13" s="514" t="s">
        <v>475</v>
      </c>
      <c r="R13" s="514" t="s">
        <v>475</v>
      </c>
      <c r="S13" s="514" t="s">
        <v>475</v>
      </c>
      <c r="T13" s="514"/>
      <c r="U13" s="514"/>
      <c r="V13" s="514">
        <v>3</v>
      </c>
      <c r="W13" s="514">
        <v>3</v>
      </c>
      <c r="X13" s="514">
        <v>3</v>
      </c>
      <c r="Y13" s="514">
        <v>3</v>
      </c>
      <c r="Z13" s="514">
        <v>3</v>
      </c>
      <c r="AA13" s="514"/>
      <c r="AB13" s="514"/>
      <c r="AC13" s="514">
        <v>4</v>
      </c>
      <c r="AD13" s="514">
        <v>4</v>
      </c>
      <c r="AE13" s="514">
        <v>4</v>
      </c>
      <c r="AF13" s="514">
        <v>4</v>
      </c>
      <c r="AG13" s="515"/>
      <c r="AH13" s="516">
        <v>193</v>
      </c>
      <c r="AI13" s="517">
        <v>37</v>
      </c>
    </row>
    <row r="14" spans="1:35" ht="21.95" customHeight="1" x14ac:dyDescent="0.2">
      <c r="A14" s="501">
        <v>8546</v>
      </c>
      <c r="B14" s="346" t="s">
        <v>477</v>
      </c>
      <c r="C14" s="503">
        <v>4</v>
      </c>
      <c r="D14" s="503">
        <v>4</v>
      </c>
      <c r="E14" s="503">
        <v>4</v>
      </c>
      <c r="F14" s="503" t="s">
        <v>476</v>
      </c>
      <c r="G14" s="503" t="s">
        <v>476</v>
      </c>
      <c r="H14" s="503" t="s">
        <v>475</v>
      </c>
      <c r="I14" s="503" t="s">
        <v>475</v>
      </c>
      <c r="J14" s="503" t="s">
        <v>475</v>
      </c>
      <c r="K14" s="503" t="s">
        <v>475</v>
      </c>
      <c r="L14" s="503" t="s">
        <v>475</v>
      </c>
      <c r="M14" s="503"/>
      <c r="N14" s="503"/>
      <c r="O14" s="503">
        <v>1</v>
      </c>
      <c r="P14" s="503">
        <v>1</v>
      </c>
      <c r="Q14" s="503">
        <v>1</v>
      </c>
      <c r="R14" s="503">
        <v>1</v>
      </c>
      <c r="S14" s="503">
        <v>1</v>
      </c>
      <c r="T14" s="503"/>
      <c r="U14" s="503"/>
      <c r="V14" s="518">
        <v>2</v>
      </c>
      <c r="W14" s="518">
        <v>2</v>
      </c>
      <c r="X14" s="518">
        <v>2</v>
      </c>
      <c r="Y14" s="518">
        <v>2</v>
      </c>
      <c r="Z14" s="518">
        <v>2</v>
      </c>
      <c r="AA14" s="518" t="s">
        <v>474</v>
      </c>
      <c r="AB14" s="518" t="s">
        <v>474</v>
      </c>
      <c r="AC14" s="503" t="s">
        <v>475</v>
      </c>
      <c r="AD14" s="503" t="s">
        <v>475</v>
      </c>
      <c r="AE14" s="503" t="s">
        <v>475</v>
      </c>
      <c r="AF14" s="503" t="s">
        <v>475</v>
      </c>
      <c r="AG14" s="504"/>
      <c r="AH14" s="516">
        <v>185</v>
      </c>
      <c r="AI14" s="517">
        <v>37</v>
      </c>
    </row>
    <row r="15" spans="1:35" ht="21.95" customHeight="1" x14ac:dyDescent="0.2">
      <c r="A15" s="501">
        <v>8546</v>
      </c>
      <c r="B15" s="346" t="s">
        <v>174</v>
      </c>
      <c r="C15" s="503" t="s">
        <v>475</v>
      </c>
      <c r="D15" s="503" t="s">
        <v>475</v>
      </c>
      <c r="E15" s="503" t="s">
        <v>475</v>
      </c>
      <c r="F15" s="503"/>
      <c r="G15" s="503"/>
      <c r="H15" s="1058">
        <v>1</v>
      </c>
      <c r="I15" s="1058">
        <v>1</v>
      </c>
      <c r="J15" s="1058">
        <v>1</v>
      </c>
      <c r="K15" s="1058">
        <v>1</v>
      </c>
      <c r="L15" s="1058">
        <v>1</v>
      </c>
      <c r="M15" s="503"/>
      <c r="N15" s="503"/>
      <c r="O15" s="1059">
        <v>2</v>
      </c>
      <c r="P15" s="1059">
        <v>2</v>
      </c>
      <c r="Q15" s="1059">
        <v>2</v>
      </c>
      <c r="R15" s="1059">
        <v>2</v>
      </c>
      <c r="S15" s="1059">
        <v>2</v>
      </c>
      <c r="T15" s="1059" t="s">
        <v>474</v>
      </c>
      <c r="U15" s="1059" t="s">
        <v>474</v>
      </c>
      <c r="V15" s="1059" t="s">
        <v>475</v>
      </c>
      <c r="W15" s="1059" t="s">
        <v>475</v>
      </c>
      <c r="X15" s="1059" t="s">
        <v>475</v>
      </c>
      <c r="Y15" s="1059" t="s">
        <v>475</v>
      </c>
      <c r="Z15" s="1059" t="s">
        <v>475</v>
      </c>
      <c r="AA15" s="1059"/>
      <c r="AB15" s="1059"/>
      <c r="AC15" s="1059">
        <v>3</v>
      </c>
      <c r="AD15" s="1059">
        <v>3</v>
      </c>
      <c r="AE15" s="1059">
        <v>3</v>
      </c>
      <c r="AF15" s="1059">
        <v>3</v>
      </c>
      <c r="AG15" s="504"/>
      <c r="AH15" s="516">
        <v>96</v>
      </c>
      <c r="AI15" s="517">
        <v>37</v>
      </c>
    </row>
    <row r="16" spans="1:35" ht="21.95" customHeight="1" x14ac:dyDescent="0.2">
      <c r="A16" s="501">
        <v>8546</v>
      </c>
      <c r="B16" s="346" t="s">
        <v>478</v>
      </c>
      <c r="C16" s="503" t="s">
        <v>475</v>
      </c>
      <c r="D16" s="503" t="s">
        <v>475</v>
      </c>
      <c r="E16" s="503" t="s">
        <v>475</v>
      </c>
      <c r="F16" s="503"/>
      <c r="G16" s="503"/>
      <c r="H16" s="503">
        <v>3</v>
      </c>
      <c r="I16" s="503">
        <v>3</v>
      </c>
      <c r="J16" s="503">
        <v>3</v>
      </c>
      <c r="K16" s="503">
        <v>3</v>
      </c>
      <c r="L16" s="503">
        <v>3</v>
      </c>
      <c r="M16" s="503"/>
      <c r="N16" s="503"/>
      <c r="O16" s="1059">
        <v>4</v>
      </c>
      <c r="P16" s="1059">
        <v>4</v>
      </c>
      <c r="Q16" s="1059">
        <v>4</v>
      </c>
      <c r="R16" s="1059">
        <v>4</v>
      </c>
      <c r="S16" s="1059">
        <v>4</v>
      </c>
      <c r="T16" s="1059" t="s">
        <v>476</v>
      </c>
      <c r="U16" s="1059" t="s">
        <v>476</v>
      </c>
      <c r="V16" s="1059" t="s">
        <v>475</v>
      </c>
      <c r="W16" s="1059" t="s">
        <v>475</v>
      </c>
      <c r="X16" s="1059" t="s">
        <v>475</v>
      </c>
      <c r="Y16" s="1059" t="s">
        <v>475</v>
      </c>
      <c r="Z16" s="1059" t="s">
        <v>475</v>
      </c>
      <c r="AA16" s="1059"/>
      <c r="AB16" s="1059"/>
      <c r="AC16" s="1059">
        <v>1</v>
      </c>
      <c r="AD16" s="1059">
        <v>1</v>
      </c>
      <c r="AE16" s="1059">
        <v>1</v>
      </c>
      <c r="AF16" s="1059">
        <v>1</v>
      </c>
      <c r="AG16" s="504"/>
      <c r="AH16" s="516">
        <v>78</v>
      </c>
      <c r="AI16" s="517">
        <v>37</v>
      </c>
    </row>
    <row r="17" spans="1:37" ht="21.95" customHeight="1" x14ac:dyDescent="0.2">
      <c r="A17" s="501">
        <v>8546</v>
      </c>
      <c r="B17" s="346" t="s">
        <v>479</v>
      </c>
      <c r="C17" s="503">
        <v>2</v>
      </c>
      <c r="D17" s="503">
        <v>2</v>
      </c>
      <c r="E17" s="503">
        <v>2</v>
      </c>
      <c r="F17" s="503" t="s">
        <v>474</v>
      </c>
      <c r="G17" s="503" t="s">
        <v>474</v>
      </c>
      <c r="H17" s="503" t="s">
        <v>475</v>
      </c>
      <c r="I17" s="503" t="s">
        <v>475</v>
      </c>
      <c r="J17" s="503" t="s">
        <v>475</v>
      </c>
      <c r="K17" s="503" t="s">
        <v>475</v>
      </c>
      <c r="L17" s="503" t="s">
        <v>475</v>
      </c>
      <c r="M17" s="503"/>
      <c r="N17" s="503"/>
      <c r="O17" s="503">
        <v>3</v>
      </c>
      <c r="P17" s="503">
        <v>3</v>
      </c>
      <c r="Q17" s="503">
        <v>3</v>
      </c>
      <c r="R17" s="503">
        <v>3</v>
      </c>
      <c r="S17" s="1058">
        <v>3</v>
      </c>
      <c r="T17" s="503"/>
      <c r="U17" s="503"/>
      <c r="V17" s="503">
        <v>4</v>
      </c>
      <c r="W17" s="503">
        <v>4</v>
      </c>
      <c r="X17" s="503">
        <v>4</v>
      </c>
      <c r="Y17" s="503">
        <v>4</v>
      </c>
      <c r="Z17" s="503">
        <v>4</v>
      </c>
      <c r="AA17" s="503" t="s">
        <v>476</v>
      </c>
      <c r="AB17" s="503" t="s">
        <v>476</v>
      </c>
      <c r="AC17" s="503" t="s">
        <v>475</v>
      </c>
      <c r="AD17" s="503" t="s">
        <v>475</v>
      </c>
      <c r="AE17" s="503" t="s">
        <v>475</v>
      </c>
      <c r="AF17" s="503" t="s">
        <v>475</v>
      </c>
      <c r="AG17" s="504"/>
      <c r="AH17" s="516">
        <v>213</v>
      </c>
      <c r="AI17" s="517">
        <v>37</v>
      </c>
    </row>
    <row r="18" spans="1:37" ht="21.95" customHeight="1" x14ac:dyDescent="0.2">
      <c r="A18" s="501">
        <v>8546</v>
      </c>
      <c r="B18" s="346" t="s">
        <v>480</v>
      </c>
      <c r="C18" s="503">
        <v>3</v>
      </c>
      <c r="D18" s="503">
        <v>3</v>
      </c>
      <c r="E18" s="503">
        <v>3</v>
      </c>
      <c r="F18" s="503"/>
      <c r="G18" s="503"/>
      <c r="H18" s="503">
        <v>4</v>
      </c>
      <c r="I18" s="503">
        <v>4</v>
      </c>
      <c r="J18" s="503">
        <v>4</v>
      </c>
      <c r="K18" s="503">
        <v>4</v>
      </c>
      <c r="L18" s="503">
        <v>4</v>
      </c>
      <c r="M18" s="503" t="s">
        <v>476</v>
      </c>
      <c r="N18" s="503" t="s">
        <v>476</v>
      </c>
      <c r="O18" s="503" t="s">
        <v>475</v>
      </c>
      <c r="P18" s="503" t="s">
        <v>475</v>
      </c>
      <c r="Q18" s="503" t="s">
        <v>475</v>
      </c>
      <c r="R18" s="503" t="s">
        <v>475</v>
      </c>
      <c r="S18" s="503" t="s">
        <v>475</v>
      </c>
      <c r="T18" s="503"/>
      <c r="U18" s="503"/>
      <c r="V18" s="503">
        <v>1</v>
      </c>
      <c r="W18" s="503">
        <v>1</v>
      </c>
      <c r="X18" s="503">
        <v>1</v>
      </c>
      <c r="Y18" s="503">
        <v>1</v>
      </c>
      <c r="Z18" s="1058">
        <v>1</v>
      </c>
      <c r="AA18" s="503"/>
      <c r="AB18" s="503"/>
      <c r="AC18" s="503">
        <v>2</v>
      </c>
      <c r="AD18" s="503">
        <v>2</v>
      </c>
      <c r="AE18" s="503">
        <v>2</v>
      </c>
      <c r="AF18" s="503">
        <v>2</v>
      </c>
      <c r="AG18" s="504"/>
      <c r="AH18" s="516">
        <v>173</v>
      </c>
      <c r="AI18" s="517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10"/>
      <c r="AI19" s="511"/>
    </row>
    <row r="20" spans="1:37" ht="21.95" customHeight="1" x14ac:dyDescent="0.2">
      <c r="A20" s="501">
        <v>8500</v>
      </c>
      <c r="B20" s="185" t="s">
        <v>188</v>
      </c>
      <c r="C20" s="1058" t="s">
        <v>482</v>
      </c>
      <c r="D20" s="503"/>
      <c r="E20" s="1058" t="s">
        <v>482</v>
      </c>
      <c r="F20" s="503" t="s">
        <v>484</v>
      </c>
      <c r="H20" s="503">
        <v>1</v>
      </c>
      <c r="I20" s="503">
        <v>1</v>
      </c>
      <c r="J20" s="503">
        <v>1</v>
      </c>
      <c r="K20" s="503">
        <v>1</v>
      </c>
      <c r="L20" s="503">
        <v>1</v>
      </c>
      <c r="M20" s="503"/>
      <c r="N20" s="503"/>
      <c r="O20" s="503">
        <v>2</v>
      </c>
      <c r="P20" s="503">
        <v>2</v>
      </c>
      <c r="Q20" s="503">
        <v>2</v>
      </c>
      <c r="R20" s="503">
        <v>2</v>
      </c>
      <c r="S20" s="503">
        <v>2</v>
      </c>
      <c r="T20" s="503" t="s">
        <v>474</v>
      </c>
      <c r="U20" s="503" t="s">
        <v>474</v>
      </c>
      <c r="V20" s="503" t="s">
        <v>475</v>
      </c>
      <c r="W20" s="503" t="s">
        <v>475</v>
      </c>
      <c r="X20" s="503" t="s">
        <v>475</v>
      </c>
      <c r="Y20" s="503" t="s">
        <v>475</v>
      </c>
      <c r="Z20" s="503" t="s">
        <v>475</v>
      </c>
      <c r="AA20" s="503"/>
      <c r="AB20" s="503"/>
      <c r="AC20" s="503">
        <v>3</v>
      </c>
      <c r="AD20" s="503">
        <v>3</v>
      </c>
      <c r="AE20" s="503">
        <v>3</v>
      </c>
      <c r="AF20" s="503">
        <v>3</v>
      </c>
      <c r="AG20" s="695"/>
      <c r="AH20" s="505">
        <v>199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03">
        <v>1</v>
      </c>
      <c r="D21" s="503"/>
      <c r="E21" s="503">
        <v>1</v>
      </c>
      <c r="F21" s="503"/>
      <c r="G21" s="503"/>
      <c r="H21" s="503" t="s">
        <v>482</v>
      </c>
      <c r="I21" s="503" t="s">
        <v>482</v>
      </c>
      <c r="J21" s="503" t="s">
        <v>482</v>
      </c>
      <c r="K21" s="503" t="s">
        <v>482</v>
      </c>
      <c r="L21" s="503" t="s">
        <v>482</v>
      </c>
      <c r="M21" s="503"/>
      <c r="N21" s="503"/>
      <c r="O21" s="503">
        <v>4</v>
      </c>
      <c r="P21" s="503">
        <v>4</v>
      </c>
      <c r="Q21" s="503">
        <v>4</v>
      </c>
      <c r="R21" s="503">
        <v>4</v>
      </c>
      <c r="S21" s="503">
        <v>4</v>
      </c>
      <c r="T21" s="503" t="s">
        <v>476</v>
      </c>
      <c r="U21" s="503" t="s">
        <v>476</v>
      </c>
      <c r="V21" s="503" t="s">
        <v>475</v>
      </c>
      <c r="W21" s="503" t="s">
        <v>475</v>
      </c>
      <c r="X21" s="503" t="s">
        <v>475</v>
      </c>
      <c r="Y21" s="503" t="s">
        <v>475</v>
      </c>
      <c r="Z21" s="503" t="s">
        <v>475</v>
      </c>
      <c r="AA21" s="503"/>
      <c r="AB21" s="503"/>
      <c r="AC21" s="503">
        <v>1</v>
      </c>
      <c r="AD21" s="503">
        <v>1</v>
      </c>
      <c r="AE21" s="503">
        <v>1</v>
      </c>
      <c r="AF21" s="503">
        <v>1</v>
      </c>
      <c r="AG21" s="503"/>
      <c r="AH21" s="505">
        <v>185</v>
      </c>
      <c r="AI21" s="506">
        <v>37</v>
      </c>
    </row>
    <row r="22" spans="1:37" ht="21.95" customHeight="1" thickBot="1" x14ac:dyDescent="0.25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528" t="s">
        <v>488</v>
      </c>
      <c r="N31" s="527"/>
      <c r="O31" s="527"/>
      <c r="P31" s="527"/>
      <c r="Q31" s="527"/>
      <c r="R31" s="527"/>
      <c r="S31" s="529"/>
      <c r="T31" s="529" t="s">
        <v>489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8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8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8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8" ht="21.95" customHeight="1" thickBot="1" x14ac:dyDescent="0.25">
      <c r="A36" s="547" t="s">
        <v>468</v>
      </c>
      <c r="B36" s="181" t="s">
        <v>469</v>
      </c>
      <c r="C36" s="177">
        <v>1</v>
      </c>
      <c r="D36" s="497">
        <v>2</v>
      </c>
      <c r="E36" s="177">
        <v>3</v>
      </c>
      <c r="F36" s="497">
        <v>4</v>
      </c>
      <c r="G36" s="497">
        <v>5</v>
      </c>
      <c r="H36" s="177">
        <v>6</v>
      </c>
      <c r="I36" s="177">
        <v>7</v>
      </c>
      <c r="J36" s="177">
        <v>8</v>
      </c>
      <c r="K36" s="177">
        <v>9</v>
      </c>
      <c r="L36" s="177">
        <v>10</v>
      </c>
      <c r="M36" s="497">
        <v>11</v>
      </c>
      <c r="N36" s="497">
        <v>12</v>
      </c>
      <c r="O36" s="497">
        <v>13</v>
      </c>
      <c r="P36" s="177">
        <v>14</v>
      </c>
      <c r="Q36" s="177">
        <v>15</v>
      </c>
      <c r="R36" s="177">
        <v>16</v>
      </c>
      <c r="S36" s="177">
        <v>17</v>
      </c>
      <c r="T36" s="497">
        <v>18</v>
      </c>
      <c r="U36" s="497">
        <v>19</v>
      </c>
      <c r="V36" s="177">
        <v>20</v>
      </c>
      <c r="W36" s="177">
        <v>21</v>
      </c>
      <c r="X36" s="177">
        <v>22</v>
      </c>
      <c r="Y36" s="177">
        <v>23</v>
      </c>
      <c r="Z36" s="177">
        <v>24</v>
      </c>
      <c r="AA36" s="497">
        <v>25</v>
      </c>
      <c r="AB36" s="497">
        <v>26</v>
      </c>
      <c r="AC36" s="177">
        <v>27</v>
      </c>
      <c r="AD36" s="177">
        <v>28</v>
      </c>
      <c r="AE36" s="177">
        <v>29</v>
      </c>
      <c r="AF36" s="177">
        <v>30</v>
      </c>
      <c r="AG36" s="177"/>
      <c r="AH36" s="499" t="s">
        <v>470</v>
      </c>
      <c r="AI36" s="697" t="s">
        <v>471</v>
      </c>
    </row>
    <row r="37" spans="1:38" ht="21.95" customHeight="1" x14ac:dyDescent="0.2">
      <c r="A37" s="548">
        <v>1</v>
      </c>
      <c r="B37" s="7" t="s">
        <v>502</v>
      </c>
      <c r="C37" s="549">
        <v>9</v>
      </c>
      <c r="D37" s="549">
        <v>9</v>
      </c>
      <c r="E37" s="549">
        <v>9</v>
      </c>
      <c r="F37" s="549" t="s">
        <v>511</v>
      </c>
      <c r="G37" s="549" t="s">
        <v>507</v>
      </c>
      <c r="H37" s="549" t="s">
        <v>475</v>
      </c>
      <c r="I37" s="549" t="s">
        <v>475</v>
      </c>
      <c r="J37" s="549" t="s">
        <v>475</v>
      </c>
      <c r="K37" s="549" t="s">
        <v>475</v>
      </c>
      <c r="L37" s="549" t="s">
        <v>475</v>
      </c>
      <c r="M37" s="549"/>
      <c r="N37" s="549"/>
      <c r="O37" s="1071">
        <v>6</v>
      </c>
      <c r="P37" s="1071">
        <v>6</v>
      </c>
      <c r="Q37" s="1071">
        <v>6</v>
      </c>
      <c r="R37" s="1071">
        <v>6</v>
      </c>
      <c r="S37" s="1071">
        <v>6</v>
      </c>
      <c r="T37" s="1071" t="s">
        <v>508</v>
      </c>
      <c r="U37" s="1071" t="s">
        <v>504</v>
      </c>
      <c r="V37" s="1071" t="s">
        <v>475</v>
      </c>
      <c r="W37" s="1071" t="s">
        <v>475</v>
      </c>
      <c r="X37" s="1071" t="s">
        <v>475</v>
      </c>
      <c r="Y37" s="1071" t="s">
        <v>475</v>
      </c>
      <c r="Z37" s="1071" t="s">
        <v>475</v>
      </c>
      <c r="AA37" s="1071"/>
      <c r="AB37" s="1071"/>
      <c r="AC37" s="1071">
        <v>5</v>
      </c>
      <c r="AD37" s="1071">
        <v>5</v>
      </c>
      <c r="AE37" s="1071">
        <v>5</v>
      </c>
      <c r="AF37" s="1071">
        <v>5</v>
      </c>
      <c r="AG37" s="550"/>
      <c r="AH37" s="505">
        <v>91</v>
      </c>
      <c r="AI37" s="506">
        <v>37</v>
      </c>
      <c r="AL37" s="1451"/>
    </row>
    <row r="38" spans="1:38" ht="21.95" customHeight="1" x14ac:dyDescent="0.2">
      <c r="A38" s="551">
        <v>6</v>
      </c>
      <c r="B38" s="614" t="s">
        <v>506</v>
      </c>
      <c r="C38" s="1083">
        <v>10</v>
      </c>
      <c r="D38" s="1083">
        <v>10</v>
      </c>
      <c r="E38" s="1083">
        <v>10</v>
      </c>
      <c r="F38" s="1083" t="s">
        <v>507</v>
      </c>
      <c r="G38" s="553" t="s">
        <v>507</v>
      </c>
      <c r="H38" s="553" t="s">
        <v>475</v>
      </c>
      <c r="I38" s="553" t="s">
        <v>475</v>
      </c>
      <c r="J38" s="553" t="s">
        <v>475</v>
      </c>
      <c r="K38" s="553" t="s">
        <v>475</v>
      </c>
      <c r="L38" s="553" t="s">
        <v>475</v>
      </c>
      <c r="M38" s="553" t="s">
        <v>505</v>
      </c>
      <c r="N38" s="553" t="s">
        <v>505</v>
      </c>
      <c r="O38" s="553">
        <v>7</v>
      </c>
      <c r="P38" s="553">
        <v>7</v>
      </c>
      <c r="Q38" s="553">
        <v>7</v>
      </c>
      <c r="R38" s="553">
        <v>7</v>
      </c>
      <c r="S38" s="553">
        <v>7</v>
      </c>
      <c r="T38" s="553"/>
      <c r="U38" s="553"/>
      <c r="V38" s="553">
        <v>4</v>
      </c>
      <c r="W38" s="553">
        <v>4</v>
      </c>
      <c r="X38" s="553">
        <v>4</v>
      </c>
      <c r="Y38" s="553">
        <v>4</v>
      </c>
      <c r="Z38" s="553">
        <v>4</v>
      </c>
      <c r="AA38" s="553"/>
      <c r="AB38" s="553"/>
      <c r="AC38" s="553">
        <v>3</v>
      </c>
      <c r="AD38" s="553">
        <v>3</v>
      </c>
      <c r="AE38" s="553">
        <v>3</v>
      </c>
      <c r="AF38" s="553">
        <v>3</v>
      </c>
      <c r="AG38" s="554"/>
      <c r="AH38" s="505">
        <v>185</v>
      </c>
      <c r="AI38" s="506">
        <v>37</v>
      </c>
    </row>
    <row r="39" spans="1:38" ht="21.95" customHeight="1" thickBot="1" x14ac:dyDescent="0.25">
      <c r="A39" s="555">
        <v>11</v>
      </c>
      <c r="B39" s="698" t="s">
        <v>509</v>
      </c>
      <c r="C39" s="557">
        <v>11</v>
      </c>
      <c r="D39" s="557">
        <v>11</v>
      </c>
      <c r="E39" s="557">
        <v>11</v>
      </c>
      <c r="F39" s="557" t="s">
        <v>503</v>
      </c>
      <c r="G39" s="557" t="s">
        <v>503</v>
      </c>
      <c r="H39" s="557" t="s">
        <v>475</v>
      </c>
      <c r="I39" s="557" t="s">
        <v>475</v>
      </c>
      <c r="J39" s="557" t="s">
        <v>475</v>
      </c>
      <c r="K39" s="557" t="s">
        <v>475</v>
      </c>
      <c r="L39" s="557" t="s">
        <v>475</v>
      </c>
      <c r="M39" s="557"/>
      <c r="N39" s="557"/>
      <c r="O39" s="557">
        <v>8</v>
      </c>
      <c r="P39" s="557">
        <v>8</v>
      </c>
      <c r="Q39" s="557">
        <v>8</v>
      </c>
      <c r="R39" s="557">
        <v>8</v>
      </c>
      <c r="S39" s="557">
        <v>8</v>
      </c>
      <c r="T39" s="557" t="s">
        <v>504</v>
      </c>
      <c r="U39" s="557" t="s">
        <v>504</v>
      </c>
      <c r="V39" s="557" t="s">
        <v>475</v>
      </c>
      <c r="W39" s="557" t="s">
        <v>475</v>
      </c>
      <c r="X39" s="557" t="s">
        <v>475</v>
      </c>
      <c r="Y39" s="557" t="s">
        <v>475</v>
      </c>
      <c r="Z39" s="557" t="s">
        <v>475</v>
      </c>
      <c r="AA39" s="557"/>
      <c r="AB39" s="557"/>
      <c r="AC39" s="557">
        <v>1</v>
      </c>
      <c r="AD39" s="557">
        <v>1</v>
      </c>
      <c r="AE39" s="557">
        <v>1</v>
      </c>
      <c r="AF39" s="557">
        <v>1</v>
      </c>
      <c r="AG39" s="558"/>
      <c r="AH39" s="505">
        <v>108</v>
      </c>
      <c r="AI39" s="506">
        <v>37</v>
      </c>
    </row>
    <row r="40" spans="1:38" ht="21.95" customHeight="1" x14ac:dyDescent="0.2">
      <c r="A40" s="548">
        <v>2</v>
      </c>
      <c r="B40" s="7" t="s">
        <v>510</v>
      </c>
      <c r="C40" s="549" t="s">
        <v>475</v>
      </c>
      <c r="D40" s="553" t="s">
        <v>475</v>
      </c>
      <c r="E40" s="553" t="s">
        <v>475</v>
      </c>
      <c r="F40" s="553"/>
      <c r="G40" s="553"/>
      <c r="H40" s="553">
        <v>6</v>
      </c>
      <c r="I40" s="553">
        <v>6</v>
      </c>
      <c r="J40" s="553">
        <v>6</v>
      </c>
      <c r="K40" s="553">
        <v>6</v>
      </c>
      <c r="L40" s="553">
        <v>6</v>
      </c>
      <c r="M40" s="553" t="s">
        <v>508</v>
      </c>
      <c r="N40" s="553" t="s">
        <v>504</v>
      </c>
      <c r="O40" s="553" t="s">
        <v>475</v>
      </c>
      <c r="P40" s="553" t="s">
        <v>475</v>
      </c>
      <c r="Q40" s="553" t="s">
        <v>475</v>
      </c>
      <c r="R40" s="553" t="s">
        <v>475</v>
      </c>
      <c r="S40" s="553" t="s">
        <v>475</v>
      </c>
      <c r="T40" s="553"/>
      <c r="U40" s="553"/>
      <c r="V40" s="553" t="s">
        <v>529</v>
      </c>
      <c r="W40" s="553" t="s">
        <v>529</v>
      </c>
      <c r="X40" s="553" t="s">
        <v>529</v>
      </c>
      <c r="Y40" s="553" t="s">
        <v>529</v>
      </c>
      <c r="Z40" s="553" t="s">
        <v>529</v>
      </c>
      <c r="AA40" s="553"/>
      <c r="AB40" s="553"/>
      <c r="AC40" s="1064">
        <v>10</v>
      </c>
      <c r="AD40" s="1064">
        <v>10</v>
      </c>
      <c r="AE40" s="1064">
        <v>10</v>
      </c>
      <c r="AF40" s="1077">
        <v>10</v>
      </c>
      <c r="AG40" s="550"/>
      <c r="AH40" s="505">
        <v>131</v>
      </c>
      <c r="AI40" s="506">
        <v>37</v>
      </c>
    </row>
    <row r="41" spans="1:38" ht="21.95" customHeight="1" x14ac:dyDescent="0.2">
      <c r="A41" s="551">
        <v>7</v>
      </c>
      <c r="B41" s="154" t="s">
        <v>512</v>
      </c>
      <c r="C41" s="553" t="s">
        <v>475</v>
      </c>
      <c r="D41" s="553" t="s">
        <v>475</v>
      </c>
      <c r="E41" s="553" t="s">
        <v>475</v>
      </c>
      <c r="F41" s="553" t="s">
        <v>505</v>
      </c>
      <c r="G41" s="553" t="s">
        <v>505</v>
      </c>
      <c r="H41" s="553">
        <v>7</v>
      </c>
      <c r="I41" s="553">
        <v>7</v>
      </c>
      <c r="J41" s="553">
        <v>7</v>
      </c>
      <c r="K41" s="553">
        <v>7</v>
      </c>
      <c r="L41" s="553">
        <v>7</v>
      </c>
      <c r="M41" s="553"/>
      <c r="N41" s="553"/>
      <c r="O41" s="553">
        <v>4</v>
      </c>
      <c r="P41" s="553">
        <v>4</v>
      </c>
      <c r="Q41" s="553">
        <v>4</v>
      </c>
      <c r="R41" s="553">
        <v>4</v>
      </c>
      <c r="S41" s="553">
        <v>4</v>
      </c>
      <c r="T41" s="553"/>
      <c r="U41" s="553"/>
      <c r="V41" s="553">
        <v>3</v>
      </c>
      <c r="W41" s="553">
        <v>3</v>
      </c>
      <c r="X41" s="553">
        <v>3</v>
      </c>
      <c r="Y41" s="553">
        <v>3</v>
      </c>
      <c r="Z41" s="553">
        <v>3</v>
      </c>
      <c r="AA41" s="553"/>
      <c r="AB41" s="553"/>
      <c r="AC41" s="553">
        <v>11</v>
      </c>
      <c r="AD41" s="553">
        <v>11</v>
      </c>
      <c r="AE41" s="553">
        <v>11</v>
      </c>
      <c r="AF41" s="553">
        <v>11</v>
      </c>
      <c r="AG41" s="554"/>
      <c r="AH41" s="505">
        <v>185</v>
      </c>
      <c r="AI41" s="506">
        <v>37</v>
      </c>
    </row>
    <row r="42" spans="1:38" ht="21.95" customHeight="1" thickBot="1" x14ac:dyDescent="0.25">
      <c r="A42" s="555">
        <v>12</v>
      </c>
      <c r="B42" s="57" t="s">
        <v>514</v>
      </c>
      <c r="C42" s="557" t="s">
        <v>475</v>
      </c>
      <c r="D42" s="557" t="s">
        <v>475</v>
      </c>
      <c r="E42" s="557" t="s">
        <v>475</v>
      </c>
      <c r="F42" s="557"/>
      <c r="G42" s="557"/>
      <c r="H42" s="557">
        <v>8</v>
      </c>
      <c r="I42" s="557">
        <v>8</v>
      </c>
      <c r="J42" s="557">
        <v>8</v>
      </c>
      <c r="K42" s="557">
        <v>8</v>
      </c>
      <c r="L42" s="557">
        <v>8</v>
      </c>
      <c r="M42" s="557" t="s">
        <v>550</v>
      </c>
      <c r="N42" s="557" t="s">
        <v>505</v>
      </c>
      <c r="O42" s="557" t="s">
        <v>475</v>
      </c>
      <c r="P42" s="557" t="s">
        <v>475</v>
      </c>
      <c r="Q42" s="557" t="s">
        <v>475</v>
      </c>
      <c r="R42" s="557" t="s">
        <v>475</v>
      </c>
      <c r="S42" s="557" t="s">
        <v>475</v>
      </c>
      <c r="T42" s="557"/>
      <c r="U42" s="557"/>
      <c r="V42" s="557">
        <v>1</v>
      </c>
      <c r="W42" s="557">
        <v>1</v>
      </c>
      <c r="X42" s="557">
        <v>1</v>
      </c>
      <c r="Y42" s="557">
        <v>1</v>
      </c>
      <c r="Z42" s="557">
        <v>1</v>
      </c>
      <c r="AA42" s="557"/>
      <c r="AB42" s="557"/>
      <c r="AC42" s="557">
        <v>9</v>
      </c>
      <c r="AD42" s="557">
        <v>9</v>
      </c>
      <c r="AE42" s="557">
        <v>9</v>
      </c>
      <c r="AF42" s="557">
        <v>9</v>
      </c>
      <c r="AG42" s="558"/>
      <c r="AH42" s="505">
        <v>185</v>
      </c>
      <c r="AI42" s="506">
        <v>37</v>
      </c>
    </row>
    <row r="43" spans="1:38" ht="21.95" customHeight="1" x14ac:dyDescent="0.2">
      <c r="A43" s="561">
        <v>3</v>
      </c>
      <c r="B43" s="699" t="s">
        <v>515</v>
      </c>
      <c r="C43" s="1066">
        <v>6</v>
      </c>
      <c r="D43" s="1066">
        <v>6</v>
      </c>
      <c r="E43" s="1066">
        <v>6</v>
      </c>
      <c r="F43" s="1066" t="s">
        <v>508</v>
      </c>
      <c r="G43" s="1066" t="s">
        <v>504</v>
      </c>
      <c r="H43" s="1097" t="s">
        <v>475</v>
      </c>
      <c r="I43" s="1097" t="s">
        <v>475</v>
      </c>
      <c r="J43" s="1097" t="s">
        <v>475</v>
      </c>
      <c r="K43" s="1097" t="s">
        <v>475</v>
      </c>
      <c r="L43" s="1097" t="s">
        <v>475</v>
      </c>
      <c r="M43" s="1097"/>
      <c r="N43" s="1097"/>
      <c r="O43" s="1097">
        <v>5</v>
      </c>
      <c r="P43" s="1097">
        <v>5</v>
      </c>
      <c r="Q43" s="1097">
        <v>5</v>
      </c>
      <c r="R43" s="1097">
        <v>5</v>
      </c>
      <c r="S43" s="1097">
        <v>5</v>
      </c>
      <c r="T43" s="1097"/>
      <c r="U43" s="1097"/>
      <c r="V43" s="1097">
        <v>10</v>
      </c>
      <c r="W43" s="1097">
        <v>10</v>
      </c>
      <c r="X43" s="1097">
        <v>10</v>
      </c>
      <c r="Y43" s="1097">
        <v>10</v>
      </c>
      <c r="Z43" s="1097">
        <v>10</v>
      </c>
      <c r="AA43" s="1097" t="s">
        <v>507</v>
      </c>
      <c r="AB43" s="1097" t="s">
        <v>507</v>
      </c>
      <c r="AC43" s="1097" t="s">
        <v>475</v>
      </c>
      <c r="AD43" s="1097" t="s">
        <v>475</v>
      </c>
      <c r="AE43" s="1097" t="s">
        <v>475</v>
      </c>
      <c r="AF43" s="1097" t="s">
        <v>475</v>
      </c>
      <c r="AG43" s="564"/>
      <c r="AH43" s="505">
        <v>145</v>
      </c>
      <c r="AI43" s="506">
        <v>37</v>
      </c>
    </row>
    <row r="44" spans="1:38" ht="21.95" customHeight="1" x14ac:dyDescent="0.2">
      <c r="A44" s="551">
        <v>8</v>
      </c>
      <c r="B44" s="121" t="s">
        <v>516</v>
      </c>
      <c r="C44" s="553">
        <v>7</v>
      </c>
      <c r="D44" s="553">
        <v>7</v>
      </c>
      <c r="E44" s="553">
        <v>7</v>
      </c>
      <c r="F44" s="553"/>
      <c r="G44" s="553"/>
      <c r="H44" s="553">
        <v>4</v>
      </c>
      <c r="I44" s="553">
        <v>4</v>
      </c>
      <c r="J44" s="553">
        <v>4</v>
      </c>
      <c r="K44" s="553">
        <v>4</v>
      </c>
      <c r="L44" s="553">
        <v>4</v>
      </c>
      <c r="M44" s="553"/>
      <c r="N44" s="553"/>
      <c r="O44" s="553">
        <v>3</v>
      </c>
      <c r="P44" s="553">
        <v>3</v>
      </c>
      <c r="Q44" s="553">
        <v>3</v>
      </c>
      <c r="R44" s="553">
        <v>3</v>
      </c>
      <c r="S44" s="553">
        <v>3</v>
      </c>
      <c r="T44" s="553"/>
      <c r="U44" s="553"/>
      <c r="V44" s="553">
        <v>11</v>
      </c>
      <c r="W44" s="553">
        <v>11</v>
      </c>
      <c r="X44" s="553">
        <v>11</v>
      </c>
      <c r="Y44" s="553">
        <v>11</v>
      </c>
      <c r="Z44" s="553">
        <v>11</v>
      </c>
      <c r="AA44" s="553" t="s">
        <v>503</v>
      </c>
      <c r="AB44" s="553" t="s">
        <v>503</v>
      </c>
      <c r="AC44" s="553" t="s">
        <v>475</v>
      </c>
      <c r="AD44" s="553" t="s">
        <v>475</v>
      </c>
      <c r="AE44" s="553" t="s">
        <v>475</v>
      </c>
      <c r="AF44" s="553" t="s">
        <v>475</v>
      </c>
      <c r="AG44" s="554"/>
      <c r="AH44" s="505">
        <v>185</v>
      </c>
      <c r="AI44" s="506">
        <v>37</v>
      </c>
    </row>
    <row r="45" spans="1:38" ht="21.95" customHeight="1" thickBot="1" x14ac:dyDescent="0.25">
      <c r="A45" s="555">
        <v>13</v>
      </c>
      <c r="B45" s="581" t="s">
        <v>517</v>
      </c>
      <c r="C45" s="557">
        <v>8</v>
      </c>
      <c r="D45" s="557">
        <v>8</v>
      </c>
      <c r="E45" s="557">
        <v>8</v>
      </c>
      <c r="F45" s="1102" t="s">
        <v>504</v>
      </c>
      <c r="G45" s="1102" t="s">
        <v>504</v>
      </c>
      <c r="H45" s="557" t="s">
        <v>475</v>
      </c>
      <c r="I45" s="557" t="s">
        <v>475</v>
      </c>
      <c r="J45" s="557" t="s">
        <v>475</v>
      </c>
      <c r="K45" s="557" t="s">
        <v>475</v>
      </c>
      <c r="L45" s="557" t="s">
        <v>475</v>
      </c>
      <c r="M45" s="557"/>
      <c r="N45" s="557"/>
      <c r="O45" s="557">
        <v>1</v>
      </c>
      <c r="P45" s="557">
        <v>1</v>
      </c>
      <c r="Q45" s="557">
        <v>1</v>
      </c>
      <c r="R45" s="557">
        <v>1</v>
      </c>
      <c r="S45" s="557">
        <v>1</v>
      </c>
      <c r="T45" s="557"/>
      <c r="U45" s="557"/>
      <c r="V45" s="1338">
        <v>9</v>
      </c>
      <c r="W45" s="1338">
        <v>9</v>
      </c>
      <c r="X45" s="1338" t="s">
        <v>674</v>
      </c>
      <c r="Y45" s="557">
        <v>9</v>
      </c>
      <c r="Z45" s="557">
        <v>9</v>
      </c>
      <c r="AA45" s="557" t="s">
        <v>511</v>
      </c>
      <c r="AB45" s="557" t="s">
        <v>511</v>
      </c>
      <c r="AC45" s="557" t="s">
        <v>475</v>
      </c>
      <c r="AD45" s="557" t="s">
        <v>475</v>
      </c>
      <c r="AE45" s="557" t="s">
        <v>475</v>
      </c>
      <c r="AF45" s="557" t="s">
        <v>475</v>
      </c>
      <c r="AG45" s="558"/>
      <c r="AH45" s="505">
        <v>185</v>
      </c>
      <c r="AI45" s="506">
        <v>37</v>
      </c>
    </row>
    <row r="46" spans="1:38" ht="21.95" customHeight="1" x14ac:dyDescent="0.2">
      <c r="A46" s="561">
        <v>4</v>
      </c>
      <c r="B46" s="121" t="s">
        <v>518</v>
      </c>
      <c r="C46" s="514" t="s">
        <v>475</v>
      </c>
      <c r="D46" s="514" t="s">
        <v>475</v>
      </c>
      <c r="E46" s="514" t="s">
        <v>475</v>
      </c>
      <c r="F46" s="514"/>
      <c r="G46" s="514"/>
      <c r="H46" s="514">
        <v>3</v>
      </c>
      <c r="I46" s="514">
        <v>3</v>
      </c>
      <c r="J46" s="514">
        <v>5</v>
      </c>
      <c r="K46" s="1103">
        <v>3</v>
      </c>
      <c r="L46" s="514">
        <v>5</v>
      </c>
      <c r="M46" s="514"/>
      <c r="N46" s="514"/>
      <c r="O46" s="514">
        <v>10</v>
      </c>
      <c r="P46" s="514">
        <v>10</v>
      </c>
      <c r="Q46" s="514">
        <v>10</v>
      </c>
      <c r="R46" s="514">
        <v>10</v>
      </c>
      <c r="S46" s="514">
        <v>10</v>
      </c>
      <c r="T46" s="514" t="s">
        <v>507</v>
      </c>
      <c r="U46" s="514" t="s">
        <v>507</v>
      </c>
      <c r="V46" s="514" t="s">
        <v>475</v>
      </c>
      <c r="W46" s="514" t="s">
        <v>475</v>
      </c>
      <c r="X46" s="514" t="s">
        <v>475</v>
      </c>
      <c r="Y46" s="514" t="s">
        <v>475</v>
      </c>
      <c r="Z46" s="514" t="s">
        <v>475</v>
      </c>
      <c r="AA46" s="514" t="s">
        <v>505</v>
      </c>
      <c r="AB46" s="514" t="s">
        <v>505</v>
      </c>
      <c r="AC46" s="514">
        <v>7</v>
      </c>
      <c r="AD46" s="514">
        <v>7</v>
      </c>
      <c r="AE46" s="514">
        <v>7</v>
      </c>
      <c r="AF46" s="553">
        <v>7</v>
      </c>
      <c r="AG46" s="515"/>
      <c r="AH46" s="505">
        <v>200</v>
      </c>
      <c r="AI46" s="506">
        <v>37</v>
      </c>
    </row>
    <row r="47" spans="1:38" ht="21.95" customHeight="1" x14ac:dyDescent="0.2">
      <c r="A47" s="551">
        <v>9</v>
      </c>
      <c r="B47" s="121" t="s">
        <v>519</v>
      </c>
      <c r="C47" s="1064">
        <v>4</v>
      </c>
      <c r="D47" s="1064">
        <v>4</v>
      </c>
      <c r="E47" s="1064">
        <v>4</v>
      </c>
      <c r="F47" s="1064"/>
      <c r="G47" s="1064"/>
      <c r="H47" s="1064">
        <v>3</v>
      </c>
      <c r="I47" s="1064">
        <v>3</v>
      </c>
      <c r="J47" s="1064">
        <v>3</v>
      </c>
      <c r="K47" s="1064">
        <v>3</v>
      </c>
      <c r="L47" s="1064">
        <v>3</v>
      </c>
      <c r="M47" s="1064"/>
      <c r="N47" s="1064"/>
      <c r="O47" s="553">
        <v>11</v>
      </c>
      <c r="P47" s="553">
        <v>11</v>
      </c>
      <c r="Q47" s="553">
        <v>11</v>
      </c>
      <c r="R47" s="553">
        <v>11</v>
      </c>
      <c r="S47" s="553">
        <v>11</v>
      </c>
      <c r="T47" s="553" t="s">
        <v>503</v>
      </c>
      <c r="U47" s="553" t="s">
        <v>503</v>
      </c>
      <c r="V47" s="553" t="s">
        <v>475</v>
      </c>
      <c r="W47" s="553" t="s">
        <v>475</v>
      </c>
      <c r="X47" s="553" t="s">
        <v>475</v>
      </c>
      <c r="Y47" s="553" t="s">
        <v>475</v>
      </c>
      <c r="Z47" s="553" t="s">
        <v>475</v>
      </c>
      <c r="AA47" s="553"/>
      <c r="AB47" s="553"/>
      <c r="AC47" s="1116">
        <v>8</v>
      </c>
      <c r="AD47" s="1116" t="s">
        <v>675</v>
      </c>
      <c r="AE47" s="553">
        <v>8</v>
      </c>
      <c r="AF47" s="553">
        <v>8</v>
      </c>
      <c r="AG47" s="565"/>
      <c r="AH47" s="505">
        <v>15</v>
      </c>
      <c r="AI47" s="506">
        <v>37</v>
      </c>
    </row>
    <row r="48" spans="1:38" ht="21.95" customHeight="1" thickBot="1" x14ac:dyDescent="0.25">
      <c r="A48" s="555">
        <v>14</v>
      </c>
      <c r="B48" s="57" t="s">
        <v>520</v>
      </c>
      <c r="C48" s="557" t="s">
        <v>475</v>
      </c>
      <c r="D48" s="557" t="s">
        <v>475</v>
      </c>
      <c r="E48" s="557" t="s">
        <v>475</v>
      </c>
      <c r="F48" s="557"/>
      <c r="G48" s="557"/>
      <c r="H48" s="557">
        <v>1</v>
      </c>
      <c r="I48" s="557">
        <v>1</v>
      </c>
      <c r="J48" s="557">
        <v>1</v>
      </c>
      <c r="K48" s="557">
        <v>1</v>
      </c>
      <c r="L48" s="557">
        <v>1</v>
      </c>
      <c r="M48" s="557"/>
      <c r="N48" s="557"/>
      <c r="O48" s="557">
        <v>9</v>
      </c>
      <c r="P48" s="557">
        <v>9</v>
      </c>
      <c r="Q48" s="557">
        <v>9</v>
      </c>
      <c r="R48" s="557">
        <v>9</v>
      </c>
      <c r="S48" s="557">
        <v>9</v>
      </c>
      <c r="T48" s="557" t="s">
        <v>511</v>
      </c>
      <c r="U48" s="557" t="s">
        <v>507</v>
      </c>
      <c r="V48" s="557" t="s">
        <v>475</v>
      </c>
      <c r="W48" s="557" t="s">
        <v>475</v>
      </c>
      <c r="X48" s="557" t="s">
        <v>475</v>
      </c>
      <c r="Y48" s="557" t="s">
        <v>475</v>
      </c>
      <c r="Z48" s="557" t="s">
        <v>475</v>
      </c>
      <c r="AA48" s="557"/>
      <c r="AB48" s="557"/>
      <c r="AC48" s="557">
        <v>6</v>
      </c>
      <c r="AD48" s="557">
        <v>6</v>
      </c>
      <c r="AE48" s="557">
        <v>6</v>
      </c>
      <c r="AF48" s="557">
        <v>6</v>
      </c>
      <c r="AG48" s="568"/>
      <c r="AH48" s="505">
        <v>184</v>
      </c>
      <c r="AI48" s="506">
        <v>37</v>
      </c>
    </row>
    <row r="49" spans="1:35" ht="21.95" customHeight="1" x14ac:dyDescent="0.2">
      <c r="A49" s="548">
        <v>5</v>
      </c>
      <c r="B49" s="614" t="s">
        <v>521</v>
      </c>
      <c r="C49" s="1072" t="s">
        <v>475</v>
      </c>
      <c r="D49" s="1072" t="s">
        <v>475</v>
      </c>
      <c r="E49" s="1072" t="s">
        <v>475</v>
      </c>
      <c r="F49" s="1072"/>
      <c r="G49" s="1072"/>
      <c r="H49" s="1072">
        <v>10</v>
      </c>
      <c r="I49" s="1072">
        <v>10</v>
      </c>
      <c r="J49" s="1072">
        <v>10</v>
      </c>
      <c r="K49" s="1072">
        <v>10</v>
      </c>
      <c r="L49" s="1072">
        <v>10</v>
      </c>
      <c r="M49" s="1072" t="s">
        <v>507</v>
      </c>
      <c r="N49" s="1072" t="s">
        <v>507</v>
      </c>
      <c r="O49" s="1071" t="s">
        <v>475</v>
      </c>
      <c r="P49" s="1071" t="s">
        <v>475</v>
      </c>
      <c r="Q49" s="1071" t="s">
        <v>475</v>
      </c>
      <c r="R49" s="1071" t="s">
        <v>475</v>
      </c>
      <c r="S49" s="1071" t="s">
        <v>475</v>
      </c>
      <c r="T49" s="1071" t="s">
        <v>505</v>
      </c>
      <c r="U49" s="1071" t="s">
        <v>505</v>
      </c>
      <c r="V49" s="1071">
        <v>7</v>
      </c>
      <c r="W49" s="1071">
        <v>7</v>
      </c>
      <c r="X49" s="1071">
        <v>7</v>
      </c>
      <c r="Y49" s="1071">
        <v>7</v>
      </c>
      <c r="Z49" s="1071">
        <v>7</v>
      </c>
      <c r="AA49" s="1071"/>
      <c r="AB49" s="1071"/>
      <c r="AC49" s="1071">
        <v>4</v>
      </c>
      <c r="AD49" s="1071">
        <v>4</v>
      </c>
      <c r="AE49" s="1071">
        <v>4</v>
      </c>
      <c r="AF49" s="1071">
        <v>4</v>
      </c>
      <c r="AG49" s="569"/>
      <c r="AH49" s="505">
        <v>81</v>
      </c>
      <c r="AI49" s="506">
        <v>37</v>
      </c>
    </row>
    <row r="50" spans="1:35" ht="21.95" customHeight="1" x14ac:dyDescent="0.2">
      <c r="A50" s="551">
        <v>10</v>
      </c>
      <c r="B50" s="121" t="s">
        <v>523</v>
      </c>
      <c r="C50" s="553">
        <v>3</v>
      </c>
      <c r="D50" s="1083">
        <v>3</v>
      </c>
      <c r="E50" s="1083">
        <v>3</v>
      </c>
      <c r="F50" s="553"/>
      <c r="G50" s="553"/>
      <c r="H50" s="553">
        <v>11</v>
      </c>
      <c r="I50" s="553">
        <v>11</v>
      </c>
      <c r="J50" s="553">
        <v>11</v>
      </c>
      <c r="K50" s="553">
        <v>11</v>
      </c>
      <c r="L50" s="553">
        <v>11</v>
      </c>
      <c r="M50" s="553" t="s">
        <v>503</v>
      </c>
      <c r="N50" s="553" t="s">
        <v>503</v>
      </c>
      <c r="O50" s="553" t="s">
        <v>475</v>
      </c>
      <c r="P50" s="553" t="s">
        <v>475</v>
      </c>
      <c r="Q50" s="553" t="s">
        <v>475</v>
      </c>
      <c r="R50" s="553" t="s">
        <v>475</v>
      </c>
      <c r="S50" s="553" t="s">
        <v>475</v>
      </c>
      <c r="T50" s="553"/>
      <c r="U50" s="553"/>
      <c r="V50" s="553">
        <v>8</v>
      </c>
      <c r="W50" s="553">
        <v>8</v>
      </c>
      <c r="X50" s="553">
        <v>8</v>
      </c>
      <c r="Y50" s="553">
        <v>8</v>
      </c>
      <c r="Z50" s="553">
        <v>8</v>
      </c>
      <c r="AA50" s="553" t="s">
        <v>504</v>
      </c>
      <c r="AB50" s="553" t="s">
        <v>504</v>
      </c>
      <c r="AC50" s="553" t="s">
        <v>475</v>
      </c>
      <c r="AD50" s="553" t="s">
        <v>475</v>
      </c>
      <c r="AE50" s="553" t="s">
        <v>475</v>
      </c>
      <c r="AF50" s="553" t="s">
        <v>475</v>
      </c>
      <c r="AG50" s="565"/>
      <c r="AH50" s="505">
        <v>209</v>
      </c>
      <c r="AI50" s="506">
        <v>37</v>
      </c>
    </row>
    <row r="51" spans="1:35" ht="21.95" customHeight="1" thickBot="1" x14ac:dyDescent="0.25">
      <c r="A51" s="555">
        <v>15</v>
      </c>
      <c r="B51" s="581" t="s">
        <v>524</v>
      </c>
      <c r="C51" s="557">
        <v>1</v>
      </c>
      <c r="D51" s="557">
        <v>1</v>
      </c>
      <c r="E51" s="557">
        <v>1</v>
      </c>
      <c r="F51" s="557"/>
      <c r="G51" s="557"/>
      <c r="H51" s="557">
        <v>9</v>
      </c>
      <c r="I51" s="557">
        <v>9</v>
      </c>
      <c r="J51" s="557">
        <v>9</v>
      </c>
      <c r="K51" s="557">
        <v>9</v>
      </c>
      <c r="L51" s="557">
        <v>9</v>
      </c>
      <c r="M51" s="557" t="s">
        <v>511</v>
      </c>
      <c r="N51" s="557" t="s">
        <v>507</v>
      </c>
      <c r="O51" s="557" t="s">
        <v>475</v>
      </c>
      <c r="P51" s="557" t="s">
        <v>475</v>
      </c>
      <c r="Q51" s="557" t="s">
        <v>475</v>
      </c>
      <c r="R51" s="557" t="s">
        <v>475</v>
      </c>
      <c r="S51" s="557" t="s">
        <v>475</v>
      </c>
      <c r="T51" s="557"/>
      <c r="U51" s="557"/>
      <c r="V51" s="557">
        <v>6</v>
      </c>
      <c r="W51" s="557">
        <v>6</v>
      </c>
      <c r="X51" s="557">
        <v>6</v>
      </c>
      <c r="Y51" s="557">
        <v>6</v>
      </c>
      <c r="Z51" s="557">
        <v>6</v>
      </c>
      <c r="AA51" s="557" t="s">
        <v>508</v>
      </c>
      <c r="AB51" s="557" t="s">
        <v>504</v>
      </c>
      <c r="AC51" s="557" t="s">
        <v>475</v>
      </c>
      <c r="AD51" s="557" t="s">
        <v>475</v>
      </c>
      <c r="AE51" s="557" t="s">
        <v>475</v>
      </c>
      <c r="AF51" s="557" t="s">
        <v>475</v>
      </c>
      <c r="AG51" s="568"/>
      <c r="AH51" s="505">
        <v>185</v>
      </c>
      <c r="AI51" s="506">
        <v>37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C53" s="546"/>
      <c r="D53" s="546"/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546"/>
      <c r="V53" s="546"/>
      <c r="W53" s="546"/>
      <c r="X53" s="546"/>
      <c r="Y53" s="546"/>
      <c r="Z53" s="546"/>
      <c r="AA53" s="546"/>
      <c r="AB53" s="546"/>
      <c r="AC53" s="546"/>
      <c r="AD53" s="546"/>
      <c r="AE53" s="546"/>
      <c r="AF53" s="546"/>
      <c r="AG53" s="546"/>
      <c r="AH53" s="1"/>
    </row>
    <row r="54" spans="1:35" ht="21.95" customHeight="1" x14ac:dyDescent="0.2">
      <c r="A54" s="524"/>
      <c r="C54" s="546"/>
      <c r="D54" s="546"/>
      <c r="E54" s="546"/>
      <c r="F54" s="546"/>
      <c r="G54" s="546"/>
      <c r="H54" s="546"/>
      <c r="I54" s="546"/>
      <c r="J54" s="546"/>
      <c r="K54" s="546"/>
      <c r="L54" s="546"/>
      <c r="M54" s="546"/>
      <c r="N54" s="546"/>
      <c r="O54" s="546"/>
      <c r="P54" s="546"/>
      <c r="Q54" s="546"/>
      <c r="R54" s="546"/>
      <c r="S54" s="546"/>
      <c r="T54" s="546"/>
      <c r="U54" s="546"/>
      <c r="V54" s="546"/>
      <c r="W54" s="546"/>
      <c r="X54" s="546"/>
      <c r="Y54" s="546"/>
      <c r="Z54" s="546"/>
      <c r="AA54" s="546"/>
      <c r="AB54" s="546"/>
      <c r="AC54" s="546"/>
      <c r="AD54" s="546"/>
      <c r="AE54" s="546"/>
      <c r="AF54" s="546"/>
      <c r="AG54" s="546"/>
      <c r="AH54" s="1"/>
    </row>
    <row r="55" spans="1:35" ht="21.95" customHeight="1" x14ac:dyDescent="0.2">
      <c r="A55" s="524"/>
      <c r="C55" s="360"/>
      <c r="D55" s="360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360"/>
      <c r="X55" s="360"/>
      <c r="Y55" s="360"/>
      <c r="Z55" s="360"/>
      <c r="AA55" s="360"/>
      <c r="AB55" s="360"/>
      <c r="AC55" s="360"/>
      <c r="AD55" s="360"/>
      <c r="AE55" s="360"/>
      <c r="AF55" s="360"/>
      <c r="AG55" s="360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129"/>
      <c r="C58" s="121"/>
      <c r="D58" s="156"/>
      <c r="E58" s="488"/>
      <c r="F58" s="121"/>
      <c r="G58" s="579"/>
      <c r="H58" s="156"/>
      <c r="I58" s="121"/>
      <c r="J58" s="55"/>
      <c r="K58" s="580"/>
      <c r="L58" s="121"/>
      <c r="M58" s="156"/>
      <c r="N58" s="488"/>
      <c r="O58" s="121"/>
      <c r="P58" s="156"/>
      <c r="Q58" s="488"/>
      <c r="R58" s="14"/>
      <c r="S58" s="55"/>
      <c r="T58" s="580"/>
      <c r="U58" s="14"/>
      <c r="V58" s="55"/>
      <c r="W58" s="580"/>
      <c r="X58" s="154"/>
      <c r="Y58" s="156"/>
      <c r="Z58" s="700"/>
      <c r="AA58" s="489"/>
      <c r="AE58" s="360"/>
      <c r="AF58" s="360"/>
      <c r="AG58" s="360"/>
    </row>
    <row r="59" spans="1:35" ht="21.95" customHeight="1" x14ac:dyDescent="0.2">
      <c r="A59" s="1"/>
      <c r="B59" s="47" t="s">
        <v>106</v>
      </c>
      <c r="C59" s="121" t="s">
        <v>295</v>
      </c>
      <c r="D59" s="156"/>
      <c r="E59" s="488"/>
      <c r="F59" s="121" t="s">
        <v>295</v>
      </c>
      <c r="G59" s="579"/>
      <c r="H59" s="156"/>
      <c r="I59" s="121" t="s">
        <v>295</v>
      </c>
      <c r="J59" s="55"/>
      <c r="K59" s="580"/>
      <c r="L59" s="121" t="s">
        <v>295</v>
      </c>
      <c r="M59" s="156"/>
      <c r="N59" s="488"/>
      <c r="O59" s="121" t="s">
        <v>67</v>
      </c>
      <c r="P59" s="156"/>
      <c r="Q59" s="488"/>
      <c r="R59" s="581"/>
      <c r="S59" s="53"/>
      <c r="T59" s="541"/>
      <c r="U59" s="581"/>
      <c r="V59" s="53"/>
      <c r="W59" s="541"/>
      <c r="X59" s="581"/>
      <c r="Y59" s="53">
        <v>37</v>
      </c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177">
        <v>1</v>
      </c>
      <c r="D61" s="497">
        <v>2</v>
      </c>
      <c r="E61" s="177">
        <v>3</v>
      </c>
      <c r="F61" s="497">
        <v>4</v>
      </c>
      <c r="G61" s="497">
        <v>5</v>
      </c>
      <c r="H61" s="177">
        <v>6</v>
      </c>
      <c r="I61" s="177">
        <v>7</v>
      </c>
      <c r="J61" s="177">
        <v>8</v>
      </c>
      <c r="K61" s="177">
        <v>9</v>
      </c>
      <c r="L61" s="177">
        <v>10</v>
      </c>
      <c r="M61" s="497">
        <v>11</v>
      </c>
      <c r="N61" s="497">
        <v>12</v>
      </c>
      <c r="O61" s="497">
        <v>13</v>
      </c>
      <c r="P61" s="177">
        <v>14</v>
      </c>
      <c r="Q61" s="177">
        <v>15</v>
      </c>
      <c r="R61" s="177">
        <v>16</v>
      </c>
      <c r="S61" s="177">
        <v>17</v>
      </c>
      <c r="T61" s="497">
        <v>18</v>
      </c>
      <c r="U61" s="497">
        <v>19</v>
      </c>
      <c r="V61" s="177">
        <v>20</v>
      </c>
      <c r="W61" s="177">
        <v>21</v>
      </c>
      <c r="X61" s="177">
        <v>22</v>
      </c>
      <c r="Y61" s="177">
        <v>23</v>
      </c>
      <c r="Z61" s="177">
        <v>24</v>
      </c>
      <c r="AA61" s="497">
        <v>25</v>
      </c>
      <c r="AB61" s="497">
        <v>26</v>
      </c>
      <c r="AC61" s="177">
        <v>27</v>
      </c>
      <c r="AD61" s="177">
        <v>28</v>
      </c>
      <c r="AE61" s="177">
        <v>29</v>
      </c>
      <c r="AF61" s="177">
        <v>30</v>
      </c>
      <c r="AG61" s="177"/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 t="s">
        <v>529</v>
      </c>
      <c r="D62" s="587"/>
      <c r="E62" s="587" t="s">
        <v>529</v>
      </c>
      <c r="F62" s="587"/>
      <c r="G62" s="587"/>
      <c r="H62" s="587" t="s">
        <v>529</v>
      </c>
      <c r="I62" s="587" t="s">
        <v>529</v>
      </c>
      <c r="J62" s="587" t="s">
        <v>529</v>
      </c>
      <c r="K62" s="587" t="s">
        <v>529</v>
      </c>
      <c r="L62" s="587" t="s">
        <v>529</v>
      </c>
      <c r="M62" s="587"/>
      <c r="N62" s="587"/>
      <c r="O62" s="587"/>
      <c r="P62" s="587" t="s">
        <v>529</v>
      </c>
      <c r="Q62" s="587" t="s">
        <v>529</v>
      </c>
      <c r="R62" s="587" t="s">
        <v>529</v>
      </c>
      <c r="S62" s="587" t="s">
        <v>529</v>
      </c>
      <c r="T62" s="587"/>
      <c r="U62" s="587"/>
      <c r="V62" s="587" t="s">
        <v>529</v>
      </c>
      <c r="W62" s="587" t="s">
        <v>529</v>
      </c>
      <c r="X62" s="587" t="s">
        <v>529</v>
      </c>
      <c r="Y62" s="587" t="s">
        <v>529</v>
      </c>
      <c r="Z62" s="587" t="s">
        <v>529</v>
      </c>
      <c r="AA62" s="587"/>
      <c r="AB62" s="587"/>
      <c r="AC62" s="587" t="s">
        <v>529</v>
      </c>
      <c r="AD62" s="587" t="s">
        <v>529</v>
      </c>
      <c r="AE62" s="587" t="s">
        <v>529</v>
      </c>
      <c r="AF62" s="587" t="s">
        <v>529</v>
      </c>
      <c r="AG62" s="588"/>
      <c r="AH62" s="505">
        <v>185</v>
      </c>
      <c r="AI62" s="506">
        <v>37</v>
      </c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701"/>
      <c r="Q63" s="701"/>
      <c r="R63" s="701"/>
      <c r="S63" s="701"/>
      <c r="T63" s="701"/>
      <c r="U63" s="701"/>
      <c r="V63" s="701"/>
      <c r="W63" s="701"/>
      <c r="X63" s="701"/>
      <c r="Y63" s="701"/>
      <c r="Z63" s="701"/>
      <c r="AA63" s="701"/>
      <c r="AB63" s="701"/>
      <c r="AC63" s="701"/>
      <c r="AD63" s="701"/>
      <c r="AE63" s="701"/>
      <c r="AF63" s="701"/>
      <c r="AG63" s="588"/>
      <c r="AH63" s="505"/>
      <c r="AI63" s="506"/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x14ac:dyDescent="0.2">
      <c r="A65" s="360"/>
      <c r="B65" s="592" t="s">
        <v>262</v>
      </c>
      <c r="C65" s="7"/>
      <c r="D65" s="413" t="s">
        <v>2</v>
      </c>
      <c r="E65" s="572"/>
      <c r="F65" s="7"/>
      <c r="G65" s="6" t="s">
        <v>3</v>
      </c>
      <c r="H65" s="573"/>
      <c r="I65" s="118"/>
      <c r="J65" s="6" t="s">
        <v>4</v>
      </c>
      <c r="K65" s="412"/>
      <c r="L65" s="118"/>
      <c r="M65" s="119" t="s">
        <v>5</v>
      </c>
      <c r="N65" s="412"/>
      <c r="O65" s="118"/>
      <c r="P65" s="6" t="s">
        <v>6</v>
      </c>
      <c r="Q65" s="574"/>
      <c r="R65" s="118"/>
      <c r="S65" s="6" t="s">
        <v>7</v>
      </c>
      <c r="T65" s="575"/>
      <c r="U65" s="118"/>
      <c r="V65" s="6" t="s">
        <v>8</v>
      </c>
      <c r="W65" s="574"/>
      <c r="X65" s="348" t="s">
        <v>9</v>
      </c>
      <c r="Y65" s="593"/>
      <c r="Z65" s="593"/>
      <c r="AA65" s="594"/>
      <c r="AB65" s="27" t="s">
        <v>10</v>
      </c>
      <c r="AC65" s="576"/>
      <c r="AD65" s="576"/>
      <c r="AE65" s="595"/>
      <c r="AF65" s="595"/>
      <c r="AG65" s="596"/>
    </row>
    <row r="66" spans="1:35" ht="21.95" customHeight="1" x14ac:dyDescent="0.2">
      <c r="A66" s="360"/>
      <c r="B66" s="305" t="s">
        <v>263</v>
      </c>
      <c r="C66" s="597" t="s">
        <v>264</v>
      </c>
      <c r="D66" s="465"/>
      <c r="E66" s="466"/>
      <c r="F66" s="598" t="s">
        <v>264</v>
      </c>
      <c r="G66" s="482"/>
      <c r="H66" s="483"/>
      <c r="I66" s="598" t="s">
        <v>264</v>
      </c>
      <c r="J66" s="482"/>
      <c r="K66" s="483"/>
      <c r="L66" s="598" t="s">
        <v>264</v>
      </c>
      <c r="M66" s="482"/>
      <c r="N66" s="483"/>
      <c r="O66" s="598" t="s">
        <v>265</v>
      </c>
      <c r="P66" s="482"/>
      <c r="Q66" s="483"/>
      <c r="R66" s="598"/>
      <c r="S66" s="482"/>
      <c r="T66" s="483"/>
      <c r="U66" s="598"/>
      <c r="V66" s="482"/>
      <c r="W66" s="483"/>
      <c r="X66" s="598"/>
      <c r="Y66" s="482"/>
      <c r="Z66" s="482"/>
      <c r="AA66" s="482"/>
      <c r="AB66" s="475"/>
      <c r="AC66" s="482"/>
      <c r="AD66" s="482"/>
      <c r="AE66" s="482"/>
      <c r="AF66" s="482"/>
      <c r="AG66" s="599"/>
    </row>
    <row r="67" spans="1:35" ht="21.95" customHeight="1" x14ac:dyDescent="0.2">
      <c r="A67" s="360"/>
      <c r="B67" s="600" t="s">
        <v>530</v>
      </c>
      <c r="C67" s="601"/>
      <c r="D67" s="602">
        <v>8</v>
      </c>
      <c r="E67" s="603"/>
      <c r="F67" s="604" t="s">
        <v>28</v>
      </c>
      <c r="G67" s="605">
        <v>8</v>
      </c>
      <c r="H67" s="606"/>
      <c r="I67" s="604"/>
      <c r="J67" s="605">
        <v>8</v>
      </c>
      <c r="K67" s="606"/>
      <c r="L67" s="604" t="s">
        <v>28</v>
      </c>
      <c r="M67" s="605">
        <v>8</v>
      </c>
      <c r="N67" s="606"/>
      <c r="O67" s="604"/>
      <c r="P67" s="607">
        <v>5</v>
      </c>
      <c r="Q67" s="606"/>
      <c r="R67" s="608"/>
      <c r="S67" s="350"/>
      <c r="T67" s="603"/>
      <c r="U67" s="608"/>
      <c r="V67" s="350"/>
      <c r="W67" s="603"/>
      <c r="X67" s="608"/>
      <c r="Y67" s="350">
        <v>37</v>
      </c>
      <c r="Z67" s="350"/>
      <c r="AA67" s="350"/>
      <c r="AB67" s="351"/>
      <c r="AC67" s="350"/>
      <c r="AD67" s="350"/>
      <c r="AE67" s="350"/>
      <c r="AF67" s="350"/>
      <c r="AG67" s="609"/>
    </row>
    <row r="68" spans="1:35" ht="21.95" customHeight="1" x14ac:dyDescent="0.2">
      <c r="A68" s="360"/>
      <c r="B68" s="360" t="s">
        <v>262</v>
      </c>
      <c r="C68" s="360"/>
      <c r="D68" s="360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/>
      <c r="P68" s="360"/>
      <c r="Q68" s="360"/>
      <c r="R68" s="360"/>
      <c r="S68" s="360"/>
      <c r="T68" s="360"/>
      <c r="U68" s="360"/>
      <c r="V68" s="360"/>
      <c r="W68" s="360"/>
      <c r="X68" s="360"/>
      <c r="Y68" s="360"/>
      <c r="Z68" s="360"/>
      <c r="AA68" s="360"/>
      <c r="AB68" s="360"/>
      <c r="AC68" s="360"/>
      <c r="AD68" s="360"/>
      <c r="AE68" s="360"/>
      <c r="AF68" s="360"/>
      <c r="AG68" s="360"/>
    </row>
    <row r="69" spans="1:35" ht="21.95" customHeight="1" x14ac:dyDescent="0.2">
      <c r="A69" s="585" t="s">
        <v>468</v>
      </c>
      <c r="B69" s="296" t="s">
        <v>469</v>
      </c>
      <c r="C69" s="177">
        <v>1</v>
      </c>
      <c r="D69" s="497">
        <v>2</v>
      </c>
      <c r="E69" s="177">
        <v>3</v>
      </c>
      <c r="F69" s="497">
        <v>4</v>
      </c>
      <c r="G69" s="497">
        <v>5</v>
      </c>
      <c r="H69" s="177">
        <v>6</v>
      </c>
      <c r="I69" s="177">
        <v>7</v>
      </c>
      <c r="J69" s="177">
        <v>8</v>
      </c>
      <c r="K69" s="177">
        <v>9</v>
      </c>
      <c r="L69" s="177">
        <v>10</v>
      </c>
      <c r="M69" s="497">
        <v>11</v>
      </c>
      <c r="N69" s="497">
        <v>12</v>
      </c>
      <c r="O69" s="497">
        <v>13</v>
      </c>
      <c r="P69" s="177">
        <v>14</v>
      </c>
      <c r="Q69" s="177">
        <v>15</v>
      </c>
      <c r="R69" s="177">
        <v>16</v>
      </c>
      <c r="S69" s="177">
        <v>17</v>
      </c>
      <c r="T69" s="497">
        <v>18</v>
      </c>
      <c r="U69" s="497">
        <v>19</v>
      </c>
      <c r="V69" s="177">
        <v>20</v>
      </c>
      <c r="W69" s="177">
        <v>21</v>
      </c>
      <c r="X69" s="177">
        <v>22</v>
      </c>
      <c r="Y69" s="177">
        <v>23</v>
      </c>
      <c r="Z69" s="177">
        <v>24</v>
      </c>
      <c r="AA69" s="497">
        <v>25</v>
      </c>
      <c r="AB69" s="497">
        <v>26</v>
      </c>
      <c r="AC69" s="177">
        <v>27</v>
      </c>
      <c r="AD69" s="177">
        <v>28</v>
      </c>
      <c r="AE69" s="177">
        <v>29</v>
      </c>
      <c r="AF69" s="177">
        <v>30</v>
      </c>
      <c r="AG69" s="177"/>
      <c r="AH69" s="499" t="s">
        <v>470</v>
      </c>
      <c r="AI69" s="500" t="s">
        <v>471</v>
      </c>
    </row>
    <row r="70" spans="1:35" ht="21.95" customHeight="1" x14ac:dyDescent="0.2">
      <c r="A70" s="185">
        <v>8514</v>
      </c>
      <c r="B70" s="598" t="s">
        <v>530</v>
      </c>
      <c r="C70" s="1058" t="s">
        <v>482</v>
      </c>
      <c r="D70" s="503"/>
      <c r="E70" s="503" t="s">
        <v>538</v>
      </c>
      <c r="F70" s="503"/>
      <c r="G70" s="503"/>
      <c r="H70" s="503" t="s">
        <v>482</v>
      </c>
      <c r="I70" s="503" t="s">
        <v>482</v>
      </c>
      <c r="J70" s="503" t="s">
        <v>482</v>
      </c>
      <c r="K70" s="503" t="s">
        <v>482</v>
      </c>
      <c r="L70" s="1087" t="s">
        <v>531</v>
      </c>
      <c r="M70" s="503"/>
      <c r="N70" s="503"/>
      <c r="O70" s="503"/>
      <c r="P70" s="503" t="s">
        <v>482</v>
      </c>
      <c r="Q70" s="503" t="s">
        <v>482</v>
      </c>
      <c r="R70" s="503" t="s">
        <v>482</v>
      </c>
      <c r="S70" s="503" t="s">
        <v>482</v>
      </c>
      <c r="T70" s="503"/>
      <c r="U70" s="503"/>
      <c r="V70" s="503" t="s">
        <v>482</v>
      </c>
      <c r="W70" s="1087" t="s">
        <v>531</v>
      </c>
      <c r="X70" s="1087" t="s">
        <v>531</v>
      </c>
      <c r="Y70" s="1087" t="s">
        <v>531</v>
      </c>
      <c r="Z70" s="503" t="s">
        <v>482</v>
      </c>
      <c r="AA70" s="503"/>
      <c r="AB70" s="503"/>
      <c r="AC70" s="503" t="s">
        <v>482</v>
      </c>
      <c r="AD70" s="503" t="s">
        <v>482</v>
      </c>
      <c r="AE70" s="503" t="s">
        <v>482</v>
      </c>
      <c r="AF70" s="503" t="s">
        <v>482</v>
      </c>
      <c r="AG70" s="503"/>
      <c r="AH70" s="505">
        <v>177</v>
      </c>
      <c r="AI70" s="506">
        <v>37</v>
      </c>
    </row>
    <row r="71" spans="1:35" ht="21.95" customHeight="1" x14ac:dyDescent="0.2">
      <c r="A71" s="589"/>
      <c r="C71" s="590"/>
      <c r="D71" s="590"/>
      <c r="E71" s="590"/>
      <c r="F71" s="590"/>
      <c r="G71" s="590"/>
      <c r="H71" s="590"/>
      <c r="I71" s="590"/>
      <c r="J71" s="590"/>
      <c r="K71" s="590"/>
      <c r="L71" s="590"/>
      <c r="M71" s="590"/>
      <c r="N71" s="590"/>
      <c r="O71" s="590"/>
      <c r="P71" s="590"/>
      <c r="Q71" s="590"/>
      <c r="R71" s="590"/>
      <c r="S71" s="590"/>
      <c r="T71" s="590"/>
      <c r="U71" s="590"/>
      <c r="V71" s="590"/>
      <c r="W71" s="590"/>
      <c r="X71" s="590"/>
      <c r="Y71" s="590"/>
      <c r="Z71" s="590"/>
      <c r="AA71" s="590"/>
      <c r="AB71" s="590"/>
      <c r="AC71" s="590"/>
      <c r="AD71" s="590"/>
      <c r="AE71" s="590"/>
      <c r="AF71" s="590"/>
      <c r="AG71" s="590"/>
      <c r="AH71" s="591"/>
      <c r="AI71" s="591"/>
    </row>
    <row r="72" spans="1:35" ht="21.95" customHeight="1" x14ac:dyDescent="0.2">
      <c r="A72" s="360"/>
      <c r="B72" s="23" t="s">
        <v>532</v>
      </c>
      <c r="C72" s="7"/>
      <c r="D72" s="413" t="s">
        <v>2</v>
      </c>
      <c r="E72" s="572"/>
      <c r="F72" s="7"/>
      <c r="G72" s="6" t="s">
        <v>3</v>
      </c>
      <c r="H72" s="573"/>
      <c r="I72" s="118"/>
      <c r="J72" s="6" t="s">
        <v>4</v>
      </c>
      <c r="K72" s="412"/>
      <c r="L72" s="118"/>
      <c r="M72" s="119" t="s">
        <v>5</v>
      </c>
      <c r="N72" s="412"/>
      <c r="O72" s="118"/>
      <c r="P72" s="6" t="s">
        <v>6</v>
      </c>
      <c r="Q72" s="574"/>
      <c r="R72" s="118"/>
      <c r="S72" s="6" t="s">
        <v>7</v>
      </c>
      <c r="T72" s="575"/>
      <c r="U72" s="118"/>
      <c r="V72" s="6" t="s">
        <v>8</v>
      </c>
      <c r="W72" s="574"/>
      <c r="X72" s="348" t="s">
        <v>9</v>
      </c>
      <c r="Y72" s="593"/>
      <c r="Z72" s="593"/>
      <c r="AA72" s="594"/>
      <c r="AB72" s="27" t="s">
        <v>10</v>
      </c>
      <c r="AC72" s="576"/>
      <c r="AD72" s="576"/>
      <c r="AE72" s="595"/>
      <c r="AF72" s="595"/>
      <c r="AG72" s="596"/>
    </row>
    <row r="73" spans="1:35" ht="21.95" customHeight="1" x14ac:dyDescent="0.2">
      <c r="A73" s="360"/>
      <c r="B73" s="305" t="s">
        <v>533</v>
      </c>
      <c r="C73" s="598" t="s">
        <v>534</v>
      </c>
      <c r="D73" s="482"/>
      <c r="E73" s="483"/>
      <c r="F73" s="598" t="s">
        <v>534</v>
      </c>
      <c r="G73" s="482"/>
      <c r="H73" s="483"/>
      <c r="I73" s="598" t="s">
        <v>534</v>
      </c>
      <c r="J73" s="482"/>
      <c r="K73" s="483"/>
      <c r="L73" s="598" t="s">
        <v>534</v>
      </c>
      <c r="M73" s="482"/>
      <c r="N73" s="483"/>
      <c r="O73" s="598" t="s">
        <v>116</v>
      </c>
      <c r="P73" s="482"/>
      <c r="Q73" s="483"/>
      <c r="R73" s="598"/>
      <c r="S73" s="482"/>
      <c r="T73" s="483"/>
      <c r="U73" s="598"/>
      <c r="V73" s="482"/>
      <c r="W73" s="483"/>
      <c r="X73" s="598"/>
      <c r="Y73" s="482"/>
      <c r="Z73" s="482"/>
      <c r="AA73" s="482"/>
      <c r="AB73" s="475"/>
      <c r="AC73" s="482"/>
      <c r="AD73" s="482"/>
      <c r="AE73" s="482"/>
      <c r="AF73" s="482"/>
      <c r="AG73" s="599"/>
    </row>
    <row r="74" spans="1:35" ht="21.95" customHeight="1" x14ac:dyDescent="0.2">
      <c r="A74" s="360"/>
      <c r="B74" s="305" t="s">
        <v>535</v>
      </c>
      <c r="C74" s="598" t="s">
        <v>147</v>
      </c>
      <c r="D74" s="482"/>
      <c r="E74" s="483"/>
      <c r="F74" s="598" t="s">
        <v>147</v>
      </c>
      <c r="G74" s="482"/>
      <c r="H74" s="483"/>
      <c r="I74" s="598" t="s">
        <v>147</v>
      </c>
      <c r="J74" s="482"/>
      <c r="K74" s="483"/>
      <c r="L74" s="598" t="s">
        <v>147</v>
      </c>
      <c r="M74" s="482"/>
      <c r="N74" s="483"/>
      <c r="O74" s="598" t="s">
        <v>536</v>
      </c>
      <c r="P74" s="482"/>
      <c r="Q74" s="483"/>
      <c r="R74" s="598"/>
      <c r="S74" s="482"/>
      <c r="T74" s="483"/>
      <c r="U74" s="598"/>
      <c r="V74" s="482"/>
      <c r="W74" s="483"/>
      <c r="X74" s="598"/>
      <c r="Y74" s="482"/>
      <c r="Z74" s="482"/>
      <c r="AA74" s="482"/>
      <c r="AB74" s="475"/>
      <c r="AC74" s="482"/>
      <c r="AD74" s="482"/>
      <c r="AE74" s="482"/>
      <c r="AF74" s="482"/>
      <c r="AG74" s="599"/>
    </row>
    <row r="75" spans="1:35" ht="21.95" customHeight="1" x14ac:dyDescent="0.2">
      <c r="A75" s="360"/>
      <c r="B75" s="69"/>
      <c r="C75" s="360"/>
      <c r="D75" s="360"/>
      <c r="E75" s="360"/>
      <c r="F75" s="360"/>
      <c r="G75" s="360"/>
      <c r="H75" s="360"/>
      <c r="I75" s="360"/>
      <c r="J75" s="360"/>
      <c r="K75" s="360"/>
      <c r="L75" s="360"/>
      <c r="M75" s="360"/>
      <c r="N75" s="360"/>
      <c r="O75" s="360"/>
      <c r="P75" s="360"/>
      <c r="Q75" s="360"/>
      <c r="R75" s="360"/>
      <c r="S75" s="360"/>
      <c r="T75" s="360"/>
      <c r="U75" s="360"/>
      <c r="V75" s="360"/>
      <c r="W75" s="360"/>
      <c r="X75" s="360"/>
      <c r="Y75" s="360"/>
      <c r="Z75" s="360"/>
      <c r="AA75" s="360"/>
      <c r="AB75" s="360"/>
      <c r="AC75" s="360"/>
      <c r="AD75" s="360"/>
      <c r="AE75" s="360"/>
      <c r="AF75" s="360"/>
      <c r="AG75" s="360"/>
    </row>
    <row r="76" spans="1:35" ht="21.95" customHeight="1" x14ac:dyDescent="0.2">
      <c r="A76" s="585" t="s">
        <v>468</v>
      </c>
      <c r="B76" s="296" t="s">
        <v>469</v>
      </c>
      <c r="C76" s="177">
        <v>1</v>
      </c>
      <c r="D76" s="497">
        <v>2</v>
      </c>
      <c r="E76" s="177">
        <v>3</v>
      </c>
      <c r="F76" s="497">
        <v>4</v>
      </c>
      <c r="G76" s="497">
        <v>5</v>
      </c>
      <c r="H76" s="177">
        <v>6</v>
      </c>
      <c r="I76" s="177">
        <v>7</v>
      </c>
      <c r="J76" s="177">
        <v>8</v>
      </c>
      <c r="K76" s="177">
        <v>9</v>
      </c>
      <c r="L76" s="177">
        <v>10</v>
      </c>
      <c r="M76" s="497">
        <v>11</v>
      </c>
      <c r="N76" s="497">
        <v>12</v>
      </c>
      <c r="O76" s="497">
        <v>13</v>
      </c>
      <c r="P76" s="177">
        <v>14</v>
      </c>
      <c r="Q76" s="177">
        <v>15</v>
      </c>
      <c r="R76" s="177">
        <v>16</v>
      </c>
      <c r="S76" s="177">
        <v>17</v>
      </c>
      <c r="T76" s="497">
        <v>18</v>
      </c>
      <c r="U76" s="497">
        <v>19</v>
      </c>
      <c r="V76" s="177">
        <v>20</v>
      </c>
      <c r="W76" s="177">
        <v>21</v>
      </c>
      <c r="X76" s="177">
        <v>22</v>
      </c>
      <c r="Y76" s="177">
        <v>23</v>
      </c>
      <c r="Z76" s="177">
        <v>24</v>
      </c>
      <c r="AA76" s="497">
        <v>25</v>
      </c>
      <c r="AB76" s="497">
        <v>26</v>
      </c>
      <c r="AC76" s="177">
        <v>27</v>
      </c>
      <c r="AD76" s="177">
        <v>28</v>
      </c>
      <c r="AE76" s="177">
        <v>29</v>
      </c>
      <c r="AF76" s="177">
        <v>30</v>
      </c>
      <c r="AG76" s="177"/>
      <c r="AH76" s="499" t="s">
        <v>470</v>
      </c>
      <c r="AI76" s="500" t="s">
        <v>471</v>
      </c>
    </row>
    <row r="77" spans="1:35" ht="21.95" customHeight="1" x14ac:dyDescent="0.2">
      <c r="A77" s="185">
        <v>8520</v>
      </c>
      <c r="B77" s="185" t="s">
        <v>537</v>
      </c>
      <c r="C77" s="521" t="s">
        <v>538</v>
      </c>
      <c r="D77" s="521"/>
      <c r="E77" s="1117" t="s">
        <v>538</v>
      </c>
      <c r="F77" s="521"/>
      <c r="G77" s="521"/>
      <c r="H77" s="521" t="s">
        <v>538</v>
      </c>
      <c r="I77" s="521" t="s">
        <v>538</v>
      </c>
      <c r="J77" s="521" t="s">
        <v>538</v>
      </c>
      <c r="K77" s="521" t="s">
        <v>538</v>
      </c>
      <c r="L77" s="521" t="s">
        <v>538</v>
      </c>
      <c r="M77" s="521"/>
      <c r="N77" s="521"/>
      <c r="O77" s="521"/>
      <c r="P77" s="521" t="s">
        <v>538</v>
      </c>
      <c r="Q77" s="521" t="s">
        <v>538</v>
      </c>
      <c r="R77" s="521" t="s">
        <v>538</v>
      </c>
      <c r="S77" s="521" t="s">
        <v>538</v>
      </c>
      <c r="T77" s="521"/>
      <c r="U77" s="521"/>
      <c r="V77" s="521" t="s">
        <v>538</v>
      </c>
      <c r="W77" s="521" t="s">
        <v>538</v>
      </c>
      <c r="X77" s="521" t="s">
        <v>538</v>
      </c>
      <c r="Y77" s="521" t="s">
        <v>538</v>
      </c>
      <c r="Z77" s="521" t="s">
        <v>538</v>
      </c>
      <c r="AA77" s="521"/>
      <c r="AB77" s="521"/>
      <c r="AC77" s="521" t="s">
        <v>538</v>
      </c>
      <c r="AD77" s="521" t="s">
        <v>538</v>
      </c>
      <c r="AE77" s="521" t="s">
        <v>538</v>
      </c>
      <c r="AF77" s="521" t="s">
        <v>538</v>
      </c>
      <c r="AG77" s="565"/>
      <c r="AH77" s="505">
        <v>190</v>
      </c>
      <c r="AI77" s="506">
        <v>31</v>
      </c>
    </row>
    <row r="78" spans="1:35" ht="21.95" customHeight="1" x14ac:dyDescent="0.2">
      <c r="A78" s="185">
        <v>8521</v>
      </c>
      <c r="B78" s="185" t="s">
        <v>539</v>
      </c>
      <c r="C78" s="1084" t="s">
        <v>540</v>
      </c>
      <c r="D78" s="553"/>
      <c r="E78" s="553" t="s">
        <v>540</v>
      </c>
      <c r="F78" s="553"/>
      <c r="G78" s="553"/>
      <c r="H78" s="553" t="s">
        <v>540</v>
      </c>
      <c r="I78" s="553" t="s">
        <v>540</v>
      </c>
      <c r="J78" s="1084" t="s">
        <v>540</v>
      </c>
      <c r="K78" s="553" t="s">
        <v>540</v>
      </c>
      <c r="L78" s="553" t="s">
        <v>540</v>
      </c>
      <c r="M78" s="553"/>
      <c r="N78" s="553"/>
      <c r="O78" s="1064"/>
      <c r="P78" s="1064" t="s">
        <v>540</v>
      </c>
      <c r="Q78" s="1064" t="s">
        <v>540</v>
      </c>
      <c r="R78" s="1064" t="s">
        <v>540</v>
      </c>
      <c r="S78" s="1064" t="s">
        <v>540</v>
      </c>
      <c r="T78" s="1064"/>
      <c r="U78" s="1064"/>
      <c r="V78" s="1084" t="s">
        <v>540</v>
      </c>
      <c r="W78" s="553" t="s">
        <v>540</v>
      </c>
      <c r="X78" s="553" t="s">
        <v>540</v>
      </c>
      <c r="Y78" s="553" t="s">
        <v>540</v>
      </c>
      <c r="Z78" s="553" t="s">
        <v>540</v>
      </c>
      <c r="AA78" s="553"/>
      <c r="AB78" s="553"/>
      <c r="AC78" s="1064" t="s">
        <v>540</v>
      </c>
      <c r="AD78" s="1064" t="s">
        <v>540</v>
      </c>
      <c r="AE78" s="1064" t="s">
        <v>540</v>
      </c>
      <c r="AF78" s="1064" t="s">
        <v>540</v>
      </c>
      <c r="AG78" s="503"/>
      <c r="AH78" s="505">
        <v>117</v>
      </c>
      <c r="AI78" s="506">
        <v>37</v>
      </c>
    </row>
    <row r="79" spans="1:35" ht="21.95" customHeight="1" x14ac:dyDescent="0.2">
      <c r="A79" s="360"/>
      <c r="B79" s="360"/>
      <c r="C79" s="546"/>
      <c r="D79" s="525"/>
      <c r="E79" s="525"/>
      <c r="F79" s="525"/>
      <c r="G79" s="525"/>
      <c r="H79" s="525"/>
      <c r="I79" s="525"/>
      <c r="J79" s="525"/>
      <c r="K79" s="525"/>
      <c r="L79" s="525"/>
      <c r="M79" s="525"/>
      <c r="N79" s="525"/>
      <c r="O79" s="525"/>
      <c r="P79" s="525"/>
      <c r="Q79" s="525"/>
      <c r="R79" s="525"/>
      <c r="S79" s="525"/>
      <c r="T79" s="525"/>
      <c r="U79" s="525"/>
      <c r="V79" s="525"/>
      <c r="W79" s="525"/>
      <c r="X79" s="525"/>
      <c r="Y79" s="525"/>
      <c r="Z79" s="525"/>
      <c r="AA79" s="525"/>
      <c r="AB79" s="525"/>
      <c r="AC79" s="525"/>
      <c r="AD79" s="525"/>
      <c r="AE79" s="525"/>
      <c r="AF79" s="525"/>
      <c r="AG79" s="525"/>
      <c r="AH79" s="591"/>
      <c r="AI79" s="591"/>
    </row>
    <row r="80" spans="1:35" ht="21.95" customHeight="1" x14ac:dyDescent="0.2">
      <c r="A80" s="360"/>
      <c r="B80" s="360"/>
      <c r="C80" s="546"/>
      <c r="D80" s="525"/>
      <c r="E80" s="525"/>
      <c r="F80" s="525"/>
      <c r="G80" s="525"/>
      <c r="H80" s="525"/>
      <c r="I80" s="525"/>
      <c r="J80" s="525"/>
      <c r="K80" s="525"/>
      <c r="L80" s="525"/>
      <c r="M80" s="525"/>
      <c r="N80" s="525"/>
      <c r="O80" s="525"/>
      <c r="P80" s="525"/>
      <c r="Q80" s="525"/>
      <c r="R80" s="525"/>
      <c r="S80" s="525"/>
      <c r="T80" s="525"/>
      <c r="U80" s="525"/>
      <c r="V80" s="525"/>
      <c r="W80" s="525"/>
      <c r="X80" s="525"/>
      <c r="Y80" s="525"/>
      <c r="Z80" s="525"/>
      <c r="AA80" s="525"/>
      <c r="AB80" s="525"/>
      <c r="AC80" s="525"/>
      <c r="AD80" s="525"/>
      <c r="AE80" s="525"/>
      <c r="AF80" s="525"/>
      <c r="AG80" s="525"/>
      <c r="AH80" s="591"/>
      <c r="AI80" s="591"/>
    </row>
    <row r="81" spans="1:35" ht="21.95" customHeight="1" x14ac:dyDescent="0.2">
      <c r="A81" s="360"/>
      <c r="B81" s="360"/>
      <c r="C81" s="546"/>
      <c r="D81" s="525"/>
      <c r="E81" s="525"/>
      <c r="F81" s="525"/>
      <c r="G81" s="525"/>
      <c r="H81" s="525"/>
      <c r="I81" s="525"/>
      <c r="J81" s="525"/>
      <c r="K81" s="525"/>
      <c r="L81" s="525"/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25"/>
      <c r="X81" s="525"/>
      <c r="Y81" s="525"/>
      <c r="Z81" s="525"/>
      <c r="AA81" s="525"/>
      <c r="AB81" s="525"/>
      <c r="AC81" s="525"/>
      <c r="AD81" s="525"/>
      <c r="AE81" s="525"/>
      <c r="AF81" s="525"/>
      <c r="AG81" s="525"/>
      <c r="AH81" s="591"/>
      <c r="AI81" s="591"/>
    </row>
    <row r="82" spans="1:35" ht="21.95" customHeight="1" x14ac:dyDescent="0.2">
      <c r="A82" s="1" t="s">
        <v>541</v>
      </c>
      <c r="D82" s="360"/>
      <c r="E82" s="360"/>
      <c r="F82" s="360"/>
      <c r="G82" s="57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1"/>
      <c r="B83" s="23" t="s">
        <v>542</v>
      </c>
      <c r="C83" s="7"/>
      <c r="D83" s="530" t="s">
        <v>2</v>
      </c>
      <c r="E83" s="51"/>
      <c r="F83" s="573"/>
      <c r="G83" s="7"/>
      <c r="H83" s="530" t="s">
        <v>3</v>
      </c>
      <c r="I83" s="51"/>
      <c r="J83" s="573"/>
      <c r="K83" s="7"/>
      <c r="L83" s="530" t="s">
        <v>4</v>
      </c>
      <c r="M83" s="51"/>
      <c r="N83" s="573"/>
      <c r="O83" s="7"/>
      <c r="P83" s="530" t="s">
        <v>5</v>
      </c>
      <c r="Q83" s="51"/>
      <c r="R83" s="573"/>
      <c r="S83" s="7"/>
      <c r="T83" s="530" t="s">
        <v>6</v>
      </c>
      <c r="U83" s="51"/>
      <c r="V83" s="573"/>
      <c r="W83" s="7"/>
      <c r="X83" s="530" t="s">
        <v>7</v>
      </c>
      <c r="Y83" s="51"/>
      <c r="Z83" s="573"/>
      <c r="AA83" s="7"/>
      <c r="AB83" s="530" t="s">
        <v>8</v>
      </c>
      <c r="AC83" s="51"/>
      <c r="AD83" s="51"/>
      <c r="AE83" s="348" t="s">
        <v>9</v>
      </c>
      <c r="AF83" s="51"/>
      <c r="AG83" s="51"/>
      <c r="AH83" s="51"/>
      <c r="AI83" s="531"/>
    </row>
    <row r="84" spans="1:35" ht="21.95" customHeight="1" x14ac:dyDescent="0.2">
      <c r="A84" s="1"/>
      <c r="B84" s="129" t="s">
        <v>324</v>
      </c>
      <c r="C84" s="611" t="s">
        <v>543</v>
      </c>
      <c r="E84" s="156"/>
      <c r="F84" s="612"/>
      <c r="G84" s="611" t="s">
        <v>543</v>
      </c>
      <c r="H84" s="156"/>
      <c r="I84" s="156"/>
      <c r="J84" s="612"/>
      <c r="K84" s="611" t="s">
        <v>543</v>
      </c>
      <c r="L84" s="156"/>
      <c r="M84" s="156"/>
      <c r="N84" s="612"/>
      <c r="O84" s="611" t="s">
        <v>543</v>
      </c>
      <c r="P84" s="156"/>
      <c r="Q84" s="156"/>
      <c r="R84" s="612"/>
      <c r="S84" s="611" t="s">
        <v>544</v>
      </c>
      <c r="T84" s="156"/>
      <c r="U84" s="156"/>
      <c r="V84" s="613"/>
      <c r="W84" s="1055"/>
      <c r="X84" s="1056"/>
      <c r="Y84" s="1056"/>
      <c r="Z84" s="1057"/>
      <c r="AA84" s="613"/>
      <c r="AB84" s="156"/>
      <c r="AC84" s="156"/>
      <c r="AD84" s="613"/>
      <c r="AE84" s="121">
        <v>37</v>
      </c>
      <c r="AG84" s="156"/>
      <c r="AH84" s="613"/>
      <c r="AI84" s="489"/>
    </row>
    <row r="85" spans="1:35" ht="21.95" customHeight="1" x14ac:dyDescent="0.2">
      <c r="A85" s="1"/>
      <c r="B85" s="129" t="s">
        <v>325</v>
      </c>
      <c r="C85" s="611" t="s">
        <v>545</v>
      </c>
      <c r="D85" s="156"/>
      <c r="E85" s="156"/>
      <c r="F85" s="612"/>
      <c r="G85" s="611" t="s">
        <v>545</v>
      </c>
      <c r="H85" s="156"/>
      <c r="I85" s="156"/>
      <c r="J85" s="612"/>
      <c r="K85" s="611" t="s">
        <v>545</v>
      </c>
      <c r="L85" s="156"/>
      <c r="M85" s="156"/>
      <c r="N85" s="612"/>
      <c r="O85" s="611" t="s">
        <v>545</v>
      </c>
      <c r="P85" s="156"/>
      <c r="Q85" s="156"/>
      <c r="R85" s="612"/>
      <c r="S85" s="611" t="s">
        <v>546</v>
      </c>
      <c r="T85" s="156"/>
      <c r="U85" s="156"/>
      <c r="V85" s="612"/>
      <c r="W85" s="660" t="s">
        <v>547</v>
      </c>
      <c r="X85" s="55"/>
      <c r="Y85" s="55"/>
      <c r="Z85" s="55"/>
      <c r="AA85" s="611" t="s">
        <v>548</v>
      </c>
      <c r="AB85" s="611"/>
      <c r="AC85" s="611"/>
      <c r="AD85" s="611"/>
      <c r="AE85" s="154">
        <v>68.25</v>
      </c>
      <c r="AF85" s="156"/>
      <c r="AG85" s="615"/>
      <c r="AH85" s="616"/>
      <c r="AI85" s="617"/>
    </row>
    <row r="86" spans="1:35" ht="21.95" customHeight="1" x14ac:dyDescent="0.2">
      <c r="A86" s="1"/>
      <c r="B86" s="129" t="s">
        <v>326</v>
      </c>
      <c r="C86" s="1053" t="s">
        <v>167</v>
      </c>
      <c r="D86" s="156"/>
      <c r="E86" s="156"/>
      <c r="F86" s="612"/>
      <c r="G86" s="156" t="s">
        <v>167</v>
      </c>
      <c r="H86" s="156"/>
      <c r="I86" s="156"/>
      <c r="J86" s="612"/>
      <c r="K86" s="156" t="s">
        <v>167</v>
      </c>
      <c r="L86" s="156"/>
      <c r="M86" s="156"/>
      <c r="N86" s="612"/>
      <c r="O86" s="156" t="s">
        <v>167</v>
      </c>
      <c r="P86" s="156"/>
      <c r="Q86" s="156"/>
      <c r="R86" s="612"/>
      <c r="S86" s="156" t="s">
        <v>167</v>
      </c>
      <c r="T86" s="156"/>
      <c r="U86" s="156"/>
      <c r="V86" s="612"/>
      <c r="W86" s="611"/>
      <c r="X86" s="156"/>
      <c r="Y86" s="156"/>
      <c r="Z86" s="612"/>
      <c r="AA86" s="611"/>
      <c r="AB86" s="156"/>
      <c r="AC86" s="156"/>
      <c r="AD86" s="613"/>
      <c r="AE86" s="614">
        <v>0</v>
      </c>
      <c r="AF86" s="615"/>
      <c r="AG86" s="156"/>
      <c r="AH86" s="613"/>
      <c r="AI86" s="489"/>
    </row>
    <row r="87" spans="1:35" ht="21.95" customHeight="1" x14ac:dyDescent="0.2">
      <c r="A87" s="1"/>
      <c r="B87" s="47"/>
      <c r="C87" s="618"/>
      <c r="D87" s="53"/>
      <c r="E87" s="53"/>
      <c r="F87" s="619"/>
      <c r="G87" s="618"/>
      <c r="H87" s="53"/>
      <c r="I87" s="53"/>
      <c r="J87" s="619"/>
      <c r="K87" s="618"/>
      <c r="L87" s="53"/>
      <c r="M87" s="53"/>
      <c r="N87" s="619"/>
      <c r="O87" s="618"/>
      <c r="P87" s="53"/>
      <c r="Q87" s="53"/>
      <c r="R87" s="619"/>
      <c r="S87" s="618"/>
      <c r="T87" s="53"/>
      <c r="U87" s="53"/>
      <c r="V87" s="619"/>
      <c r="W87" s="53"/>
      <c r="X87" s="53"/>
      <c r="Y87" s="53"/>
      <c r="Z87" s="53"/>
      <c r="AA87" s="53"/>
      <c r="AB87" s="53"/>
      <c r="AC87" s="53"/>
      <c r="AD87" s="53"/>
      <c r="AE87" s="581"/>
      <c r="AF87" s="53"/>
      <c r="AG87" s="53"/>
      <c r="AH87" s="620"/>
      <c r="AI87" s="544"/>
    </row>
    <row r="88" spans="1:35" ht="21.95" customHeight="1" x14ac:dyDescent="0.2">
      <c r="A88" s="621"/>
      <c r="B88" s="1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0"/>
      <c r="X88" s="360"/>
      <c r="Y88" s="360"/>
      <c r="Z88" s="360"/>
      <c r="AA88" s="360"/>
      <c r="AB88" s="360"/>
      <c r="AC88" s="360"/>
      <c r="AD88" s="360"/>
      <c r="AE88" s="360"/>
      <c r="AF88" s="360"/>
      <c r="AG88" s="360"/>
    </row>
    <row r="89" spans="1:35" ht="21.95" customHeight="1" thickBot="1" x14ac:dyDescent="0.25">
      <c r="A89" s="585"/>
      <c r="B89" s="296" t="s">
        <v>469</v>
      </c>
      <c r="C89" s="177">
        <v>1</v>
      </c>
      <c r="D89" s="497">
        <v>2</v>
      </c>
      <c r="E89" s="177">
        <v>3</v>
      </c>
      <c r="F89" s="497">
        <v>4</v>
      </c>
      <c r="G89" s="497">
        <v>5</v>
      </c>
      <c r="H89" s="177">
        <v>6</v>
      </c>
      <c r="I89" s="177">
        <v>7</v>
      </c>
      <c r="J89" s="177">
        <v>8</v>
      </c>
      <c r="K89" s="177">
        <v>9</v>
      </c>
      <c r="L89" s="177">
        <v>10</v>
      </c>
      <c r="M89" s="497">
        <v>11</v>
      </c>
      <c r="N89" s="497">
        <v>12</v>
      </c>
      <c r="O89" s="497">
        <v>13</v>
      </c>
      <c r="P89" s="177">
        <v>14</v>
      </c>
      <c r="Q89" s="177">
        <v>15</v>
      </c>
      <c r="R89" s="177">
        <v>16</v>
      </c>
      <c r="S89" s="177">
        <v>17</v>
      </c>
      <c r="T89" s="497">
        <v>18</v>
      </c>
      <c r="U89" s="497">
        <v>19</v>
      </c>
      <c r="V89" s="177">
        <v>20</v>
      </c>
      <c r="W89" s="177">
        <v>21</v>
      </c>
      <c r="X89" s="177">
        <v>22</v>
      </c>
      <c r="Y89" s="177">
        <v>23</v>
      </c>
      <c r="Z89" s="177">
        <v>24</v>
      </c>
      <c r="AA89" s="497">
        <v>25</v>
      </c>
      <c r="AB89" s="497">
        <v>26</v>
      </c>
      <c r="AC89" s="177">
        <v>27</v>
      </c>
      <c r="AD89" s="177">
        <v>28</v>
      </c>
      <c r="AE89" s="177">
        <v>29</v>
      </c>
      <c r="AF89" s="177">
        <v>30</v>
      </c>
      <c r="AG89" s="177"/>
      <c r="AH89" s="499" t="s">
        <v>470</v>
      </c>
      <c r="AI89" s="500" t="s">
        <v>471</v>
      </c>
    </row>
    <row r="90" spans="1:35" ht="21.95" customHeight="1" x14ac:dyDescent="0.2">
      <c r="A90" s="622">
        <v>1</v>
      </c>
      <c r="B90" s="152" t="s">
        <v>549</v>
      </c>
      <c r="C90" s="587" t="s">
        <v>551</v>
      </c>
      <c r="D90" s="587" t="s">
        <v>551</v>
      </c>
      <c r="E90" s="549" t="s">
        <v>551</v>
      </c>
      <c r="F90" s="587"/>
      <c r="G90" s="587"/>
      <c r="H90" s="587" t="s">
        <v>513</v>
      </c>
      <c r="I90" s="587" t="s">
        <v>513</v>
      </c>
      <c r="J90" s="587" t="s">
        <v>513</v>
      </c>
      <c r="K90" s="587" t="s">
        <v>513</v>
      </c>
      <c r="L90" s="587" t="s">
        <v>513</v>
      </c>
      <c r="M90" s="1085" t="s">
        <v>550</v>
      </c>
      <c r="N90" s="587" t="s">
        <v>550</v>
      </c>
      <c r="O90" s="587" t="s">
        <v>475</v>
      </c>
      <c r="P90" s="587" t="s">
        <v>475</v>
      </c>
      <c r="Q90" s="587" t="s">
        <v>475</v>
      </c>
      <c r="R90" s="587" t="s">
        <v>475</v>
      </c>
      <c r="S90" s="587" t="s">
        <v>475</v>
      </c>
      <c r="T90" s="587"/>
      <c r="U90" s="587"/>
      <c r="V90" s="587" t="s">
        <v>540</v>
      </c>
      <c r="W90" s="587" t="s">
        <v>551</v>
      </c>
      <c r="X90" s="587" t="s">
        <v>551</v>
      </c>
      <c r="Y90" s="587" t="s">
        <v>551</v>
      </c>
      <c r="Z90" s="587" t="s">
        <v>551</v>
      </c>
      <c r="AA90" s="587" t="s">
        <v>28</v>
      </c>
      <c r="AB90" s="587"/>
      <c r="AC90" s="587" t="s">
        <v>513</v>
      </c>
      <c r="AD90" s="587" t="s">
        <v>513</v>
      </c>
      <c r="AE90" s="587" t="s">
        <v>513</v>
      </c>
      <c r="AF90" s="587" t="s">
        <v>513</v>
      </c>
      <c r="AG90" s="587"/>
      <c r="AH90" s="505">
        <v>203</v>
      </c>
      <c r="AI90" s="506">
        <v>37</v>
      </c>
    </row>
    <row r="91" spans="1:35" ht="21.95" customHeight="1" x14ac:dyDescent="0.2">
      <c r="A91" s="622">
        <v>2</v>
      </c>
      <c r="B91" s="318" t="s">
        <v>553</v>
      </c>
      <c r="C91" s="587" t="s">
        <v>513</v>
      </c>
      <c r="D91" s="587" t="s">
        <v>513</v>
      </c>
      <c r="E91" s="587" t="s">
        <v>513</v>
      </c>
      <c r="F91" s="587" t="s">
        <v>550</v>
      </c>
      <c r="G91" s="587" t="s">
        <v>550</v>
      </c>
      <c r="H91" s="587" t="s">
        <v>475</v>
      </c>
      <c r="I91" s="587" t="s">
        <v>475</v>
      </c>
      <c r="J91" s="587" t="s">
        <v>475</v>
      </c>
      <c r="K91" s="587" t="s">
        <v>475</v>
      </c>
      <c r="L91" s="587" t="s">
        <v>475</v>
      </c>
      <c r="M91" s="587"/>
      <c r="N91" s="587"/>
      <c r="O91" s="587" t="s">
        <v>551</v>
      </c>
      <c r="P91" s="587" t="s">
        <v>540</v>
      </c>
      <c r="Q91" s="587" t="s">
        <v>540</v>
      </c>
      <c r="R91" s="587" t="s">
        <v>540</v>
      </c>
      <c r="S91" s="587" t="s">
        <v>540</v>
      </c>
      <c r="T91" s="587"/>
      <c r="U91" s="587"/>
      <c r="V91" s="587" t="s">
        <v>513</v>
      </c>
      <c r="W91" s="587" t="s">
        <v>513</v>
      </c>
      <c r="X91" s="587" t="s">
        <v>513</v>
      </c>
      <c r="Y91" s="587" t="s">
        <v>513</v>
      </c>
      <c r="Z91" s="1085" t="s">
        <v>513</v>
      </c>
      <c r="AA91" s="587" t="s">
        <v>550</v>
      </c>
      <c r="AB91" s="587" t="s">
        <v>550</v>
      </c>
      <c r="AC91" s="587" t="s">
        <v>475</v>
      </c>
      <c r="AD91" s="587" t="s">
        <v>475</v>
      </c>
      <c r="AE91" s="587" t="s">
        <v>475</v>
      </c>
      <c r="AF91" s="587" t="s">
        <v>475</v>
      </c>
      <c r="AG91" s="587"/>
      <c r="AH91" s="505">
        <v>185</v>
      </c>
      <c r="AI91" s="506">
        <v>37</v>
      </c>
    </row>
    <row r="92" spans="1:35" ht="21.95" customHeight="1" x14ac:dyDescent="0.2">
      <c r="A92" s="622">
        <v>3</v>
      </c>
      <c r="B92" s="552" t="s">
        <v>554</v>
      </c>
      <c r="C92" s="1091" t="s">
        <v>475</v>
      </c>
      <c r="D92" s="1091" t="s">
        <v>475</v>
      </c>
      <c r="E92" s="1091" t="s">
        <v>475</v>
      </c>
      <c r="F92" s="1091"/>
      <c r="G92" s="1091"/>
      <c r="H92" s="1091" t="s">
        <v>551</v>
      </c>
      <c r="I92" s="1336" t="s">
        <v>551</v>
      </c>
      <c r="J92" s="1336" t="s">
        <v>551</v>
      </c>
      <c r="K92" s="1091" t="s">
        <v>551</v>
      </c>
      <c r="L92" s="1091" t="s">
        <v>551</v>
      </c>
      <c r="M92" s="1091"/>
      <c r="N92" s="1091"/>
      <c r="O92" s="1091" t="s">
        <v>513</v>
      </c>
      <c r="P92" s="1091" t="s">
        <v>513</v>
      </c>
      <c r="Q92" s="1091" t="s">
        <v>513</v>
      </c>
      <c r="R92" s="1091" t="s">
        <v>513</v>
      </c>
      <c r="S92" s="1091" t="s">
        <v>513</v>
      </c>
      <c r="T92" s="1091" t="s">
        <v>550</v>
      </c>
      <c r="U92" s="1091" t="s">
        <v>550</v>
      </c>
      <c r="V92" s="1091" t="s">
        <v>475</v>
      </c>
      <c r="W92" s="1091" t="s">
        <v>475</v>
      </c>
      <c r="X92" s="1091" t="s">
        <v>475</v>
      </c>
      <c r="Y92" s="1091" t="s">
        <v>475</v>
      </c>
      <c r="Z92" s="1091" t="s">
        <v>475</v>
      </c>
      <c r="AA92" s="1091"/>
      <c r="AB92" s="1091"/>
      <c r="AC92" s="1091" t="s">
        <v>551</v>
      </c>
      <c r="AD92" s="1091" t="s">
        <v>551</v>
      </c>
      <c r="AE92" s="1091" t="s">
        <v>551</v>
      </c>
      <c r="AF92" s="1091" t="s">
        <v>551</v>
      </c>
      <c r="AH92" s="505">
        <v>185</v>
      </c>
      <c r="AI92" s="506">
        <v>37</v>
      </c>
    </row>
    <row r="93" spans="1:35" ht="21.95" customHeight="1" x14ac:dyDescent="0.2"/>
    <row r="94" spans="1:35" ht="21.95" customHeight="1" x14ac:dyDescent="0.2">
      <c r="A94" s="623"/>
      <c r="B94" s="353"/>
      <c r="C94" s="590"/>
      <c r="D94" s="590"/>
      <c r="E94" s="590"/>
      <c r="F94" s="590"/>
      <c r="G94" s="590"/>
      <c r="H94" s="590"/>
      <c r="I94" s="590"/>
      <c r="J94" s="590"/>
      <c r="K94" s="590"/>
      <c r="L94" s="590"/>
      <c r="M94" s="590"/>
      <c r="N94" s="590"/>
      <c r="O94" s="590"/>
      <c r="P94" s="590"/>
      <c r="Q94" s="590"/>
      <c r="R94" s="590"/>
      <c r="S94" s="590"/>
      <c r="T94" s="590"/>
      <c r="U94" s="590"/>
      <c r="V94" s="590"/>
      <c r="W94" s="590"/>
      <c r="X94" s="590"/>
      <c r="Y94" s="590"/>
      <c r="Z94" s="590"/>
      <c r="AA94" s="590"/>
      <c r="AB94" s="590"/>
      <c r="AC94" s="590"/>
      <c r="AD94" s="590"/>
      <c r="AE94" s="590"/>
      <c r="AF94" s="590"/>
      <c r="AH94" s="591"/>
      <c r="AI94" s="591"/>
    </row>
    <row r="95" spans="1:35" ht="21.95" customHeight="1" x14ac:dyDescent="0.2">
      <c r="A95" s="1" t="s">
        <v>555</v>
      </c>
      <c r="D95" s="360"/>
      <c r="E95" s="360"/>
      <c r="F95" s="360"/>
      <c r="G95" s="57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1"/>
      <c r="B96" s="23" t="s">
        <v>556</v>
      </c>
      <c r="C96" s="7"/>
      <c r="D96" s="530" t="s">
        <v>2</v>
      </c>
      <c r="E96" s="51"/>
      <c r="F96" s="573"/>
      <c r="G96" s="7"/>
      <c r="H96" s="530" t="s">
        <v>3</v>
      </c>
      <c r="I96" s="51"/>
      <c r="J96" s="573"/>
      <c r="K96" s="7"/>
      <c r="L96" s="530" t="s">
        <v>4</v>
      </c>
      <c r="M96" s="51"/>
      <c r="N96" s="573"/>
      <c r="O96" s="7"/>
      <c r="P96" s="530" t="s">
        <v>5</v>
      </c>
      <c r="Q96" s="51"/>
      <c r="R96" s="573"/>
      <c r="S96" s="7"/>
      <c r="T96" s="530" t="s">
        <v>6</v>
      </c>
      <c r="U96" s="51"/>
      <c r="V96" s="573"/>
      <c r="W96" s="7"/>
      <c r="X96" s="530" t="s">
        <v>7</v>
      </c>
      <c r="Y96" s="51"/>
      <c r="Z96" s="573"/>
      <c r="AA96" s="7"/>
      <c r="AB96" s="530" t="s">
        <v>8</v>
      </c>
      <c r="AC96" s="51"/>
      <c r="AD96" s="51"/>
      <c r="AE96" s="424" t="s">
        <v>10</v>
      </c>
      <c r="AF96" s="51"/>
      <c r="AG96" s="51"/>
      <c r="AH96" s="51"/>
      <c r="AI96" s="531"/>
    </row>
    <row r="97" spans="1:35" ht="21.95" customHeight="1" x14ac:dyDescent="0.2">
      <c r="A97" s="1"/>
      <c r="B97" s="129" t="s">
        <v>324</v>
      </c>
      <c r="C97" s="611"/>
      <c r="D97" s="156" t="s">
        <v>167</v>
      </c>
      <c r="E97" s="156"/>
      <c r="F97" s="612"/>
      <c r="G97" s="611"/>
      <c r="H97" s="156" t="s">
        <v>167</v>
      </c>
      <c r="I97" s="156"/>
      <c r="J97" s="612"/>
      <c r="K97" s="611" t="s">
        <v>557</v>
      </c>
      <c r="L97" s="156"/>
      <c r="M97" s="156"/>
      <c r="N97" s="612"/>
      <c r="O97" s="611" t="s">
        <v>557</v>
      </c>
      <c r="P97" s="156"/>
      <c r="Q97" s="156"/>
      <c r="R97" s="612"/>
      <c r="S97" s="611" t="s">
        <v>557</v>
      </c>
      <c r="T97" s="156"/>
      <c r="U97" s="156"/>
      <c r="V97" s="612"/>
      <c r="W97" s="611" t="s">
        <v>558</v>
      </c>
      <c r="X97" s="624"/>
      <c r="Y97" s="624"/>
      <c r="Z97" s="625"/>
      <c r="AA97" s="611" t="s">
        <v>559</v>
      </c>
      <c r="AB97" s="156"/>
      <c r="AC97" s="156"/>
      <c r="AD97" s="613"/>
      <c r="AE97" s="128">
        <v>56</v>
      </c>
      <c r="AF97" s="156"/>
      <c r="AG97" s="156" t="s">
        <v>28</v>
      </c>
      <c r="AH97" s="613"/>
      <c r="AI97" s="489"/>
    </row>
    <row r="98" spans="1:35" ht="21.95" customHeight="1" x14ac:dyDescent="0.2">
      <c r="A98" s="1"/>
      <c r="B98" s="129" t="s">
        <v>325</v>
      </c>
      <c r="C98" s="611"/>
      <c r="D98" s="156" t="s">
        <v>167</v>
      </c>
      <c r="E98" s="156"/>
      <c r="F98" s="612"/>
      <c r="G98" s="611"/>
      <c r="H98" s="156" t="s">
        <v>167</v>
      </c>
      <c r="I98" s="156"/>
      <c r="J98" s="612"/>
      <c r="K98" s="611"/>
      <c r="L98" s="156" t="s">
        <v>167</v>
      </c>
      <c r="M98" s="156"/>
      <c r="N98" s="612"/>
      <c r="O98" s="611"/>
      <c r="P98" s="156" t="s">
        <v>167</v>
      </c>
      <c r="Q98" s="156"/>
      <c r="R98" s="612"/>
      <c r="S98" s="611"/>
      <c r="T98" s="156" t="s">
        <v>167</v>
      </c>
      <c r="U98" s="156"/>
      <c r="V98" s="612"/>
      <c r="W98" s="611"/>
      <c r="X98" s="156" t="s">
        <v>167</v>
      </c>
      <c r="Y98" s="156"/>
      <c r="Z98" s="612"/>
      <c r="AA98" s="156" t="s">
        <v>167</v>
      </c>
      <c r="AB98" s="156"/>
      <c r="AC98" s="156"/>
      <c r="AD98" s="613"/>
      <c r="AE98" s="128">
        <v>0</v>
      </c>
      <c r="AF98" s="156"/>
      <c r="AG98" s="156"/>
      <c r="AH98" s="613"/>
      <c r="AI98" s="489"/>
    </row>
    <row r="99" spans="1:35" ht="21.95" customHeight="1" x14ac:dyDescent="0.2">
      <c r="A99" s="1"/>
      <c r="B99" s="129" t="s">
        <v>326</v>
      </c>
      <c r="C99" s="611" t="s">
        <v>557</v>
      </c>
      <c r="D99" s="156"/>
      <c r="E99" s="156"/>
      <c r="F99" s="612"/>
      <c r="G99" s="611" t="s">
        <v>557</v>
      </c>
      <c r="H99" s="156"/>
      <c r="I99" s="156"/>
      <c r="J99" s="612"/>
      <c r="K99" s="121"/>
      <c r="L99" s="156" t="s">
        <v>167</v>
      </c>
      <c r="M99" s="156"/>
      <c r="N99" s="612"/>
      <c r="O99" s="121"/>
      <c r="P99" s="156" t="s">
        <v>167</v>
      </c>
      <c r="Q99" s="156"/>
      <c r="R99" s="612"/>
      <c r="S99" s="121"/>
      <c r="T99" s="156" t="s">
        <v>167</v>
      </c>
      <c r="U99" s="156"/>
      <c r="V99" s="612"/>
      <c r="W99" s="626" t="s">
        <v>560</v>
      </c>
      <c r="X99" s="134"/>
      <c r="Y99" s="134"/>
      <c r="Z99" s="627"/>
      <c r="AA99" s="626" t="s">
        <v>561</v>
      </c>
      <c r="AB99" s="134"/>
      <c r="AC99" s="134"/>
      <c r="AD99" s="628"/>
      <c r="AE99" s="128">
        <v>46</v>
      </c>
      <c r="AF99" s="156"/>
      <c r="AG99" s="156"/>
      <c r="AH99" s="613"/>
      <c r="AI99" s="489"/>
    </row>
    <row r="100" spans="1:35" ht="21.95" customHeight="1" x14ac:dyDescent="0.2">
      <c r="A100" s="1"/>
      <c r="B100" s="16" t="s">
        <v>236</v>
      </c>
      <c r="C100" s="618" t="s">
        <v>420</v>
      </c>
      <c r="D100" s="53"/>
      <c r="E100" s="53"/>
      <c r="F100" s="619"/>
      <c r="G100" s="618" t="s">
        <v>421</v>
      </c>
      <c r="H100" s="53"/>
      <c r="I100" s="53"/>
      <c r="J100" s="619"/>
      <c r="K100" s="618" t="s">
        <v>421</v>
      </c>
      <c r="L100" s="53"/>
      <c r="M100" s="53"/>
      <c r="N100" s="619"/>
      <c r="O100" s="618" t="s">
        <v>421</v>
      </c>
      <c r="P100" s="53"/>
      <c r="Q100" s="53"/>
      <c r="R100" s="619"/>
      <c r="S100" s="618" t="s">
        <v>422</v>
      </c>
      <c r="T100" s="53"/>
      <c r="U100" s="53"/>
      <c r="V100" s="620"/>
      <c r="W100" s="57"/>
      <c r="X100" s="620" t="s">
        <v>167</v>
      </c>
      <c r="Y100" s="53"/>
      <c r="Z100" s="619"/>
      <c r="AA100" s="57"/>
      <c r="AB100" s="620" t="s">
        <v>167</v>
      </c>
      <c r="AC100" s="53"/>
      <c r="AD100" s="619"/>
      <c r="AE100" s="629">
        <v>37.5</v>
      </c>
      <c r="AF100" s="53"/>
      <c r="AG100" s="53"/>
      <c r="AH100" s="620"/>
      <c r="AI100" s="544"/>
    </row>
    <row r="101" spans="1:35" ht="21.95" customHeight="1" x14ac:dyDescent="0.2">
      <c r="A101" s="621"/>
      <c r="B101" s="1"/>
      <c r="C101" s="360"/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60"/>
      <c r="Q101" s="360"/>
      <c r="R101" s="360"/>
      <c r="S101" s="360"/>
      <c r="T101" s="360"/>
      <c r="U101" s="360"/>
      <c r="V101" s="360"/>
      <c r="W101" s="360"/>
      <c r="X101" s="360"/>
      <c r="Y101" s="360"/>
      <c r="Z101" s="360"/>
      <c r="AA101" s="360"/>
      <c r="AB101" s="360"/>
      <c r="AC101" s="360"/>
      <c r="AD101" s="360"/>
      <c r="AE101" s="360"/>
      <c r="AF101" s="360"/>
      <c r="AG101" s="360"/>
    </row>
    <row r="102" spans="1:35" ht="21.95" customHeight="1" x14ac:dyDescent="0.2">
      <c r="A102" s="585"/>
      <c r="B102" s="296" t="s">
        <v>469</v>
      </c>
      <c r="C102" s="177">
        <v>1</v>
      </c>
      <c r="D102" s="497">
        <v>2</v>
      </c>
      <c r="E102" s="177">
        <v>3</v>
      </c>
      <c r="F102" s="497">
        <v>4</v>
      </c>
      <c r="G102" s="497">
        <v>5</v>
      </c>
      <c r="H102" s="177">
        <v>6</v>
      </c>
      <c r="I102" s="177">
        <v>7</v>
      </c>
      <c r="J102" s="177">
        <v>8</v>
      </c>
      <c r="K102" s="177">
        <v>9</v>
      </c>
      <c r="L102" s="177">
        <v>10</v>
      </c>
      <c r="M102" s="497">
        <v>11</v>
      </c>
      <c r="N102" s="497">
        <v>12</v>
      </c>
      <c r="O102" s="497">
        <v>13</v>
      </c>
      <c r="P102" s="177">
        <v>14</v>
      </c>
      <c r="Q102" s="177">
        <v>15</v>
      </c>
      <c r="R102" s="177">
        <v>16</v>
      </c>
      <c r="S102" s="177">
        <v>17</v>
      </c>
      <c r="T102" s="497">
        <v>18</v>
      </c>
      <c r="U102" s="497">
        <v>19</v>
      </c>
      <c r="V102" s="177">
        <v>20</v>
      </c>
      <c r="W102" s="177">
        <v>21</v>
      </c>
      <c r="X102" s="177">
        <v>22</v>
      </c>
      <c r="Y102" s="177">
        <v>23</v>
      </c>
      <c r="Z102" s="177">
        <v>24</v>
      </c>
      <c r="AA102" s="497">
        <v>25</v>
      </c>
      <c r="AB102" s="497">
        <v>26</v>
      </c>
      <c r="AC102" s="177">
        <v>27</v>
      </c>
      <c r="AD102" s="177">
        <v>28</v>
      </c>
      <c r="AE102" s="177">
        <v>29</v>
      </c>
      <c r="AF102" s="177">
        <v>30</v>
      </c>
      <c r="AG102" s="177"/>
      <c r="AH102" s="499" t="s">
        <v>470</v>
      </c>
      <c r="AI102" s="500" t="s">
        <v>471</v>
      </c>
    </row>
    <row r="103" spans="1:35" ht="21.95" customHeight="1" x14ac:dyDescent="0.2">
      <c r="A103" s="622">
        <v>1</v>
      </c>
      <c r="B103" s="318" t="s">
        <v>562</v>
      </c>
      <c r="C103" s="1060" t="s">
        <v>475</v>
      </c>
      <c r="D103" s="1060" t="s">
        <v>475</v>
      </c>
      <c r="E103" s="1060" t="s">
        <v>475</v>
      </c>
      <c r="F103" s="1060" t="s">
        <v>563</v>
      </c>
      <c r="G103" s="1060" t="s">
        <v>564</v>
      </c>
      <c r="H103" s="1060" t="s">
        <v>565</v>
      </c>
      <c r="I103" s="1060" t="s">
        <v>566</v>
      </c>
      <c r="J103" s="1060" t="s">
        <v>566</v>
      </c>
      <c r="K103" s="1060" t="s">
        <v>566</v>
      </c>
      <c r="L103" s="1060" t="s">
        <v>567</v>
      </c>
      <c r="M103" s="1060" t="s">
        <v>475</v>
      </c>
      <c r="N103" s="1060" t="s">
        <v>475</v>
      </c>
      <c r="O103" s="1060" t="s">
        <v>475</v>
      </c>
      <c r="P103" s="1060" t="s">
        <v>475</v>
      </c>
      <c r="Q103" s="1060" t="s">
        <v>522</v>
      </c>
      <c r="R103" s="1060" t="s">
        <v>522</v>
      </c>
      <c r="S103" s="1060" t="s">
        <v>522</v>
      </c>
      <c r="T103" s="1060" t="s">
        <v>568</v>
      </c>
      <c r="U103" s="1060" t="s">
        <v>569</v>
      </c>
      <c r="V103" s="587" t="s">
        <v>475</v>
      </c>
      <c r="W103" s="587" t="s">
        <v>475</v>
      </c>
      <c r="X103" s="587" t="s">
        <v>475</v>
      </c>
      <c r="Y103" s="587" t="s">
        <v>475</v>
      </c>
      <c r="Z103" s="587" t="s">
        <v>475</v>
      </c>
      <c r="AA103" s="587" t="s">
        <v>475</v>
      </c>
      <c r="AB103" s="587" t="s">
        <v>475</v>
      </c>
      <c r="AC103" s="587" t="s">
        <v>522</v>
      </c>
      <c r="AD103" s="587" t="s">
        <v>522</v>
      </c>
      <c r="AE103" s="587" t="s">
        <v>475</v>
      </c>
      <c r="AF103" s="587" t="s">
        <v>475</v>
      </c>
      <c r="AG103" s="587"/>
      <c r="AH103" s="505">
        <v>185</v>
      </c>
      <c r="AI103" s="506">
        <v>37</v>
      </c>
    </row>
    <row r="104" spans="1:35" ht="21.95" customHeight="1" x14ac:dyDescent="0.2">
      <c r="A104" s="622">
        <v>2</v>
      </c>
      <c r="B104" s="318" t="s">
        <v>570</v>
      </c>
      <c r="C104" s="1086" t="s">
        <v>566</v>
      </c>
      <c r="D104" s="587" t="s">
        <v>566</v>
      </c>
      <c r="E104" s="1085" t="s">
        <v>567</v>
      </c>
      <c r="F104" s="587" t="s">
        <v>475</v>
      </c>
      <c r="G104" s="587" t="s">
        <v>475</v>
      </c>
      <c r="H104" s="588" t="s">
        <v>475</v>
      </c>
      <c r="I104" s="587" t="s">
        <v>475</v>
      </c>
      <c r="J104" s="587" t="s">
        <v>522</v>
      </c>
      <c r="K104" s="588" t="s">
        <v>522</v>
      </c>
      <c r="L104" s="587" t="s">
        <v>522</v>
      </c>
      <c r="M104" s="587" t="s">
        <v>568</v>
      </c>
      <c r="N104" s="587" t="s">
        <v>569</v>
      </c>
      <c r="O104" s="587" t="s">
        <v>475</v>
      </c>
      <c r="P104" s="587" t="s">
        <v>475</v>
      </c>
      <c r="Q104" s="587" t="s">
        <v>475</v>
      </c>
      <c r="R104" s="587" t="s">
        <v>475</v>
      </c>
      <c r="S104" s="587" t="s">
        <v>475</v>
      </c>
      <c r="T104" s="587" t="s">
        <v>475</v>
      </c>
      <c r="U104" s="587" t="s">
        <v>475</v>
      </c>
      <c r="V104" s="587" t="s">
        <v>522</v>
      </c>
      <c r="W104" s="587" t="s">
        <v>522</v>
      </c>
      <c r="X104" s="587" t="s">
        <v>475</v>
      </c>
      <c r="Y104" s="553" t="s">
        <v>475</v>
      </c>
      <c r="Z104" s="553" t="s">
        <v>475</v>
      </c>
      <c r="AA104" s="553" t="s">
        <v>563</v>
      </c>
      <c r="AB104" s="553" t="s">
        <v>564</v>
      </c>
      <c r="AC104" s="1083" t="s">
        <v>565</v>
      </c>
      <c r="AD104" s="1085" t="s">
        <v>566</v>
      </c>
      <c r="AE104" s="1086" t="s">
        <v>566</v>
      </c>
      <c r="AF104" s="1085" t="s">
        <v>566</v>
      </c>
      <c r="AG104" s="588"/>
      <c r="AH104" s="505">
        <v>191</v>
      </c>
      <c r="AI104" s="506">
        <v>37</v>
      </c>
    </row>
    <row r="105" spans="1:35" ht="21.95" customHeight="1" x14ac:dyDescent="0.2">
      <c r="A105" s="622">
        <v>3</v>
      </c>
      <c r="B105" s="552" t="s">
        <v>572</v>
      </c>
      <c r="C105" s="587" t="s">
        <v>475</v>
      </c>
      <c r="D105" s="588" t="s">
        <v>475</v>
      </c>
      <c r="E105" s="587" t="s">
        <v>475</v>
      </c>
      <c r="F105" s="587" t="s">
        <v>475</v>
      </c>
      <c r="G105" s="587" t="s">
        <v>475</v>
      </c>
      <c r="H105" s="587" t="s">
        <v>522</v>
      </c>
      <c r="I105" s="587" t="s">
        <v>522</v>
      </c>
      <c r="J105" s="587" t="s">
        <v>475</v>
      </c>
      <c r="K105" s="587" t="s">
        <v>475</v>
      </c>
      <c r="L105" s="587" t="s">
        <v>475</v>
      </c>
      <c r="M105" s="587" t="s">
        <v>563</v>
      </c>
      <c r="N105" s="587" t="s">
        <v>564</v>
      </c>
      <c r="O105" s="587" t="s">
        <v>565</v>
      </c>
      <c r="P105" s="1085" t="s">
        <v>566</v>
      </c>
      <c r="Q105" s="1086" t="s">
        <v>566</v>
      </c>
      <c r="R105" s="1085" t="s">
        <v>566</v>
      </c>
      <c r="S105" s="1085" t="s">
        <v>567</v>
      </c>
      <c r="T105" s="587" t="s">
        <v>475</v>
      </c>
      <c r="U105" s="587" t="s">
        <v>475</v>
      </c>
      <c r="V105" s="588" t="s">
        <v>475</v>
      </c>
      <c r="W105" s="587" t="s">
        <v>475</v>
      </c>
      <c r="X105" s="587" t="s">
        <v>522</v>
      </c>
      <c r="Y105" s="587" t="s">
        <v>522</v>
      </c>
      <c r="Z105" s="587" t="s">
        <v>522</v>
      </c>
      <c r="AA105" s="587" t="s">
        <v>568</v>
      </c>
      <c r="AB105" s="587" t="s">
        <v>569</v>
      </c>
      <c r="AC105" s="588" t="s">
        <v>475</v>
      </c>
      <c r="AD105" s="587" t="s">
        <v>475</v>
      </c>
      <c r="AE105" s="587" t="s">
        <v>475</v>
      </c>
      <c r="AF105" s="588" t="s">
        <v>475</v>
      </c>
      <c r="AG105" s="588"/>
      <c r="AH105" s="505">
        <v>219</v>
      </c>
      <c r="AI105" s="506">
        <v>37</v>
      </c>
    </row>
    <row r="106" spans="1:35" ht="21.95" customHeight="1" x14ac:dyDescent="0.2">
      <c r="A106" s="622">
        <v>4</v>
      </c>
      <c r="B106" s="552" t="s">
        <v>573</v>
      </c>
      <c r="C106" s="587" t="s">
        <v>522</v>
      </c>
      <c r="D106" s="587" t="s">
        <v>522</v>
      </c>
      <c r="E106" s="587" t="s">
        <v>522</v>
      </c>
      <c r="F106" s="587" t="s">
        <v>568</v>
      </c>
      <c r="G106" s="587" t="s">
        <v>569</v>
      </c>
      <c r="H106" s="588" t="s">
        <v>475</v>
      </c>
      <c r="I106" s="587" t="s">
        <v>475</v>
      </c>
      <c r="J106" s="587" t="s">
        <v>475</v>
      </c>
      <c r="K106" s="588" t="s">
        <v>475</v>
      </c>
      <c r="L106" s="587" t="s">
        <v>475</v>
      </c>
      <c r="M106" s="587" t="s">
        <v>475</v>
      </c>
      <c r="N106" s="587" t="s">
        <v>475</v>
      </c>
      <c r="O106" s="587" t="s">
        <v>522</v>
      </c>
      <c r="P106" s="587" t="s">
        <v>522</v>
      </c>
      <c r="Q106" s="587" t="s">
        <v>475</v>
      </c>
      <c r="R106" s="587" t="s">
        <v>475</v>
      </c>
      <c r="S106" s="587" t="s">
        <v>475</v>
      </c>
      <c r="T106" s="587" t="s">
        <v>563</v>
      </c>
      <c r="U106" s="587" t="s">
        <v>564</v>
      </c>
      <c r="V106" s="1085" t="s">
        <v>565</v>
      </c>
      <c r="W106" s="1085" t="s">
        <v>566</v>
      </c>
      <c r="X106" s="1086" t="s">
        <v>566</v>
      </c>
      <c r="Y106" s="1085" t="s">
        <v>566</v>
      </c>
      <c r="Z106" s="1085" t="s">
        <v>567</v>
      </c>
      <c r="AA106" s="587" t="s">
        <v>475</v>
      </c>
      <c r="AB106" s="587" t="s">
        <v>475</v>
      </c>
      <c r="AC106" s="588" t="s">
        <v>475</v>
      </c>
      <c r="AD106" s="587" t="s">
        <v>475</v>
      </c>
      <c r="AE106" s="587" t="s">
        <v>522</v>
      </c>
      <c r="AF106" s="587" t="s">
        <v>522</v>
      </c>
      <c r="AG106" s="588"/>
      <c r="AH106" s="505">
        <v>191</v>
      </c>
      <c r="AI106" s="506">
        <v>37</v>
      </c>
    </row>
    <row r="107" spans="1:35" ht="24" customHeight="1" x14ac:dyDescent="0.2">
      <c r="A107" s="623"/>
      <c r="B107" s="630"/>
      <c r="C107" s="590"/>
      <c r="D107" s="590"/>
      <c r="E107" s="590"/>
      <c r="F107" s="590"/>
      <c r="G107" s="590"/>
      <c r="H107" s="590"/>
      <c r="I107" s="590"/>
      <c r="J107" s="590"/>
      <c r="K107" s="590"/>
      <c r="L107" s="590"/>
      <c r="M107" s="590"/>
      <c r="N107" s="590"/>
      <c r="O107" s="590"/>
      <c r="P107" s="590"/>
      <c r="Q107" s="590"/>
      <c r="R107" s="590"/>
      <c r="S107" s="590"/>
      <c r="T107" s="590"/>
      <c r="U107" s="590"/>
      <c r="V107" s="590"/>
      <c r="W107" s="590"/>
      <c r="X107" s="590"/>
      <c r="Y107" s="590"/>
      <c r="Z107" s="590"/>
      <c r="AA107" s="590"/>
      <c r="AB107" s="590"/>
      <c r="AC107" s="590"/>
      <c r="AD107" s="590"/>
      <c r="AE107" s="590"/>
      <c r="AF107" s="590"/>
      <c r="AG107" s="590"/>
      <c r="AH107" s="591"/>
      <c r="AI107" s="591"/>
    </row>
    <row r="108" spans="1:35" ht="21.95" customHeight="1" x14ac:dyDescent="0.2">
      <c r="A108" s="1" t="s">
        <v>574</v>
      </c>
      <c r="D108" s="360"/>
      <c r="E108" s="360"/>
      <c r="F108" s="360"/>
      <c r="G108" s="57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1"/>
      <c r="B109" s="23" t="s">
        <v>556</v>
      </c>
      <c r="C109" s="7"/>
      <c r="D109" s="530" t="s">
        <v>2</v>
      </c>
      <c r="E109" s="51"/>
      <c r="F109" s="573"/>
      <c r="G109" s="7"/>
      <c r="H109" s="530" t="s">
        <v>3</v>
      </c>
      <c r="I109" s="51"/>
      <c r="J109" s="573"/>
      <c r="K109" s="7"/>
      <c r="L109" s="530" t="s">
        <v>4</v>
      </c>
      <c r="M109" s="51"/>
      <c r="N109" s="573"/>
      <c r="O109" s="7"/>
      <c r="P109" s="530" t="s">
        <v>5</v>
      </c>
      <c r="Q109" s="51"/>
      <c r="R109" s="573"/>
      <c r="S109" s="7"/>
      <c r="T109" s="530" t="s">
        <v>6</v>
      </c>
      <c r="U109" s="51"/>
      <c r="V109" s="573"/>
      <c r="W109" s="7"/>
      <c r="X109" s="530" t="s">
        <v>7</v>
      </c>
      <c r="Y109" s="51"/>
      <c r="Z109" s="573"/>
      <c r="AA109" s="7"/>
      <c r="AB109" s="530" t="s">
        <v>8</v>
      </c>
      <c r="AC109" s="51"/>
      <c r="AD109" s="51"/>
      <c r="AE109" s="424" t="s">
        <v>10</v>
      </c>
      <c r="AF109" s="51"/>
      <c r="AG109" s="51"/>
      <c r="AH109" s="51"/>
      <c r="AI109" s="531"/>
    </row>
    <row r="110" spans="1:35" ht="21.95" customHeight="1" x14ac:dyDescent="0.2">
      <c r="A110" s="1"/>
      <c r="B110" s="129" t="s">
        <v>324</v>
      </c>
      <c r="C110" s="121" t="s">
        <v>575</v>
      </c>
      <c r="D110" s="156"/>
      <c r="E110" s="156"/>
      <c r="F110" s="612"/>
      <c r="G110" s="121" t="s">
        <v>575</v>
      </c>
      <c r="H110" s="156"/>
      <c r="I110" s="156"/>
      <c r="J110" s="612"/>
      <c r="K110" s="121" t="s">
        <v>575</v>
      </c>
      <c r="L110" s="156"/>
      <c r="M110" s="156"/>
      <c r="N110" s="612"/>
      <c r="O110" s="121" t="s">
        <v>575</v>
      </c>
      <c r="P110" s="156"/>
      <c r="Q110" s="156"/>
      <c r="R110" s="612"/>
      <c r="S110" s="121" t="s">
        <v>576</v>
      </c>
      <c r="T110" s="156"/>
      <c r="U110" s="156"/>
      <c r="V110" s="612"/>
      <c r="W110" s="611"/>
      <c r="X110" s="624"/>
      <c r="Y110" s="624"/>
      <c r="Z110" s="625"/>
      <c r="AA110" s="611"/>
      <c r="AB110" s="156"/>
      <c r="AC110" s="156"/>
      <c r="AD110" s="613"/>
      <c r="AE110" s="128"/>
      <c r="AF110" s="156"/>
      <c r="AG110" s="156" t="s">
        <v>28</v>
      </c>
      <c r="AH110" s="613"/>
      <c r="AI110" s="489"/>
    </row>
    <row r="111" spans="1:35" ht="21.95" customHeight="1" x14ac:dyDescent="0.2">
      <c r="A111" s="1"/>
      <c r="B111" s="129" t="s">
        <v>325</v>
      </c>
      <c r="C111" s="121" t="s">
        <v>577</v>
      </c>
      <c r="D111" s="156"/>
      <c r="E111" s="156"/>
      <c r="F111" s="612"/>
      <c r="G111" s="121" t="s">
        <v>577</v>
      </c>
      <c r="H111" s="156"/>
      <c r="I111" s="156"/>
      <c r="J111" s="612"/>
      <c r="K111" s="121" t="s">
        <v>577</v>
      </c>
      <c r="L111" s="156"/>
      <c r="M111" s="156"/>
      <c r="N111" s="612"/>
      <c r="O111" s="121" t="s">
        <v>577</v>
      </c>
      <c r="P111" s="156"/>
      <c r="Q111" s="156"/>
      <c r="R111" s="612"/>
      <c r="S111" s="121" t="s">
        <v>578</v>
      </c>
      <c r="T111" s="156"/>
      <c r="U111" s="156"/>
      <c r="V111" s="612"/>
      <c r="W111" s="121" t="s">
        <v>579</v>
      </c>
      <c r="X111" s="156"/>
      <c r="Y111" s="156"/>
      <c r="Z111" s="612"/>
      <c r="AA111" s="156"/>
      <c r="AB111" s="156"/>
      <c r="AC111" s="156"/>
      <c r="AD111" s="613"/>
      <c r="AE111" s="128"/>
      <c r="AF111" s="156"/>
      <c r="AG111" s="156"/>
      <c r="AH111" s="613"/>
      <c r="AI111" s="489"/>
    </row>
    <row r="112" spans="1:35" ht="21.95" customHeight="1" x14ac:dyDescent="0.2">
      <c r="A112" s="1"/>
      <c r="B112" s="1786" t="s">
        <v>326</v>
      </c>
      <c r="C112" s="121" t="s">
        <v>580</v>
      </c>
      <c r="D112" s="156"/>
      <c r="E112" s="156"/>
      <c r="F112" s="612"/>
      <c r="G112" s="121" t="s">
        <v>580</v>
      </c>
      <c r="H112" s="156"/>
      <c r="I112" s="156"/>
      <c r="J112" s="612"/>
      <c r="K112" s="121" t="s">
        <v>580</v>
      </c>
      <c r="L112" s="156"/>
      <c r="M112" s="156"/>
      <c r="N112" s="612"/>
      <c r="O112" s="121" t="s">
        <v>580</v>
      </c>
      <c r="P112" s="156"/>
      <c r="Q112" s="156"/>
      <c r="R112" s="612"/>
      <c r="S112" s="121" t="s">
        <v>580</v>
      </c>
      <c r="T112" s="156"/>
      <c r="U112" s="156"/>
      <c r="V112" s="612"/>
      <c r="W112" s="631" t="s">
        <v>579</v>
      </c>
      <c r="X112" s="134"/>
      <c r="Y112" s="134"/>
      <c r="Z112" s="627"/>
      <c r="AA112" s="626"/>
      <c r="AB112" s="134"/>
      <c r="AC112" s="134"/>
      <c r="AD112" s="628"/>
      <c r="AE112" s="128"/>
      <c r="AF112" s="156"/>
      <c r="AG112" s="156"/>
      <c r="AH112" s="613"/>
      <c r="AI112" s="489"/>
    </row>
    <row r="113" spans="1:39" ht="21.95" customHeight="1" x14ac:dyDescent="0.2">
      <c r="A113" s="1"/>
      <c r="B113" s="16" t="s">
        <v>236</v>
      </c>
      <c r="C113" s="57" t="s">
        <v>581</v>
      </c>
      <c r="D113" s="53"/>
      <c r="E113" s="53"/>
      <c r="F113" s="619"/>
      <c r="G113" s="57" t="s">
        <v>581</v>
      </c>
      <c r="H113" s="53"/>
      <c r="I113" s="53"/>
      <c r="J113" s="619"/>
      <c r="K113" s="57" t="s">
        <v>581</v>
      </c>
      <c r="L113" s="53"/>
      <c r="M113" s="53"/>
      <c r="N113" s="619"/>
      <c r="O113" s="57" t="s">
        <v>581</v>
      </c>
      <c r="P113" s="53"/>
      <c r="Q113" s="53"/>
      <c r="R113" s="619"/>
      <c r="S113" s="57" t="s">
        <v>582</v>
      </c>
      <c r="T113" s="53"/>
      <c r="U113" s="53"/>
      <c r="V113" s="620"/>
      <c r="W113" s="57"/>
      <c r="X113" s="620"/>
      <c r="Y113" s="53"/>
      <c r="Z113" s="619"/>
      <c r="AA113" s="57"/>
      <c r="AB113" s="620"/>
      <c r="AC113" s="53"/>
      <c r="AD113" s="619"/>
      <c r="AE113" s="629"/>
      <c r="AF113" s="53"/>
      <c r="AG113" s="53"/>
      <c r="AH113" s="620"/>
      <c r="AI113" s="544"/>
    </row>
    <row r="114" spans="1:39" ht="21.95" customHeight="1" x14ac:dyDescent="0.2">
      <c r="A114" s="621"/>
      <c r="B114" s="1"/>
      <c r="C114" s="360"/>
      <c r="D114" s="360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360"/>
      <c r="Q114" s="360"/>
      <c r="R114" s="360"/>
      <c r="S114" s="360"/>
      <c r="T114" s="360"/>
      <c r="U114" s="360"/>
      <c r="V114" s="360"/>
      <c r="W114" s="360"/>
      <c r="X114" s="360"/>
      <c r="Y114" s="360"/>
      <c r="Z114" s="360"/>
      <c r="AA114" s="360"/>
      <c r="AB114" s="360"/>
      <c r="AC114" s="360"/>
      <c r="AD114" s="360"/>
      <c r="AE114" s="360"/>
      <c r="AF114" s="360"/>
      <c r="AG114" s="360"/>
    </row>
    <row r="115" spans="1:39" ht="21.95" customHeight="1" x14ac:dyDescent="0.2">
      <c r="A115" s="585"/>
      <c r="B115" s="296" t="s">
        <v>469</v>
      </c>
      <c r="C115" s="177">
        <v>1</v>
      </c>
      <c r="D115" s="497">
        <v>2</v>
      </c>
      <c r="E115" s="177">
        <v>3</v>
      </c>
      <c r="F115" s="497">
        <v>4</v>
      </c>
      <c r="G115" s="497">
        <v>5</v>
      </c>
      <c r="H115" s="177">
        <v>6</v>
      </c>
      <c r="I115" s="177">
        <v>7</v>
      </c>
      <c r="J115" s="177">
        <v>8</v>
      </c>
      <c r="K115" s="177">
        <v>9</v>
      </c>
      <c r="L115" s="177">
        <v>10</v>
      </c>
      <c r="M115" s="497">
        <v>11</v>
      </c>
      <c r="N115" s="497">
        <v>12</v>
      </c>
      <c r="O115" s="497">
        <v>13</v>
      </c>
      <c r="P115" s="177">
        <v>14</v>
      </c>
      <c r="Q115" s="177">
        <v>15</v>
      </c>
      <c r="R115" s="177">
        <v>16</v>
      </c>
      <c r="S115" s="177">
        <v>17</v>
      </c>
      <c r="T115" s="497">
        <v>18</v>
      </c>
      <c r="U115" s="497">
        <v>19</v>
      </c>
      <c r="V115" s="177">
        <v>20</v>
      </c>
      <c r="W115" s="177">
        <v>21</v>
      </c>
      <c r="X115" s="177">
        <v>22</v>
      </c>
      <c r="Y115" s="177">
        <v>23</v>
      </c>
      <c r="Z115" s="177">
        <v>24</v>
      </c>
      <c r="AA115" s="497">
        <v>25</v>
      </c>
      <c r="AB115" s="497">
        <v>26</v>
      </c>
      <c r="AC115" s="177">
        <v>27</v>
      </c>
      <c r="AD115" s="177">
        <v>28</v>
      </c>
      <c r="AE115" s="177">
        <v>29</v>
      </c>
      <c r="AF115" s="177">
        <v>30</v>
      </c>
      <c r="AG115" s="177"/>
      <c r="AH115" s="499" t="s">
        <v>470</v>
      </c>
      <c r="AI115" s="500" t="s">
        <v>471</v>
      </c>
    </row>
    <row r="116" spans="1:39" ht="21.95" customHeight="1" x14ac:dyDescent="0.2">
      <c r="A116" s="622">
        <v>1</v>
      </c>
      <c r="B116" s="552" t="s">
        <v>530</v>
      </c>
      <c r="C116" s="553">
        <v>2</v>
      </c>
      <c r="D116" s="553"/>
      <c r="E116" s="553">
        <v>2</v>
      </c>
      <c r="F116" s="553">
        <v>2</v>
      </c>
      <c r="G116" s="587"/>
      <c r="H116" s="553">
        <v>1</v>
      </c>
      <c r="I116" s="553">
        <v>1</v>
      </c>
      <c r="J116" s="553">
        <v>1</v>
      </c>
      <c r="K116" s="553">
        <v>1</v>
      </c>
      <c r="L116" s="553">
        <v>1</v>
      </c>
      <c r="M116" s="587"/>
      <c r="N116" s="587"/>
      <c r="O116" s="553"/>
      <c r="P116" s="553">
        <v>2</v>
      </c>
      <c r="Q116" s="553">
        <v>2</v>
      </c>
      <c r="R116" s="553">
        <v>2</v>
      </c>
      <c r="S116" s="553">
        <v>2</v>
      </c>
      <c r="T116" s="553">
        <v>2</v>
      </c>
      <c r="U116" s="587"/>
      <c r="V116" s="553">
        <v>1</v>
      </c>
      <c r="W116" s="553">
        <v>1</v>
      </c>
      <c r="X116" s="553">
        <v>1</v>
      </c>
      <c r="Y116" s="553">
        <v>1</v>
      </c>
      <c r="Z116" s="553">
        <v>1</v>
      </c>
      <c r="AA116" s="587"/>
      <c r="AB116" s="587"/>
      <c r="AC116" s="553">
        <v>2</v>
      </c>
      <c r="AD116" s="553">
        <v>2</v>
      </c>
      <c r="AE116" s="553">
        <v>2</v>
      </c>
      <c r="AF116" s="553">
        <v>2</v>
      </c>
      <c r="AG116" s="553"/>
      <c r="AH116" s="505">
        <v>185</v>
      </c>
      <c r="AI116" s="506">
        <v>37</v>
      </c>
    </row>
    <row r="117" spans="1:39" ht="21.95" customHeight="1" x14ac:dyDescent="0.2">
      <c r="A117" s="622">
        <v>2</v>
      </c>
      <c r="B117" s="318" t="s">
        <v>583</v>
      </c>
      <c r="C117" s="553">
        <v>1</v>
      </c>
      <c r="D117" s="553"/>
      <c r="E117" s="553">
        <v>1</v>
      </c>
      <c r="F117" s="587"/>
      <c r="G117" s="587"/>
      <c r="H117" s="553">
        <v>2</v>
      </c>
      <c r="I117" s="553">
        <v>2</v>
      </c>
      <c r="J117" s="553">
        <v>2</v>
      </c>
      <c r="K117" s="553">
        <v>2</v>
      </c>
      <c r="L117" s="553">
        <v>2</v>
      </c>
      <c r="M117" s="553">
        <v>2</v>
      </c>
      <c r="N117" s="587"/>
      <c r="O117" s="553"/>
      <c r="P117" s="553">
        <v>1</v>
      </c>
      <c r="Q117" s="553">
        <v>1</v>
      </c>
      <c r="R117" s="553">
        <v>1</v>
      </c>
      <c r="S117" s="553">
        <v>1</v>
      </c>
      <c r="T117" s="587"/>
      <c r="U117" s="587"/>
      <c r="V117" s="1064">
        <v>2</v>
      </c>
      <c r="W117" s="1064">
        <v>2</v>
      </c>
      <c r="X117" s="1064">
        <v>2</v>
      </c>
      <c r="Y117" s="1064">
        <v>2</v>
      </c>
      <c r="Z117" s="1064">
        <v>2</v>
      </c>
      <c r="AA117" s="1064">
        <v>2</v>
      </c>
      <c r="AB117" s="1060"/>
      <c r="AC117" s="553">
        <v>1</v>
      </c>
      <c r="AD117" s="553">
        <v>1</v>
      </c>
      <c r="AE117" s="553">
        <v>1</v>
      </c>
      <c r="AF117" s="553">
        <v>1</v>
      </c>
      <c r="AG117" s="553"/>
      <c r="AH117" s="505">
        <v>148</v>
      </c>
      <c r="AI117" s="506">
        <v>37</v>
      </c>
    </row>
    <row r="118" spans="1:39" ht="21.95" customHeight="1" x14ac:dyDescent="0.2">
      <c r="A118" s="622">
        <v>3</v>
      </c>
      <c r="B118" s="552" t="s">
        <v>289</v>
      </c>
      <c r="C118" s="553">
        <v>4</v>
      </c>
      <c r="D118" s="553"/>
      <c r="E118" s="553">
        <v>4</v>
      </c>
      <c r="F118" s="587"/>
      <c r="G118" s="587"/>
      <c r="H118" s="553">
        <v>3</v>
      </c>
      <c r="I118" s="553">
        <v>3</v>
      </c>
      <c r="J118" s="1116">
        <v>3</v>
      </c>
      <c r="K118" s="1116">
        <v>3</v>
      </c>
      <c r="L118" s="553">
        <v>3</v>
      </c>
      <c r="M118" s="553">
        <v>3</v>
      </c>
      <c r="N118" s="587"/>
      <c r="O118" s="553"/>
      <c r="P118" s="553">
        <v>4</v>
      </c>
      <c r="Q118" s="553">
        <v>4</v>
      </c>
      <c r="R118" s="553">
        <v>4</v>
      </c>
      <c r="S118" s="553">
        <v>4</v>
      </c>
      <c r="T118" s="587"/>
      <c r="U118" s="587"/>
      <c r="V118" s="553">
        <v>3</v>
      </c>
      <c r="W118" s="553">
        <v>3</v>
      </c>
      <c r="X118" s="553">
        <v>3</v>
      </c>
      <c r="Y118" s="553">
        <v>3</v>
      </c>
      <c r="Z118" s="553">
        <v>3</v>
      </c>
      <c r="AA118" s="553">
        <v>3</v>
      </c>
      <c r="AB118" s="587"/>
      <c r="AC118" s="553">
        <v>4</v>
      </c>
      <c r="AD118" s="553">
        <v>4</v>
      </c>
      <c r="AE118" s="553">
        <v>4</v>
      </c>
      <c r="AF118" s="553">
        <v>4</v>
      </c>
      <c r="AG118" s="553"/>
      <c r="AH118" s="505">
        <v>211</v>
      </c>
      <c r="AI118" s="506">
        <v>37</v>
      </c>
    </row>
    <row r="119" spans="1:39" ht="21.95" customHeight="1" x14ac:dyDescent="0.2">
      <c r="A119" s="622">
        <v>4</v>
      </c>
      <c r="B119" s="552" t="s">
        <v>584</v>
      </c>
      <c r="C119" s="553">
        <v>3</v>
      </c>
      <c r="D119" s="553"/>
      <c r="E119" s="553">
        <v>3</v>
      </c>
      <c r="F119" s="553">
        <v>3</v>
      </c>
      <c r="G119" s="587"/>
      <c r="H119" s="1064">
        <v>4</v>
      </c>
      <c r="I119" s="553">
        <v>4</v>
      </c>
      <c r="J119" s="553">
        <v>4</v>
      </c>
      <c r="K119" s="1064">
        <v>4</v>
      </c>
      <c r="L119" s="553">
        <v>4</v>
      </c>
      <c r="M119" s="587"/>
      <c r="N119" s="587"/>
      <c r="O119" s="553"/>
      <c r="P119" s="553">
        <v>3</v>
      </c>
      <c r="Q119" s="553">
        <v>3</v>
      </c>
      <c r="R119" s="553">
        <v>3</v>
      </c>
      <c r="S119" s="553">
        <v>3</v>
      </c>
      <c r="T119" s="553">
        <v>3</v>
      </c>
      <c r="U119" s="587"/>
      <c r="V119" s="553">
        <v>4</v>
      </c>
      <c r="W119" s="553">
        <v>4</v>
      </c>
      <c r="X119" s="553">
        <v>4</v>
      </c>
      <c r="Y119" s="553">
        <v>4</v>
      </c>
      <c r="Z119" s="553">
        <v>4</v>
      </c>
      <c r="AA119" s="587"/>
      <c r="AB119" s="587"/>
      <c r="AC119" s="553">
        <v>3</v>
      </c>
      <c r="AD119" s="553">
        <v>3</v>
      </c>
      <c r="AE119" s="1064">
        <v>3</v>
      </c>
      <c r="AF119" s="1064">
        <v>3</v>
      </c>
      <c r="AG119" s="553"/>
      <c r="AH119" s="505">
        <v>196</v>
      </c>
      <c r="AI119" s="506">
        <v>37</v>
      </c>
    </row>
    <row r="120" spans="1:39" ht="21.95" customHeight="1" x14ac:dyDescent="0.2">
      <c r="A120" s="623"/>
      <c r="B120" s="630"/>
      <c r="C120" s="590"/>
      <c r="D120" s="590"/>
      <c r="E120" s="590"/>
      <c r="F120" s="590"/>
      <c r="G120" s="590"/>
      <c r="H120" s="590"/>
      <c r="I120" s="590"/>
      <c r="J120" s="590"/>
      <c r="K120" s="590"/>
      <c r="L120" s="590"/>
      <c r="M120" s="590"/>
      <c r="N120" s="590"/>
      <c r="O120" s="590"/>
      <c r="P120" s="590"/>
      <c r="Q120" s="590"/>
      <c r="R120" s="590"/>
      <c r="S120" s="590"/>
      <c r="T120" s="590"/>
      <c r="U120" s="590"/>
      <c r="V120" s="590"/>
      <c r="W120" s="590"/>
      <c r="X120" s="590"/>
      <c r="Y120" s="590"/>
      <c r="Z120" s="590"/>
      <c r="AA120" s="590"/>
      <c r="AB120" s="590"/>
      <c r="AC120" s="590"/>
      <c r="AD120" s="590"/>
      <c r="AE120" s="590"/>
      <c r="AF120" s="590"/>
      <c r="AG120" s="590"/>
      <c r="AH120" s="591"/>
      <c r="AI120" s="591"/>
    </row>
    <row r="121" spans="1:39" ht="21.95" customHeight="1" x14ac:dyDescent="0.2">
      <c r="A121" s="311" t="s">
        <v>585</v>
      </c>
      <c r="C121" s="590"/>
      <c r="D121" s="590"/>
      <c r="E121" s="590"/>
      <c r="F121" s="590"/>
      <c r="G121" s="590"/>
      <c r="H121" s="590"/>
      <c r="I121" s="590"/>
      <c r="J121" s="590"/>
      <c r="K121" s="590"/>
      <c r="L121" s="590"/>
      <c r="M121" s="590"/>
      <c r="N121" s="590"/>
      <c r="O121" s="590"/>
      <c r="P121" s="590"/>
      <c r="Q121" s="590"/>
      <c r="R121" s="590"/>
      <c r="S121" s="590"/>
      <c r="T121" s="590"/>
      <c r="U121" s="590"/>
      <c r="V121" s="590"/>
      <c r="W121" s="590"/>
      <c r="X121" s="590"/>
      <c r="Y121" s="590"/>
      <c r="Z121" s="590"/>
      <c r="AA121" s="590"/>
      <c r="AB121" s="590"/>
      <c r="AC121" s="590"/>
      <c r="AD121" s="590"/>
      <c r="AE121" s="590"/>
      <c r="AF121" s="590"/>
      <c r="AG121" s="590"/>
      <c r="AH121" s="591"/>
      <c r="AI121" s="591"/>
      <c r="AJ121" s="360"/>
    </row>
    <row r="122" spans="1:39" ht="21.95" customHeight="1" x14ac:dyDescent="0.2">
      <c r="A122" s="298" t="s">
        <v>468</v>
      </c>
      <c r="B122" s="298"/>
      <c r="C122" s="152"/>
      <c r="D122" s="298" t="s">
        <v>2</v>
      </c>
      <c r="E122" s="185"/>
      <c r="F122" s="152"/>
      <c r="G122" s="298" t="s">
        <v>3</v>
      </c>
      <c r="H122" s="185"/>
      <c r="I122" s="152"/>
      <c r="J122" s="298" t="s">
        <v>4</v>
      </c>
      <c r="K122" s="185"/>
      <c r="L122" s="152"/>
      <c r="M122" s="298" t="s">
        <v>5</v>
      </c>
      <c r="N122" s="185"/>
      <c r="O122" s="152"/>
      <c r="P122" s="298" t="s">
        <v>6</v>
      </c>
      <c r="Q122" s="185"/>
      <c r="R122" s="133"/>
      <c r="S122" s="198" t="s">
        <v>7</v>
      </c>
      <c r="T122" s="185"/>
      <c r="U122" s="152"/>
      <c r="V122" s="298" t="s">
        <v>8</v>
      </c>
      <c r="W122" s="185"/>
      <c r="X122" s="632" t="s">
        <v>10</v>
      </c>
      <c r="Y122" s="185"/>
      <c r="Z122" s="185"/>
      <c r="AA122" s="598"/>
      <c r="AB122" s="482"/>
      <c r="AC122" s="482"/>
      <c r="AD122" s="482"/>
      <c r="AE122" s="482"/>
      <c r="AF122" s="482"/>
      <c r="AG122" s="483"/>
      <c r="AH122" s="360"/>
      <c r="AI122" s="360"/>
      <c r="AJ122" s="360"/>
    </row>
    <row r="123" spans="1:39" ht="21.95" customHeight="1" x14ac:dyDescent="0.2">
      <c r="A123" s="1786">
        <v>8517</v>
      </c>
      <c r="B123" s="501" t="s">
        <v>586</v>
      </c>
      <c r="C123" s="631" t="s">
        <v>124</v>
      </c>
      <c r="D123" s="628"/>
      <c r="E123" s="633"/>
      <c r="F123" s="631" t="s">
        <v>124</v>
      </c>
      <c r="G123" s="634"/>
      <c r="H123" s="633"/>
      <c r="I123" s="121" t="s">
        <v>124</v>
      </c>
      <c r="J123" s="613"/>
      <c r="K123" s="635"/>
      <c r="L123" s="121" t="s">
        <v>124</v>
      </c>
      <c r="M123" s="613"/>
      <c r="N123" s="635"/>
      <c r="O123" s="121" t="s">
        <v>125</v>
      </c>
      <c r="P123" s="613"/>
      <c r="Q123" s="476"/>
      <c r="R123" s="636" t="s">
        <v>28</v>
      </c>
      <c r="S123" s="613"/>
      <c r="T123" s="635"/>
      <c r="U123" s="613" t="s">
        <v>28</v>
      </c>
      <c r="V123" s="613"/>
      <c r="W123" s="476"/>
      <c r="X123" s="144" t="s">
        <v>28</v>
      </c>
      <c r="Y123" s="360"/>
      <c r="Z123" s="360"/>
      <c r="AA123" s="360"/>
      <c r="AB123" s="360"/>
      <c r="AC123" s="360"/>
      <c r="AD123" s="360"/>
      <c r="AE123" s="360"/>
      <c r="AF123" s="360"/>
      <c r="AG123" s="637"/>
      <c r="AH123" s="360"/>
      <c r="AI123" s="360"/>
      <c r="AJ123" s="360"/>
    </row>
    <row r="124" spans="1:39" ht="21.95" customHeight="1" x14ac:dyDescent="0.2">
      <c r="A124" s="638">
        <v>8502</v>
      </c>
      <c r="B124" s="639" t="s">
        <v>587</v>
      </c>
      <c r="C124" s="121" t="s">
        <v>11</v>
      </c>
      <c r="D124" s="613"/>
      <c r="E124" s="476"/>
      <c r="F124" s="121" t="s">
        <v>11</v>
      </c>
      <c r="G124" s="613"/>
      <c r="H124" s="635"/>
      <c r="I124" s="121" t="s">
        <v>11</v>
      </c>
      <c r="J124" s="613"/>
      <c r="K124" s="635"/>
      <c r="L124" s="121" t="s">
        <v>11</v>
      </c>
      <c r="M124" s="613"/>
      <c r="N124" s="635"/>
      <c r="O124" s="121" t="s">
        <v>12</v>
      </c>
      <c r="P124" s="613"/>
      <c r="Q124" s="476"/>
      <c r="R124" s="640"/>
      <c r="S124" s="641"/>
      <c r="T124" s="635"/>
      <c r="U124" s="613"/>
      <c r="V124" s="613"/>
      <c r="W124" s="476"/>
      <c r="X124" s="475"/>
      <c r="Y124" s="482"/>
      <c r="Z124" s="482"/>
      <c r="AA124" s="482"/>
      <c r="AB124" s="482"/>
      <c r="AC124" s="482"/>
      <c r="AD124" s="482"/>
      <c r="AE124" s="482"/>
      <c r="AF124" s="482"/>
      <c r="AG124" s="483"/>
      <c r="AH124" s="360"/>
      <c r="AI124" s="360"/>
      <c r="AJ124" s="360"/>
    </row>
    <row r="125" spans="1:39" ht="21.95" customHeight="1" x14ac:dyDescent="0.2">
      <c r="A125" s="273"/>
      <c r="B125" s="524"/>
      <c r="C125" s="353"/>
      <c r="D125" s="353"/>
      <c r="E125" s="73"/>
      <c r="F125" s="353"/>
      <c r="G125" s="353"/>
      <c r="H125" s="73"/>
      <c r="I125" s="353"/>
      <c r="J125" s="353"/>
      <c r="K125" s="73"/>
      <c r="L125" s="353"/>
      <c r="M125" s="353"/>
      <c r="N125" s="73"/>
      <c r="O125" s="353"/>
      <c r="P125" s="353"/>
      <c r="Q125" s="73"/>
      <c r="R125" s="167"/>
      <c r="S125" s="353"/>
      <c r="T125" s="73"/>
      <c r="U125" s="353"/>
      <c r="V125" s="353"/>
      <c r="W125" s="73"/>
      <c r="X125" s="73"/>
      <c r="Y125" s="360"/>
      <c r="Z125" s="360"/>
      <c r="AA125" s="360"/>
      <c r="AB125" s="360"/>
      <c r="AC125" s="360"/>
      <c r="AD125" s="360"/>
      <c r="AE125" s="360"/>
      <c r="AF125" s="360"/>
      <c r="AG125" s="360"/>
      <c r="AH125" s="360"/>
      <c r="AI125" s="360"/>
    </row>
    <row r="126" spans="1:39" ht="21.95" customHeight="1" x14ac:dyDescent="0.2">
      <c r="A126" s="642"/>
      <c r="B126" s="181" t="s">
        <v>469</v>
      </c>
      <c r="C126" s="177">
        <v>1</v>
      </c>
      <c r="D126" s="497">
        <v>2</v>
      </c>
      <c r="E126" s="177">
        <v>3</v>
      </c>
      <c r="F126" s="497">
        <v>4</v>
      </c>
      <c r="G126" s="497">
        <v>5</v>
      </c>
      <c r="H126" s="177">
        <v>6</v>
      </c>
      <c r="I126" s="177">
        <v>7</v>
      </c>
      <c r="J126" s="177">
        <v>8</v>
      </c>
      <c r="K126" s="177">
        <v>9</v>
      </c>
      <c r="L126" s="177">
        <v>10</v>
      </c>
      <c r="M126" s="497">
        <v>11</v>
      </c>
      <c r="N126" s="497">
        <v>12</v>
      </c>
      <c r="O126" s="497">
        <v>13</v>
      </c>
      <c r="P126" s="177">
        <v>14</v>
      </c>
      <c r="Q126" s="177">
        <v>15</v>
      </c>
      <c r="R126" s="177">
        <v>16</v>
      </c>
      <c r="S126" s="177">
        <v>17</v>
      </c>
      <c r="T126" s="497">
        <v>18</v>
      </c>
      <c r="U126" s="497">
        <v>19</v>
      </c>
      <c r="V126" s="177">
        <v>20</v>
      </c>
      <c r="W126" s="177">
        <v>21</v>
      </c>
      <c r="X126" s="177">
        <v>22</v>
      </c>
      <c r="Y126" s="177">
        <v>23</v>
      </c>
      <c r="Z126" s="177">
        <v>24</v>
      </c>
      <c r="AA126" s="497">
        <v>25</v>
      </c>
      <c r="AB126" s="497">
        <v>26</v>
      </c>
      <c r="AC126" s="177">
        <v>27</v>
      </c>
      <c r="AD126" s="177">
        <v>28</v>
      </c>
      <c r="AE126" s="177">
        <v>29</v>
      </c>
      <c r="AF126" s="177">
        <v>30</v>
      </c>
      <c r="AG126" s="177"/>
      <c r="AH126" s="643" t="s">
        <v>470</v>
      </c>
      <c r="AI126" s="644" t="s">
        <v>471</v>
      </c>
      <c r="AM126" s="702"/>
    </row>
    <row r="127" spans="1:39" ht="21.95" customHeight="1" x14ac:dyDescent="0.2">
      <c r="A127" s="645">
        <v>1</v>
      </c>
      <c r="B127" s="552" t="s">
        <v>588</v>
      </c>
      <c r="C127" s="1088" t="s">
        <v>482</v>
      </c>
      <c r="D127" s="1088"/>
      <c r="E127" s="1088" t="s">
        <v>482</v>
      </c>
      <c r="F127" s="1088"/>
      <c r="G127" s="1088"/>
      <c r="H127" s="1088" t="s">
        <v>482</v>
      </c>
      <c r="I127" s="1088" t="s">
        <v>482</v>
      </c>
      <c r="J127" s="1088" t="s">
        <v>482</v>
      </c>
      <c r="K127" s="1088" t="s">
        <v>482</v>
      </c>
      <c r="L127" s="1088" t="s">
        <v>482</v>
      </c>
      <c r="M127" s="1088"/>
      <c r="N127" s="1088"/>
      <c r="O127" s="1088"/>
      <c r="P127" s="1088" t="s">
        <v>482</v>
      </c>
      <c r="Q127" s="1088" t="s">
        <v>482</v>
      </c>
      <c r="R127" s="1088" t="s">
        <v>482</v>
      </c>
      <c r="S127" s="1088" t="s">
        <v>482</v>
      </c>
      <c r="T127" s="1088"/>
      <c r="U127" s="1088"/>
      <c r="V127" s="1088" t="s">
        <v>482</v>
      </c>
      <c r="W127" s="1088" t="s">
        <v>482</v>
      </c>
      <c r="X127" s="1088" t="s">
        <v>482</v>
      </c>
      <c r="Y127" s="1088" t="s">
        <v>482</v>
      </c>
      <c r="Z127" s="1088" t="s">
        <v>482</v>
      </c>
      <c r="AA127" s="1088"/>
      <c r="AB127" s="1088"/>
      <c r="AC127" s="1088" t="s">
        <v>482</v>
      </c>
      <c r="AD127" s="1088" t="s">
        <v>482</v>
      </c>
      <c r="AE127" s="1088" t="s">
        <v>482</v>
      </c>
      <c r="AF127" s="1088" t="s">
        <v>482</v>
      </c>
      <c r="AG127" s="503"/>
      <c r="AH127" s="646">
        <v>185</v>
      </c>
      <c r="AI127" s="647">
        <v>37</v>
      </c>
    </row>
    <row r="128" spans="1:39" ht="21.95" customHeight="1" x14ac:dyDescent="0.2">
      <c r="A128" s="645">
        <v>2</v>
      </c>
      <c r="B128" s="552" t="s">
        <v>589</v>
      </c>
      <c r="C128" s="503">
        <v>6</v>
      </c>
      <c r="D128" s="503">
        <v>6</v>
      </c>
      <c r="E128" s="503">
        <v>6</v>
      </c>
      <c r="F128" s="503" t="s">
        <v>508</v>
      </c>
      <c r="G128" s="503" t="s">
        <v>504</v>
      </c>
      <c r="H128" s="503" t="s">
        <v>475</v>
      </c>
      <c r="I128" s="503" t="s">
        <v>475</v>
      </c>
      <c r="J128" s="503" t="s">
        <v>475</v>
      </c>
      <c r="K128" s="503" t="s">
        <v>475</v>
      </c>
      <c r="L128" s="503" t="s">
        <v>475</v>
      </c>
      <c r="M128" s="503"/>
      <c r="N128" s="503"/>
      <c r="O128" s="1059">
        <v>5</v>
      </c>
      <c r="P128" s="1059">
        <v>5</v>
      </c>
      <c r="Q128" s="1059">
        <v>5</v>
      </c>
      <c r="R128" s="1059">
        <v>5</v>
      </c>
      <c r="S128" s="1059">
        <v>5</v>
      </c>
      <c r="T128" s="1059"/>
      <c r="U128" s="1059"/>
      <c r="V128" s="1059">
        <v>10</v>
      </c>
      <c r="W128" s="1059">
        <v>10</v>
      </c>
      <c r="X128" s="1059">
        <v>10</v>
      </c>
      <c r="Y128" s="1059">
        <v>10</v>
      </c>
      <c r="Z128" s="1059">
        <v>10</v>
      </c>
      <c r="AA128" s="1059" t="s">
        <v>507</v>
      </c>
      <c r="AB128" s="1059" t="s">
        <v>507</v>
      </c>
      <c r="AC128" s="1059" t="s">
        <v>475</v>
      </c>
      <c r="AD128" s="1059" t="s">
        <v>475</v>
      </c>
      <c r="AE128" s="1059" t="s">
        <v>475</v>
      </c>
      <c r="AF128" s="1059" t="s">
        <v>475</v>
      </c>
      <c r="AG128" s="503"/>
      <c r="AH128" s="505">
        <v>83</v>
      </c>
      <c r="AI128" s="506">
        <v>37</v>
      </c>
    </row>
    <row r="129" spans="1:35" ht="21.95" customHeight="1" x14ac:dyDescent="0.2">
      <c r="A129" s="645">
        <v>3</v>
      </c>
      <c r="B129" s="552" t="s">
        <v>590</v>
      </c>
      <c r="C129" s="1059" t="s">
        <v>475</v>
      </c>
      <c r="D129" s="1059" t="s">
        <v>475</v>
      </c>
      <c r="E129" s="1059" t="s">
        <v>475</v>
      </c>
      <c r="F129" s="1059"/>
      <c r="G129" s="1059"/>
      <c r="H129" s="1059" t="s">
        <v>551</v>
      </c>
      <c r="I129" s="1059" t="s">
        <v>551</v>
      </c>
      <c r="J129" s="1059" t="s">
        <v>551</v>
      </c>
      <c r="K129" s="1059" t="s">
        <v>551</v>
      </c>
      <c r="L129" s="1059" t="s">
        <v>551</v>
      </c>
      <c r="M129" s="1059"/>
      <c r="N129" s="1059"/>
      <c r="O129" s="587" t="s">
        <v>550</v>
      </c>
      <c r="P129" s="587" t="s">
        <v>513</v>
      </c>
      <c r="Q129" s="587" t="s">
        <v>513</v>
      </c>
      <c r="R129" s="587" t="s">
        <v>513</v>
      </c>
      <c r="S129" s="587" t="s">
        <v>513</v>
      </c>
      <c r="T129" s="587" t="s">
        <v>550</v>
      </c>
      <c r="U129" s="587" t="s">
        <v>550</v>
      </c>
      <c r="V129" s="587" t="s">
        <v>475</v>
      </c>
      <c r="W129" s="587" t="s">
        <v>475</v>
      </c>
      <c r="X129" s="587" t="s">
        <v>475</v>
      </c>
      <c r="Y129" s="587" t="s">
        <v>475</v>
      </c>
      <c r="Z129" s="587" t="s">
        <v>475</v>
      </c>
      <c r="AA129" s="587"/>
      <c r="AB129" s="587"/>
      <c r="AC129" s="587" t="s">
        <v>529</v>
      </c>
      <c r="AD129" s="587" t="s">
        <v>529</v>
      </c>
      <c r="AE129" s="587" t="s">
        <v>529</v>
      </c>
      <c r="AF129" s="587" t="s">
        <v>529</v>
      </c>
      <c r="AG129" s="503"/>
      <c r="AH129" s="505">
        <v>80</v>
      </c>
      <c r="AI129" s="506">
        <v>37</v>
      </c>
    </row>
    <row r="130" spans="1:35" ht="21.95" customHeight="1" x14ac:dyDescent="0.2">
      <c r="A130" s="645">
        <v>4</v>
      </c>
      <c r="B130" s="152" t="s">
        <v>591</v>
      </c>
      <c r="C130" s="1093" t="s">
        <v>482</v>
      </c>
      <c r="D130" s="1093"/>
      <c r="E130" s="1093" t="s">
        <v>482</v>
      </c>
      <c r="F130" s="1093"/>
      <c r="G130" s="1093"/>
      <c r="H130" s="1093" t="s">
        <v>482</v>
      </c>
      <c r="I130" s="1093" t="s">
        <v>482</v>
      </c>
      <c r="J130" s="1435" t="s">
        <v>482</v>
      </c>
      <c r="K130" s="1093" t="s">
        <v>482</v>
      </c>
      <c r="L130" s="1093" t="s">
        <v>482</v>
      </c>
      <c r="M130" s="1093"/>
      <c r="N130" s="1093"/>
      <c r="O130" s="1093"/>
      <c r="P130" s="1058" t="s">
        <v>482</v>
      </c>
      <c r="Q130" s="1093" t="s">
        <v>482</v>
      </c>
      <c r="R130" s="1093" t="s">
        <v>482</v>
      </c>
      <c r="S130" s="1093" t="s">
        <v>482</v>
      </c>
      <c r="T130" s="1093"/>
      <c r="U130" s="1093"/>
      <c r="V130" s="1093" t="s">
        <v>482</v>
      </c>
      <c r="W130" s="1093" t="s">
        <v>482</v>
      </c>
      <c r="X130" s="1093" t="s">
        <v>482</v>
      </c>
      <c r="Y130" s="1093" t="s">
        <v>482</v>
      </c>
      <c r="Z130" s="1093" t="s">
        <v>482</v>
      </c>
      <c r="AA130" s="1093"/>
      <c r="AB130" s="1093"/>
      <c r="AC130" s="1093" t="s">
        <v>482</v>
      </c>
      <c r="AD130" s="1093" t="s">
        <v>482</v>
      </c>
      <c r="AE130" s="1093" t="s">
        <v>482</v>
      </c>
      <c r="AF130" s="1093" t="s">
        <v>482</v>
      </c>
      <c r="AG130" s="503"/>
      <c r="AH130" s="505">
        <v>185</v>
      </c>
      <c r="AI130" s="506">
        <v>37</v>
      </c>
    </row>
    <row r="131" spans="1:35" ht="21.95" customHeight="1" x14ac:dyDescent="0.2">
      <c r="A131" s="645">
        <v>5</v>
      </c>
      <c r="B131" s="152" t="s">
        <v>592</v>
      </c>
      <c r="C131" s="503">
        <v>4</v>
      </c>
      <c r="D131" s="503">
        <v>4</v>
      </c>
      <c r="E131" s="503">
        <v>4</v>
      </c>
      <c r="F131" s="503"/>
      <c r="G131" s="503"/>
      <c r="H131" s="503" t="s">
        <v>475</v>
      </c>
      <c r="I131" s="503" t="s">
        <v>475</v>
      </c>
      <c r="J131" s="503" t="s">
        <v>475</v>
      </c>
      <c r="K131" s="503" t="s">
        <v>475</v>
      </c>
      <c r="L131" s="503" t="s">
        <v>475</v>
      </c>
      <c r="M131" s="503" t="s">
        <v>484</v>
      </c>
      <c r="N131" s="503" t="s">
        <v>484</v>
      </c>
      <c r="O131" s="503" t="s">
        <v>484</v>
      </c>
      <c r="P131" s="503" t="s">
        <v>529</v>
      </c>
      <c r="Q131" s="503" t="s">
        <v>529</v>
      </c>
      <c r="R131" s="503" t="s">
        <v>529</v>
      </c>
      <c r="S131" s="503" t="s">
        <v>529</v>
      </c>
      <c r="T131" s="503"/>
      <c r="U131" s="503" t="s">
        <v>484</v>
      </c>
      <c r="V131" s="503">
        <v>10</v>
      </c>
      <c r="W131" s="503">
        <v>10</v>
      </c>
      <c r="X131" s="503">
        <v>10</v>
      </c>
      <c r="Y131" s="503">
        <v>10</v>
      </c>
      <c r="Z131" s="503" t="s">
        <v>482</v>
      </c>
      <c r="AA131" s="503" t="s">
        <v>484</v>
      </c>
      <c r="AB131" s="503" t="s">
        <v>484</v>
      </c>
      <c r="AC131" s="503" t="s">
        <v>540</v>
      </c>
      <c r="AD131" s="503" t="s">
        <v>540</v>
      </c>
      <c r="AE131" s="503" t="s">
        <v>540</v>
      </c>
      <c r="AF131" s="503" t="s">
        <v>540</v>
      </c>
      <c r="AG131" s="503"/>
      <c r="AH131" s="505">
        <v>185</v>
      </c>
      <c r="AI131" s="506">
        <v>37</v>
      </c>
    </row>
    <row r="132" spans="1:35" ht="21.95" customHeight="1" x14ac:dyDescent="0.2">
      <c r="A132" s="645">
        <v>6</v>
      </c>
      <c r="B132" s="152" t="s">
        <v>594</v>
      </c>
      <c r="C132" s="1059" t="s">
        <v>482</v>
      </c>
      <c r="D132" s="1059"/>
      <c r="E132" s="1059" t="s">
        <v>482</v>
      </c>
      <c r="F132" s="1059"/>
      <c r="G132" s="1059"/>
      <c r="H132" s="1059" t="s">
        <v>482</v>
      </c>
      <c r="I132" s="1059" t="s">
        <v>482</v>
      </c>
      <c r="J132" s="1059" t="s">
        <v>482</v>
      </c>
      <c r="K132" s="1059" t="s">
        <v>482</v>
      </c>
      <c r="L132" s="1059" t="s">
        <v>482</v>
      </c>
      <c r="M132" s="1059"/>
      <c r="N132" s="1059"/>
      <c r="O132" s="503"/>
      <c r="P132" s="503" t="s">
        <v>475</v>
      </c>
      <c r="Q132" s="503" t="s">
        <v>475</v>
      </c>
      <c r="R132" s="503" t="s">
        <v>475</v>
      </c>
      <c r="S132" s="503" t="s">
        <v>475</v>
      </c>
      <c r="T132" s="503" t="s">
        <v>505</v>
      </c>
      <c r="U132" s="503" t="s">
        <v>505</v>
      </c>
      <c r="V132" s="503">
        <v>7</v>
      </c>
      <c r="W132" s="503">
        <v>7</v>
      </c>
      <c r="X132" s="503">
        <v>7</v>
      </c>
      <c r="Y132" s="503">
        <v>7</v>
      </c>
      <c r="Z132" s="503">
        <v>7</v>
      </c>
      <c r="AA132" s="503"/>
      <c r="AB132" s="503"/>
      <c r="AC132" s="503">
        <v>4</v>
      </c>
      <c r="AD132" s="503">
        <v>4</v>
      </c>
      <c r="AE132" s="503">
        <v>4</v>
      </c>
      <c r="AF132" s="503">
        <v>4</v>
      </c>
      <c r="AG132" s="503"/>
      <c r="AH132" s="505">
        <v>74</v>
      </c>
      <c r="AI132" s="506">
        <v>37</v>
      </c>
    </row>
    <row r="133" spans="1:35" ht="21.95" customHeight="1" x14ac:dyDescent="0.2">
      <c r="A133" s="645">
        <v>7</v>
      </c>
      <c r="B133" s="152" t="s">
        <v>597</v>
      </c>
      <c r="C133" s="503" t="s">
        <v>540</v>
      </c>
      <c r="D133" s="503" t="s">
        <v>484</v>
      </c>
      <c r="E133" s="503" t="s">
        <v>475</v>
      </c>
      <c r="F133" s="503" t="s">
        <v>563</v>
      </c>
      <c r="G133" s="503" t="s">
        <v>564</v>
      </c>
      <c r="H133" s="503" t="s">
        <v>475</v>
      </c>
      <c r="I133" s="503" t="s">
        <v>552</v>
      </c>
      <c r="J133" s="503" t="s">
        <v>552</v>
      </c>
      <c r="K133" s="503" t="s">
        <v>552</v>
      </c>
      <c r="L133" s="503" t="s">
        <v>552</v>
      </c>
      <c r="M133" s="503"/>
      <c r="N133" s="503"/>
      <c r="O133" s="503"/>
      <c r="P133" s="503" t="s">
        <v>552</v>
      </c>
      <c r="Q133" s="503" t="s">
        <v>552</v>
      </c>
      <c r="R133" s="503" t="s">
        <v>552</v>
      </c>
      <c r="S133" s="503" t="s">
        <v>552</v>
      </c>
      <c r="T133" s="503"/>
      <c r="U133" s="503"/>
      <c r="V133" s="503" t="s">
        <v>552</v>
      </c>
      <c r="W133" s="503" t="s">
        <v>552</v>
      </c>
      <c r="X133" s="503" t="s">
        <v>552</v>
      </c>
      <c r="Y133" s="503" t="s">
        <v>552</v>
      </c>
      <c r="Z133" s="503" t="s">
        <v>552</v>
      </c>
      <c r="AA133" s="503"/>
      <c r="AB133" s="503"/>
      <c r="AC133" s="1059" t="s">
        <v>552</v>
      </c>
      <c r="AD133" s="1059" t="s">
        <v>552</v>
      </c>
      <c r="AE133" s="1059" t="s">
        <v>552</v>
      </c>
      <c r="AF133" s="1059" t="s">
        <v>552</v>
      </c>
      <c r="AG133" s="1059"/>
      <c r="AH133" s="505">
        <v>148</v>
      </c>
      <c r="AI133" s="506">
        <v>37</v>
      </c>
    </row>
    <row r="134" spans="1:35" ht="21.95" customHeight="1" x14ac:dyDescent="0.2">
      <c r="A134" s="645">
        <v>8</v>
      </c>
      <c r="B134" s="552" t="s">
        <v>676</v>
      </c>
      <c r="C134" s="503" t="s">
        <v>475</v>
      </c>
      <c r="D134" s="503">
        <v>3</v>
      </c>
      <c r="E134" s="503">
        <v>3</v>
      </c>
      <c r="F134" s="503" t="s">
        <v>504</v>
      </c>
      <c r="G134" s="503" t="s">
        <v>504</v>
      </c>
      <c r="H134" s="503" t="s">
        <v>475</v>
      </c>
      <c r="I134" s="503" t="s">
        <v>475</v>
      </c>
      <c r="J134" s="503" t="s">
        <v>540</v>
      </c>
      <c r="K134" s="503" t="s">
        <v>475</v>
      </c>
      <c r="L134" s="503" t="s">
        <v>475</v>
      </c>
      <c r="M134" s="503" t="s">
        <v>504</v>
      </c>
      <c r="N134" s="503"/>
      <c r="O134" s="503" t="s">
        <v>475</v>
      </c>
      <c r="P134" s="503" t="s">
        <v>475</v>
      </c>
      <c r="Q134" s="503" t="s">
        <v>522</v>
      </c>
      <c r="R134" s="503" t="s">
        <v>522</v>
      </c>
      <c r="S134" s="503" t="s">
        <v>522</v>
      </c>
      <c r="T134" s="503" t="s">
        <v>568</v>
      </c>
      <c r="U134" s="503" t="s">
        <v>569</v>
      </c>
      <c r="V134" s="503" t="s">
        <v>475</v>
      </c>
      <c r="W134" s="503" t="s">
        <v>475</v>
      </c>
      <c r="X134" s="503" t="s">
        <v>475</v>
      </c>
      <c r="Y134" s="503">
        <v>9</v>
      </c>
      <c r="Z134" s="503">
        <v>9</v>
      </c>
      <c r="AA134" s="503"/>
      <c r="AB134" s="503" t="s">
        <v>28</v>
      </c>
      <c r="AC134" s="503">
        <v>8</v>
      </c>
      <c r="AD134" s="503">
        <v>8</v>
      </c>
      <c r="AE134" s="503">
        <v>10</v>
      </c>
      <c r="AF134" s="503">
        <v>10</v>
      </c>
      <c r="AG134" s="503"/>
      <c r="AH134" s="648">
        <v>185</v>
      </c>
      <c r="AI134" s="649">
        <v>37</v>
      </c>
    </row>
    <row r="135" spans="1:35" ht="21.95" customHeight="1" x14ac:dyDescent="0.2">
      <c r="A135" s="645">
        <v>9</v>
      </c>
      <c r="B135" s="133" t="s">
        <v>595</v>
      </c>
      <c r="C135" s="177" t="s">
        <v>596</v>
      </c>
      <c r="D135" s="177"/>
      <c r="E135" s="177" t="s">
        <v>596</v>
      </c>
      <c r="F135" s="177"/>
      <c r="G135" s="177"/>
      <c r="H135" s="177" t="s">
        <v>596</v>
      </c>
      <c r="I135" s="177" t="s">
        <v>596</v>
      </c>
      <c r="J135" s="177" t="s">
        <v>596</v>
      </c>
      <c r="K135" s="177" t="s">
        <v>596</v>
      </c>
      <c r="L135" s="177" t="s">
        <v>596</v>
      </c>
      <c r="M135" s="177"/>
      <c r="N135" s="177"/>
      <c r="O135" s="177"/>
      <c r="P135" s="177" t="s">
        <v>596</v>
      </c>
      <c r="Q135" s="177" t="s">
        <v>596</v>
      </c>
      <c r="R135" s="177" t="s">
        <v>596</v>
      </c>
      <c r="S135" s="177" t="s">
        <v>596</v>
      </c>
      <c r="T135" s="177"/>
      <c r="U135" s="177"/>
      <c r="V135" s="177" t="s">
        <v>596</v>
      </c>
      <c r="W135" s="177" t="s">
        <v>596</v>
      </c>
      <c r="X135" s="177" t="s">
        <v>596</v>
      </c>
      <c r="Y135" s="177" t="s">
        <v>596</v>
      </c>
      <c r="Z135" s="177" t="s">
        <v>596</v>
      </c>
      <c r="AA135" s="177"/>
      <c r="AB135" s="177"/>
      <c r="AC135" s="177" t="s">
        <v>596</v>
      </c>
      <c r="AD135" s="177" t="s">
        <v>596</v>
      </c>
      <c r="AE135" s="177" t="s">
        <v>596</v>
      </c>
      <c r="AF135" s="177" t="s">
        <v>596</v>
      </c>
      <c r="AG135" s="737"/>
      <c r="AH135" s="648">
        <v>185</v>
      </c>
      <c r="AI135" s="649">
        <v>37</v>
      </c>
    </row>
    <row r="136" spans="1:35" ht="21.95" customHeight="1" x14ac:dyDescent="0.2">
      <c r="A136" s="652">
        <v>10</v>
      </c>
      <c r="B136" s="1719" t="s">
        <v>677</v>
      </c>
      <c r="C136" s="1442"/>
      <c r="D136" s="1442"/>
      <c r="E136" s="1442"/>
      <c r="F136" s="1442"/>
      <c r="G136" s="1442"/>
      <c r="H136" s="1442"/>
      <c r="I136" s="1442"/>
      <c r="J136" s="1442"/>
      <c r="K136" s="1442"/>
      <c r="L136" s="1442"/>
      <c r="M136" s="1442"/>
      <c r="N136" s="1442"/>
      <c r="O136" s="1442"/>
      <c r="P136" s="1442"/>
      <c r="Q136" s="1442"/>
      <c r="R136" s="1442"/>
      <c r="S136" s="1442"/>
      <c r="T136" s="1442"/>
      <c r="U136" s="1442"/>
      <c r="V136" s="1442"/>
      <c r="W136" s="1442"/>
      <c r="X136" s="1442"/>
      <c r="Y136" s="1442"/>
      <c r="Z136" s="1442"/>
      <c r="AA136" s="1442"/>
      <c r="AB136" s="1442"/>
      <c r="AC136" s="1443" t="s">
        <v>540</v>
      </c>
      <c r="AD136" s="1443" t="s">
        <v>540</v>
      </c>
      <c r="AE136" s="1443" t="s">
        <v>513</v>
      </c>
      <c r="AF136" s="1443" t="s">
        <v>513</v>
      </c>
      <c r="AG136" s="1442"/>
      <c r="AH136" s="1113"/>
      <c r="AI136" s="1113"/>
    </row>
    <row r="137" spans="1:35" ht="21" customHeight="1" x14ac:dyDescent="0.25">
      <c r="A137" s="653"/>
    </row>
    <row r="138" spans="1:35" ht="21" customHeight="1" x14ac:dyDescent="0.25">
      <c r="A138" s="654"/>
    </row>
    <row r="139" spans="1:35" ht="21" customHeight="1" x14ac:dyDescent="0.2">
      <c r="B139" s="1" t="s">
        <v>678</v>
      </c>
    </row>
    <row r="140" spans="1:35" ht="21" customHeight="1" x14ac:dyDescent="0.2">
      <c r="A140" s="585"/>
      <c r="B140" s="296" t="s">
        <v>469</v>
      </c>
      <c r="C140" s="177">
        <v>1</v>
      </c>
      <c r="D140" s="497">
        <v>2</v>
      </c>
      <c r="E140" s="177">
        <v>3</v>
      </c>
      <c r="F140" s="497">
        <v>4</v>
      </c>
      <c r="G140" s="497">
        <v>5</v>
      </c>
      <c r="H140" s="177">
        <v>6</v>
      </c>
      <c r="I140" s="177">
        <v>7</v>
      </c>
      <c r="J140" s="177">
        <v>8</v>
      </c>
      <c r="K140" s="177">
        <v>9</v>
      </c>
      <c r="L140" s="177">
        <v>10</v>
      </c>
      <c r="M140" s="497">
        <v>11</v>
      </c>
      <c r="N140" s="497">
        <v>12</v>
      </c>
      <c r="O140" s="497">
        <v>13</v>
      </c>
      <c r="P140" s="177">
        <v>14</v>
      </c>
      <c r="Q140" s="177">
        <v>15</v>
      </c>
      <c r="R140" s="177">
        <v>16</v>
      </c>
      <c r="S140" s="177">
        <v>17</v>
      </c>
      <c r="T140" s="497">
        <v>18</v>
      </c>
      <c r="U140" s="497">
        <v>19</v>
      </c>
      <c r="V140" s="177">
        <v>20</v>
      </c>
      <c r="W140" s="177">
        <v>21</v>
      </c>
      <c r="X140" s="177">
        <v>22</v>
      </c>
      <c r="Y140" s="177">
        <v>23</v>
      </c>
      <c r="Z140" s="177">
        <v>24</v>
      </c>
      <c r="AA140" s="497">
        <v>25</v>
      </c>
      <c r="AB140" s="497">
        <v>26</v>
      </c>
      <c r="AC140" s="177">
        <v>27</v>
      </c>
      <c r="AD140" s="177">
        <v>28</v>
      </c>
      <c r="AE140" s="177">
        <v>29</v>
      </c>
      <c r="AF140" s="177">
        <v>30</v>
      </c>
      <c r="AG140" s="177"/>
      <c r="AH140" s="655"/>
    </row>
    <row r="141" spans="1:35" ht="21" customHeight="1" x14ac:dyDescent="0.2">
      <c r="A141" s="585">
        <v>1</v>
      </c>
      <c r="B141" s="318" t="s">
        <v>679</v>
      </c>
      <c r="C141" s="171"/>
      <c r="D141" s="171"/>
      <c r="E141" s="171"/>
      <c r="F141" s="171"/>
      <c r="G141" s="171"/>
      <c r="H141" s="171"/>
      <c r="I141" s="1096" t="s">
        <v>540</v>
      </c>
      <c r="J141" s="171">
        <v>3</v>
      </c>
      <c r="K141" s="171">
        <v>3</v>
      </c>
      <c r="L141" s="171">
        <v>3</v>
      </c>
      <c r="M141" s="171"/>
      <c r="N141" s="656"/>
      <c r="O141" s="503">
        <v>6</v>
      </c>
      <c r="P141" s="503">
        <v>6</v>
      </c>
      <c r="Q141" s="503">
        <v>6</v>
      </c>
      <c r="R141" s="503">
        <v>6</v>
      </c>
      <c r="S141" s="503">
        <v>6</v>
      </c>
      <c r="T141" s="503" t="s">
        <v>508</v>
      </c>
      <c r="U141" s="503" t="s">
        <v>504</v>
      </c>
      <c r="V141" s="503" t="s">
        <v>475</v>
      </c>
      <c r="W141" s="503" t="s">
        <v>475</v>
      </c>
      <c r="X141" s="1092">
        <v>3</v>
      </c>
      <c r="Y141" s="1092">
        <v>3</v>
      </c>
      <c r="Z141" s="171">
        <v>10</v>
      </c>
      <c r="AA141" s="503" t="s">
        <v>507</v>
      </c>
      <c r="AB141" s="503" t="s">
        <v>507</v>
      </c>
      <c r="AC141" s="503" t="s">
        <v>475</v>
      </c>
      <c r="AD141" s="1715" t="s">
        <v>475</v>
      </c>
      <c r="AE141" s="1096" t="s">
        <v>596</v>
      </c>
      <c r="AF141" s="1096" t="s">
        <v>596</v>
      </c>
      <c r="AG141" s="171"/>
      <c r="AH141" s="655"/>
    </row>
    <row r="142" spans="1:35" ht="21" customHeight="1" x14ac:dyDescent="0.2">
      <c r="A142" s="585">
        <v>2</v>
      </c>
      <c r="B142" s="657" t="s">
        <v>680</v>
      </c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096" t="s">
        <v>681</v>
      </c>
      <c r="W142" s="1096"/>
      <c r="X142" s="1096" t="s">
        <v>513</v>
      </c>
      <c r="Y142" s="1096" t="s">
        <v>513</v>
      </c>
      <c r="Z142" s="171" t="s">
        <v>513</v>
      </c>
      <c r="AA142" s="171"/>
      <c r="AB142" s="171"/>
      <c r="AC142" s="171" t="s">
        <v>552</v>
      </c>
      <c r="AD142" s="171" t="s">
        <v>552</v>
      </c>
      <c r="AE142" s="171" t="s">
        <v>475</v>
      </c>
      <c r="AF142" s="171" t="s">
        <v>552</v>
      </c>
      <c r="AG142" s="171"/>
      <c r="AH142" s="655"/>
    </row>
    <row r="143" spans="1:35" ht="21" customHeight="1" x14ac:dyDescent="0.2">
      <c r="A143" s="585">
        <v>3</v>
      </c>
      <c r="B143" s="552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656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655"/>
    </row>
    <row r="144" spans="1:35" ht="21" customHeight="1" x14ac:dyDescent="0.2">
      <c r="A144" s="585">
        <v>4</v>
      </c>
      <c r="B144" s="552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656"/>
      <c r="AC144" s="171"/>
      <c r="AD144" s="171"/>
      <c r="AE144" s="171"/>
      <c r="AF144" s="171"/>
      <c r="AG144" s="171"/>
      <c r="AH144" s="655"/>
    </row>
    <row r="145" spans="1:35" ht="21" customHeight="1" x14ac:dyDescent="0.2">
      <c r="A145" s="585">
        <v>5</v>
      </c>
      <c r="B145" s="552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655"/>
    </row>
    <row r="146" spans="1:35" ht="21" customHeight="1" x14ac:dyDescent="0.2">
      <c r="A146" s="585"/>
      <c r="B146" s="318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656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655"/>
    </row>
    <row r="147" spans="1:35" ht="21.95" customHeight="1" x14ac:dyDescent="0.2">
      <c r="A147" s="1" t="s">
        <v>603</v>
      </c>
      <c r="B147" s="273"/>
      <c r="C147" s="138"/>
      <c r="D147" s="138"/>
      <c r="E147" s="138"/>
      <c r="F147" s="138"/>
      <c r="G147" s="138"/>
      <c r="H147" s="138"/>
      <c r="I147" s="138"/>
      <c r="J147" s="138"/>
      <c r="K147" s="138"/>
      <c r="L147" s="138"/>
      <c r="M147" s="138"/>
      <c r="N147" s="138"/>
      <c r="O147" s="138"/>
      <c r="P147" s="138"/>
      <c r="Q147" s="138"/>
      <c r="R147" s="138"/>
      <c r="S147" s="138"/>
      <c r="T147" s="138"/>
      <c r="U147" s="138"/>
      <c r="V147" s="138"/>
      <c r="W147" s="138"/>
      <c r="X147" s="138"/>
      <c r="Y147" s="138"/>
      <c r="Z147" s="138"/>
      <c r="AA147" s="138"/>
      <c r="AB147" s="138"/>
      <c r="AC147" s="138"/>
      <c r="AD147" s="138"/>
      <c r="AE147" s="138"/>
      <c r="AF147" s="138"/>
      <c r="AG147" s="138"/>
    </row>
    <row r="148" spans="1:35" ht="21.95" customHeight="1" x14ac:dyDescent="0.2">
      <c r="A148" s="1"/>
      <c r="B148" s="200" t="s">
        <v>604</v>
      </c>
      <c r="C148" s="7"/>
      <c r="D148" s="530" t="s">
        <v>2</v>
      </c>
      <c r="E148" s="51"/>
      <c r="F148" s="573"/>
      <c r="G148" s="7"/>
      <c r="H148" s="530" t="s">
        <v>3</v>
      </c>
      <c r="I148" s="51"/>
      <c r="J148" s="573"/>
      <c r="K148" s="7"/>
      <c r="L148" s="530" t="s">
        <v>4</v>
      </c>
      <c r="M148" s="51"/>
      <c r="N148" s="573"/>
      <c r="O148" s="7"/>
      <c r="P148" s="530" t="s">
        <v>5</v>
      </c>
      <c r="Q148" s="51"/>
      <c r="R148" s="573"/>
      <c r="S148" s="7"/>
      <c r="T148" s="530" t="s">
        <v>6</v>
      </c>
      <c r="U148" s="51"/>
      <c r="V148" s="573"/>
      <c r="W148" s="7"/>
      <c r="X148" s="530" t="s">
        <v>7</v>
      </c>
      <c r="Y148" s="51"/>
      <c r="Z148" s="573"/>
      <c r="AA148" s="7"/>
      <c r="AB148" s="530" t="s">
        <v>8</v>
      </c>
      <c r="AC148" s="51"/>
      <c r="AD148" s="51"/>
      <c r="AE148" s="424" t="s">
        <v>10</v>
      </c>
      <c r="AF148" s="51"/>
      <c r="AG148" s="51"/>
      <c r="AH148" s="51"/>
      <c r="AI148" s="531"/>
    </row>
    <row r="149" spans="1:35" ht="21.95" customHeight="1" x14ac:dyDescent="0.2">
      <c r="A149" s="1"/>
      <c r="B149" s="305">
        <v>3701</v>
      </c>
      <c r="C149" s="641" t="s">
        <v>124</v>
      </c>
      <c r="D149" s="658"/>
      <c r="E149" s="55"/>
      <c r="F149" s="580"/>
      <c r="G149" s="641" t="s">
        <v>124</v>
      </c>
      <c r="H149" s="659"/>
      <c r="I149" s="55"/>
      <c r="J149" s="580"/>
      <c r="K149" s="641" t="s">
        <v>124</v>
      </c>
      <c r="L149" s="659"/>
      <c r="M149" s="55"/>
      <c r="N149" s="580"/>
      <c r="O149" s="641" t="s">
        <v>124</v>
      </c>
      <c r="P149" s="659"/>
      <c r="Q149" s="55"/>
      <c r="R149" s="580"/>
      <c r="S149" s="14" t="s">
        <v>125</v>
      </c>
      <c r="T149" s="659"/>
      <c r="U149" s="55"/>
      <c r="V149" s="580"/>
      <c r="W149" s="14"/>
      <c r="X149" s="659"/>
      <c r="Y149" s="55"/>
      <c r="Z149" s="580"/>
      <c r="AA149" s="14"/>
      <c r="AB149" s="659"/>
      <c r="AC149" s="55"/>
      <c r="AD149" s="55"/>
      <c r="AE149" s="660"/>
      <c r="AF149" s="55"/>
      <c r="AG149" s="55"/>
      <c r="AH149" s="55"/>
      <c r="AI149" s="661"/>
    </row>
    <row r="150" spans="1:35" ht="21.95" customHeight="1" x14ac:dyDescent="0.2">
      <c r="B150" s="662">
        <v>3700</v>
      </c>
      <c r="C150" s="121" t="s">
        <v>534</v>
      </c>
      <c r="D150" s="156"/>
      <c r="E150" s="156"/>
      <c r="F150" s="612"/>
      <c r="G150" s="121" t="s">
        <v>534</v>
      </c>
      <c r="H150" s="156"/>
      <c r="I150" s="156"/>
      <c r="J150" s="612"/>
      <c r="K150" s="121" t="s">
        <v>534</v>
      </c>
      <c r="L150" s="156"/>
      <c r="M150" s="156"/>
      <c r="N150" s="612"/>
      <c r="O150" s="121" t="s">
        <v>534</v>
      </c>
      <c r="P150" s="156"/>
      <c r="Q150" s="156"/>
      <c r="R150" s="612"/>
      <c r="S150" s="121" t="s">
        <v>116</v>
      </c>
      <c r="T150" s="156"/>
      <c r="U150" s="156"/>
      <c r="V150" s="612"/>
      <c r="W150" s="121"/>
      <c r="X150" s="156"/>
      <c r="Y150" s="156"/>
      <c r="Z150" s="612"/>
      <c r="AA150" s="611"/>
      <c r="AB150" s="156"/>
      <c r="AC150" s="156"/>
      <c r="AD150" s="613"/>
      <c r="AE150" s="663"/>
      <c r="AF150" s="156"/>
      <c r="AG150" s="156" t="s">
        <v>28</v>
      </c>
      <c r="AH150" s="613"/>
      <c r="AI150" s="489"/>
    </row>
    <row r="151" spans="1:35" ht="21.95" customHeight="1" x14ac:dyDescent="0.2">
      <c r="A151" s="1"/>
      <c r="B151" s="129" t="s">
        <v>605</v>
      </c>
      <c r="C151" s="611" t="s">
        <v>606</v>
      </c>
      <c r="D151" s="156"/>
      <c r="E151" s="156"/>
      <c r="F151" s="612"/>
      <c r="G151" s="611" t="s">
        <v>606</v>
      </c>
      <c r="H151" s="156"/>
      <c r="I151" s="156"/>
      <c r="J151" s="612"/>
      <c r="K151" s="611" t="s">
        <v>606</v>
      </c>
      <c r="L151" s="156"/>
      <c r="M151" s="156"/>
      <c r="N151" s="612"/>
      <c r="O151" s="611" t="s">
        <v>606</v>
      </c>
      <c r="P151" s="156"/>
      <c r="Q151" s="156"/>
      <c r="R151" s="612"/>
      <c r="S151" s="611" t="s">
        <v>607</v>
      </c>
      <c r="T151" s="156"/>
      <c r="U151" s="156"/>
      <c r="V151" s="612"/>
      <c r="W151" s="121"/>
      <c r="X151" s="156"/>
      <c r="Y151" s="156"/>
      <c r="Z151" s="612"/>
      <c r="AA151" s="121"/>
      <c r="AB151" s="156"/>
      <c r="AC151" s="156"/>
      <c r="AD151" s="613"/>
      <c r="AE151" s="121"/>
      <c r="AF151" s="156"/>
      <c r="AG151" s="156"/>
      <c r="AH151" s="613"/>
      <c r="AI151" s="489"/>
    </row>
    <row r="152" spans="1:35" ht="21.95" customHeight="1" x14ac:dyDescent="0.2">
      <c r="A152" s="1"/>
      <c r="B152" s="664">
        <v>8500</v>
      </c>
      <c r="C152" s="665" t="s">
        <v>264</v>
      </c>
      <c r="D152" s="55"/>
      <c r="E152" s="55"/>
      <c r="F152" s="666"/>
      <c r="G152" s="665" t="s">
        <v>264</v>
      </c>
      <c r="H152" s="55"/>
      <c r="I152" s="55"/>
      <c r="J152" s="666"/>
      <c r="K152" s="665" t="s">
        <v>264</v>
      </c>
      <c r="L152" s="55"/>
      <c r="M152" s="55"/>
      <c r="N152" s="666"/>
      <c r="O152" s="665" t="s">
        <v>264</v>
      </c>
      <c r="P152" s="55"/>
      <c r="Q152" s="55"/>
      <c r="R152" s="666"/>
      <c r="S152" s="665" t="s">
        <v>265</v>
      </c>
      <c r="T152" s="55"/>
      <c r="U152" s="55"/>
      <c r="V152" s="666"/>
      <c r="W152" s="665"/>
      <c r="X152" s="55"/>
      <c r="Y152" s="55"/>
      <c r="Z152" s="666"/>
      <c r="AA152" s="665"/>
      <c r="AB152" s="55"/>
      <c r="AC152" s="55"/>
      <c r="AD152" s="666"/>
      <c r="AE152" s="665"/>
      <c r="AF152" s="55"/>
      <c r="AG152" s="55"/>
      <c r="AH152" s="641"/>
      <c r="AI152" s="661"/>
    </row>
    <row r="153" spans="1:35" ht="21.95" customHeight="1" x14ac:dyDescent="0.2">
      <c r="A153" s="1"/>
      <c r="B153" s="9">
        <v>8514</v>
      </c>
      <c r="C153" s="667" t="s">
        <v>264</v>
      </c>
      <c r="D153" s="668"/>
      <c r="E153" s="669"/>
      <c r="F153" s="670"/>
      <c r="G153" s="667" t="s">
        <v>264</v>
      </c>
      <c r="H153" s="668"/>
      <c r="I153" s="669"/>
      <c r="J153" s="670"/>
      <c r="K153" s="667" t="s">
        <v>264</v>
      </c>
      <c r="L153" s="668"/>
      <c r="M153" s="669"/>
      <c r="N153" s="670"/>
      <c r="O153" s="667" t="s">
        <v>682</v>
      </c>
      <c r="P153" s="668"/>
      <c r="Q153" s="669"/>
      <c r="R153" s="670"/>
      <c r="S153" s="667" t="s">
        <v>265</v>
      </c>
      <c r="T153" s="668"/>
      <c r="U153" s="669"/>
      <c r="V153" s="670"/>
      <c r="W153" s="14"/>
      <c r="X153" s="659"/>
      <c r="Y153" s="55"/>
      <c r="Z153" s="580"/>
      <c r="AA153" s="14"/>
      <c r="AB153" s="659"/>
      <c r="AC153" s="55"/>
      <c r="AD153" s="55"/>
      <c r="AE153" s="660"/>
      <c r="AF153" s="55"/>
      <c r="AG153" s="55"/>
      <c r="AH153" s="55"/>
      <c r="AI153" s="661"/>
    </row>
    <row r="154" spans="1:35" ht="21.95" customHeight="1" x14ac:dyDescent="0.2">
      <c r="A154" s="1"/>
      <c r="B154" s="671">
        <v>8521</v>
      </c>
      <c r="C154" s="53" t="s">
        <v>534</v>
      </c>
      <c r="D154" s="53"/>
      <c r="E154" s="53"/>
      <c r="F154" s="619"/>
      <c r="G154" s="57" t="s">
        <v>534</v>
      </c>
      <c r="H154" s="53"/>
      <c r="I154" s="53"/>
      <c r="J154" s="619"/>
      <c r="K154" s="57" t="s">
        <v>534</v>
      </c>
      <c r="L154" s="53"/>
      <c r="M154" s="53"/>
      <c r="N154" s="619"/>
      <c r="O154" s="57" t="s">
        <v>534</v>
      </c>
      <c r="P154" s="53"/>
      <c r="Q154" s="53"/>
      <c r="R154" s="619"/>
      <c r="S154" s="57" t="s">
        <v>116</v>
      </c>
      <c r="T154" s="53"/>
      <c r="U154" s="53"/>
      <c r="V154" s="619"/>
      <c r="W154" s="57"/>
      <c r="X154" s="53"/>
      <c r="Y154" s="53"/>
      <c r="Z154" s="619"/>
      <c r="AA154" s="618"/>
      <c r="AB154" s="53"/>
      <c r="AC154" s="53"/>
      <c r="AD154" s="620"/>
      <c r="AE154" s="672"/>
      <c r="AF154" s="53"/>
      <c r="AG154" s="53" t="s">
        <v>28</v>
      </c>
      <c r="AH154" s="620"/>
      <c r="AI154" s="544"/>
    </row>
    <row r="155" spans="1:35" ht="21.95" customHeight="1" x14ac:dyDescent="0.2">
      <c r="A155" s="1"/>
      <c r="B155" s="72"/>
      <c r="C155" s="311"/>
      <c r="F155" s="353"/>
      <c r="G155" s="311"/>
      <c r="J155" s="353"/>
      <c r="K155" s="311"/>
      <c r="N155" s="353"/>
      <c r="O155" s="311"/>
      <c r="R155" s="353"/>
      <c r="S155" s="311"/>
      <c r="V155" s="353"/>
      <c r="W155" s="353"/>
      <c r="Z155" s="353"/>
      <c r="AA155" s="353"/>
      <c r="AD155" s="353"/>
      <c r="AE155" s="353"/>
      <c r="AH155" s="353"/>
    </row>
    <row r="156" spans="1:35" ht="21.95" customHeight="1" x14ac:dyDescent="0.2">
      <c r="A156" s="1" t="s">
        <v>659</v>
      </c>
      <c r="B156" s="72"/>
      <c r="C156" s="311"/>
      <c r="F156" s="353"/>
      <c r="G156" s="311"/>
      <c r="J156" s="353"/>
      <c r="K156" s="311"/>
      <c r="N156" s="353"/>
      <c r="O156" s="311"/>
      <c r="R156" s="353"/>
      <c r="S156" s="311"/>
      <c r="V156" s="353"/>
      <c r="W156" s="353"/>
      <c r="Z156" s="353"/>
      <c r="AA156" s="353"/>
      <c r="AD156" s="353"/>
      <c r="AE156" s="353"/>
      <c r="AH156" s="353"/>
    </row>
    <row r="157" spans="1:35" ht="21.95" customHeight="1" x14ac:dyDescent="0.2">
      <c r="A157" s="585"/>
      <c r="B157" s="296" t="s">
        <v>469</v>
      </c>
      <c r="C157" s="177">
        <v>1</v>
      </c>
      <c r="D157" s="497">
        <v>2</v>
      </c>
      <c r="E157" s="177">
        <v>3</v>
      </c>
      <c r="F157" s="497">
        <v>4</v>
      </c>
      <c r="G157" s="497">
        <v>5</v>
      </c>
      <c r="H157" s="177">
        <v>6</v>
      </c>
      <c r="I157" s="177">
        <v>7</v>
      </c>
      <c r="J157" s="177">
        <v>8</v>
      </c>
      <c r="K157" s="177">
        <v>9</v>
      </c>
      <c r="L157" s="177">
        <v>10</v>
      </c>
      <c r="M157" s="497">
        <v>11</v>
      </c>
      <c r="N157" s="497">
        <v>12</v>
      </c>
      <c r="O157" s="497">
        <v>13</v>
      </c>
      <c r="P157" s="177">
        <v>14</v>
      </c>
      <c r="Q157" s="177">
        <v>15</v>
      </c>
      <c r="R157" s="177">
        <v>16</v>
      </c>
      <c r="S157" s="177">
        <v>17</v>
      </c>
      <c r="T157" s="497">
        <v>18</v>
      </c>
      <c r="U157" s="497">
        <v>19</v>
      </c>
      <c r="V157" s="177">
        <v>20</v>
      </c>
      <c r="W157" s="177">
        <v>21</v>
      </c>
      <c r="X157" s="177">
        <v>22</v>
      </c>
      <c r="Y157" s="177">
        <v>23</v>
      </c>
      <c r="Z157" s="177">
        <v>24</v>
      </c>
      <c r="AA157" s="497">
        <v>25</v>
      </c>
      <c r="AB157" s="497">
        <v>26</v>
      </c>
      <c r="AC157" s="177">
        <v>27</v>
      </c>
      <c r="AD157" s="177">
        <v>28</v>
      </c>
      <c r="AE157" s="177">
        <v>29</v>
      </c>
      <c r="AF157" s="177">
        <v>30</v>
      </c>
      <c r="AG157" s="177"/>
      <c r="AH157" s="499" t="s">
        <v>470</v>
      </c>
      <c r="AI157" s="500" t="s">
        <v>471</v>
      </c>
    </row>
    <row r="158" spans="1:35" ht="21.95" customHeight="1" x14ac:dyDescent="0.2">
      <c r="A158" s="585"/>
      <c r="B158" s="673" t="s">
        <v>610</v>
      </c>
      <c r="C158" s="503" t="s">
        <v>482</v>
      </c>
      <c r="D158" s="503"/>
      <c r="E158" s="1058" t="s">
        <v>482</v>
      </c>
      <c r="F158" s="503"/>
      <c r="G158" s="503"/>
      <c r="H158" s="503" t="s">
        <v>482</v>
      </c>
      <c r="I158" s="503" t="s">
        <v>482</v>
      </c>
      <c r="J158" s="503" t="s">
        <v>482</v>
      </c>
      <c r="K158" s="503" t="s">
        <v>482</v>
      </c>
      <c r="L158" s="503" t="s">
        <v>482</v>
      </c>
      <c r="M158" s="503"/>
      <c r="N158" s="503"/>
      <c r="O158" s="503"/>
      <c r="P158" s="503" t="s">
        <v>482</v>
      </c>
      <c r="Q158" s="503" t="s">
        <v>482</v>
      </c>
      <c r="R158" s="503" t="s">
        <v>482</v>
      </c>
      <c r="S158" s="503" t="s">
        <v>482</v>
      </c>
      <c r="T158" s="503"/>
      <c r="U158" s="503"/>
      <c r="V158" s="503" t="s">
        <v>482</v>
      </c>
      <c r="W158" s="503" t="s">
        <v>482</v>
      </c>
      <c r="X158" s="503" t="s">
        <v>482</v>
      </c>
      <c r="Y158" s="503" t="s">
        <v>482</v>
      </c>
      <c r="Z158" s="503" t="s">
        <v>482</v>
      </c>
      <c r="AA158" s="503"/>
      <c r="AB158" s="503"/>
      <c r="AC158" s="503" t="s">
        <v>482</v>
      </c>
      <c r="AD158" s="503" t="s">
        <v>482</v>
      </c>
      <c r="AE158" s="503" t="s">
        <v>482</v>
      </c>
      <c r="AF158" s="503" t="s">
        <v>482</v>
      </c>
      <c r="AG158" s="177"/>
      <c r="AH158" s="648">
        <v>148</v>
      </c>
      <c r="AI158" s="649">
        <v>37</v>
      </c>
    </row>
    <row r="159" spans="1:35" ht="21.95" customHeight="1" x14ac:dyDescent="0.2">
      <c r="A159" s="674">
        <v>8500</v>
      </c>
      <c r="B159" s="675" t="s">
        <v>156</v>
      </c>
      <c r="C159" s="503" t="s">
        <v>482</v>
      </c>
      <c r="D159" s="503"/>
      <c r="E159" s="1058" t="s">
        <v>482</v>
      </c>
      <c r="F159" s="503"/>
      <c r="G159" s="503"/>
      <c r="H159" s="503" t="s">
        <v>482</v>
      </c>
      <c r="I159" s="503" t="s">
        <v>482</v>
      </c>
      <c r="J159" s="503" t="s">
        <v>482</v>
      </c>
      <c r="K159" s="503" t="s">
        <v>482</v>
      </c>
      <c r="L159" s="503" t="s">
        <v>482</v>
      </c>
      <c r="M159" s="503"/>
      <c r="N159" s="503"/>
      <c r="O159" s="503"/>
      <c r="P159" s="503" t="s">
        <v>482</v>
      </c>
      <c r="Q159" s="503" t="s">
        <v>482</v>
      </c>
      <c r="R159" s="503" t="s">
        <v>482</v>
      </c>
      <c r="S159" s="503" t="s">
        <v>482</v>
      </c>
      <c r="T159" s="503"/>
      <c r="U159" s="1092">
        <v>10</v>
      </c>
      <c r="V159" s="503" t="s">
        <v>475</v>
      </c>
      <c r="W159" s="503" t="s">
        <v>482</v>
      </c>
      <c r="X159" s="503" t="s">
        <v>482</v>
      </c>
      <c r="Y159" s="503" t="s">
        <v>482</v>
      </c>
      <c r="Z159" s="1058" t="s">
        <v>482</v>
      </c>
      <c r="AA159" s="503"/>
      <c r="AB159" s="503"/>
      <c r="AC159" s="503" t="s">
        <v>482</v>
      </c>
      <c r="AD159" s="503" t="s">
        <v>482</v>
      </c>
      <c r="AE159" s="503" t="s">
        <v>482</v>
      </c>
      <c r="AF159" s="503" t="s">
        <v>482</v>
      </c>
      <c r="AG159" s="695"/>
      <c r="AH159" s="648">
        <v>185</v>
      </c>
      <c r="AI159" s="649">
        <v>37</v>
      </c>
    </row>
    <row r="160" spans="1:35" ht="21" customHeight="1" x14ac:dyDescent="0.2">
      <c r="A160" s="441"/>
      <c r="B160" s="673" t="s">
        <v>611</v>
      </c>
      <c r="C160" s="503" t="s">
        <v>482</v>
      </c>
      <c r="D160" s="503"/>
      <c r="E160" s="1419" t="s">
        <v>482</v>
      </c>
      <c r="F160" s="503"/>
      <c r="G160" s="503"/>
      <c r="H160" s="503" t="s">
        <v>482</v>
      </c>
      <c r="I160" s="503" t="s">
        <v>482</v>
      </c>
      <c r="J160" s="503" t="s">
        <v>482</v>
      </c>
      <c r="K160" s="503" t="s">
        <v>482</v>
      </c>
      <c r="L160" s="1078" t="s">
        <v>482</v>
      </c>
      <c r="M160" s="503"/>
      <c r="N160" s="503"/>
      <c r="O160" s="503"/>
      <c r="P160" s="503" t="s">
        <v>482</v>
      </c>
      <c r="Q160" s="503" t="s">
        <v>482</v>
      </c>
      <c r="R160" s="503" t="s">
        <v>482</v>
      </c>
      <c r="S160" s="503" t="s">
        <v>482</v>
      </c>
      <c r="T160" s="503"/>
      <c r="U160" s="503"/>
      <c r="V160" s="503" t="s">
        <v>482</v>
      </c>
      <c r="W160" s="503" t="s">
        <v>482</v>
      </c>
      <c r="X160" s="503" t="s">
        <v>482</v>
      </c>
      <c r="Y160" s="503" t="s">
        <v>482</v>
      </c>
      <c r="Z160" s="1059" t="s">
        <v>482</v>
      </c>
      <c r="AA160" s="503"/>
      <c r="AB160" s="503"/>
      <c r="AC160" s="503" t="s">
        <v>482</v>
      </c>
      <c r="AD160" s="503" t="s">
        <v>482</v>
      </c>
      <c r="AE160" s="503" t="s">
        <v>482</v>
      </c>
      <c r="AF160" s="503" t="s">
        <v>482</v>
      </c>
      <c r="AG160" s="650"/>
      <c r="AH160" s="648">
        <v>214</v>
      </c>
      <c r="AI160" s="649">
        <v>37</v>
      </c>
    </row>
    <row r="161" spans="1:35" ht="21" customHeight="1" x14ac:dyDescent="0.2">
      <c r="A161" s="441"/>
      <c r="B161" s="673"/>
      <c r="C161" s="503"/>
      <c r="D161" s="503"/>
      <c r="E161" s="503"/>
      <c r="F161" s="503"/>
      <c r="G161" s="503"/>
      <c r="H161" s="503"/>
      <c r="I161" s="503"/>
      <c r="J161" s="503"/>
      <c r="K161" s="503"/>
      <c r="L161" s="503"/>
      <c r="M161" s="503"/>
      <c r="N161" s="503"/>
      <c r="O161" s="503"/>
      <c r="P161" s="503"/>
      <c r="Q161" s="503"/>
      <c r="R161" s="503"/>
      <c r="S161" s="503"/>
      <c r="T161" s="503"/>
      <c r="U161" s="503"/>
      <c r="V161" s="503"/>
      <c r="W161" s="503"/>
      <c r="X161" s="503"/>
      <c r="Y161" s="503"/>
      <c r="Z161" s="503"/>
      <c r="AA161" s="503"/>
      <c r="AB161" s="503"/>
      <c r="AC161" s="503"/>
      <c r="AD161" s="503"/>
      <c r="AE161" s="503"/>
      <c r="AF161" s="503"/>
      <c r="AG161" s="650"/>
      <c r="AH161" s="648"/>
      <c r="AI161" s="649"/>
    </row>
    <row r="162" spans="1:35" ht="21" customHeight="1" x14ac:dyDescent="0.2">
      <c r="A162" s="441">
        <v>8521</v>
      </c>
      <c r="B162" s="673" t="s">
        <v>613</v>
      </c>
      <c r="C162" s="503" t="s">
        <v>482</v>
      </c>
      <c r="D162" s="503"/>
      <c r="E162" s="503" t="s">
        <v>482</v>
      </c>
      <c r="F162" s="503"/>
      <c r="G162" s="503"/>
      <c r="H162" s="503" t="s">
        <v>482</v>
      </c>
      <c r="I162" s="503" t="s">
        <v>482</v>
      </c>
      <c r="J162" s="503" t="s">
        <v>482</v>
      </c>
      <c r="K162" s="503" t="s">
        <v>482</v>
      </c>
      <c r="L162" s="503" t="s">
        <v>482</v>
      </c>
      <c r="M162" s="503"/>
      <c r="N162" s="503"/>
      <c r="O162" s="503"/>
      <c r="P162" s="503" t="s">
        <v>482</v>
      </c>
      <c r="Q162" s="503" t="s">
        <v>482</v>
      </c>
      <c r="R162" s="503" t="s">
        <v>482</v>
      </c>
      <c r="S162" s="503" t="s">
        <v>482</v>
      </c>
      <c r="T162" s="503"/>
      <c r="U162" s="503"/>
      <c r="V162" s="503" t="s">
        <v>482</v>
      </c>
      <c r="W162" s="503" t="s">
        <v>482</v>
      </c>
      <c r="X162" s="503" t="s">
        <v>482</v>
      </c>
      <c r="Y162" s="503" t="s">
        <v>482</v>
      </c>
      <c r="Z162" s="503" t="s">
        <v>482</v>
      </c>
      <c r="AA162" s="503"/>
      <c r="AB162" s="503"/>
      <c r="AC162" s="1059" t="s">
        <v>482</v>
      </c>
      <c r="AD162" s="1059" t="s">
        <v>482</v>
      </c>
      <c r="AE162" s="1059" t="s">
        <v>482</v>
      </c>
      <c r="AF162" s="1059" t="s">
        <v>482</v>
      </c>
      <c r="AG162" s="650"/>
      <c r="AH162" s="648">
        <v>148</v>
      </c>
      <c r="AI162" s="649">
        <v>37</v>
      </c>
    </row>
    <row r="163" spans="1:35" ht="21" customHeight="1" x14ac:dyDescent="0.2">
      <c r="A163" s="441"/>
      <c r="B163" s="673" t="s">
        <v>614</v>
      </c>
      <c r="C163" s="503" t="s">
        <v>482</v>
      </c>
      <c r="D163" s="503"/>
      <c r="E163" s="503" t="s">
        <v>482</v>
      </c>
      <c r="F163" s="503"/>
      <c r="G163" s="503"/>
      <c r="H163" s="503" t="s">
        <v>482</v>
      </c>
      <c r="I163" s="503" t="s">
        <v>482</v>
      </c>
      <c r="J163" s="503" t="s">
        <v>482</v>
      </c>
      <c r="K163" s="503" t="s">
        <v>482</v>
      </c>
      <c r="L163" s="503" t="s">
        <v>482</v>
      </c>
      <c r="M163" s="503"/>
      <c r="N163" s="503"/>
      <c r="O163" s="503"/>
      <c r="P163" s="503" t="s">
        <v>482</v>
      </c>
      <c r="Q163" s="503" t="s">
        <v>482</v>
      </c>
      <c r="R163" s="503" t="s">
        <v>482</v>
      </c>
      <c r="S163" s="503" t="s">
        <v>482</v>
      </c>
      <c r="T163" s="503"/>
      <c r="U163" s="503"/>
      <c r="V163" s="503" t="s">
        <v>482</v>
      </c>
      <c r="W163" s="503" t="s">
        <v>482</v>
      </c>
      <c r="X163" s="503" t="s">
        <v>482</v>
      </c>
      <c r="Y163" s="503" t="s">
        <v>482</v>
      </c>
      <c r="Z163" s="503" t="s">
        <v>482</v>
      </c>
      <c r="AA163" s="503"/>
      <c r="AB163" s="503"/>
      <c r="AC163" s="503" t="s">
        <v>482</v>
      </c>
      <c r="AD163" s="503" t="s">
        <v>482</v>
      </c>
      <c r="AE163" s="503" t="s">
        <v>482</v>
      </c>
      <c r="AF163" s="503" t="s">
        <v>482</v>
      </c>
      <c r="AG163" s="650"/>
      <c r="AH163" s="648">
        <v>185</v>
      </c>
      <c r="AI163" s="649">
        <v>37</v>
      </c>
    </row>
    <row r="164" spans="1:35" ht="21" customHeight="1" x14ac:dyDescent="0.2">
      <c r="A164" s="441">
        <v>8514</v>
      </c>
      <c r="B164" s="676" t="s">
        <v>615</v>
      </c>
      <c r="C164" s="503" t="s">
        <v>482</v>
      </c>
      <c r="D164" s="503"/>
      <c r="E164" s="1058" t="s">
        <v>482</v>
      </c>
      <c r="F164" s="503"/>
      <c r="G164" s="503"/>
      <c r="H164" s="503" t="s">
        <v>482</v>
      </c>
      <c r="I164" s="503" t="s">
        <v>482</v>
      </c>
      <c r="J164" s="503" t="s">
        <v>482</v>
      </c>
      <c r="K164" s="503" t="s">
        <v>482</v>
      </c>
      <c r="L164" s="503" t="s">
        <v>482</v>
      </c>
      <c r="M164" s="503"/>
      <c r="N164" s="503"/>
      <c r="O164" s="503"/>
      <c r="P164" s="503" t="s">
        <v>482</v>
      </c>
      <c r="Q164" s="503" t="s">
        <v>482</v>
      </c>
      <c r="R164" s="503" t="s">
        <v>482</v>
      </c>
      <c r="S164" s="503" t="s">
        <v>482</v>
      </c>
      <c r="T164" s="503"/>
      <c r="U164" s="503"/>
      <c r="V164" s="503" t="s">
        <v>482</v>
      </c>
      <c r="W164" s="503" t="s">
        <v>482</v>
      </c>
      <c r="X164" s="503" t="s">
        <v>482</v>
      </c>
      <c r="Y164" s="503" t="s">
        <v>482</v>
      </c>
      <c r="Z164" s="503" t="s">
        <v>482</v>
      </c>
      <c r="AA164" s="503"/>
      <c r="AB164" s="503"/>
      <c r="AC164" s="503" t="s">
        <v>482</v>
      </c>
      <c r="AD164" s="503" t="s">
        <v>482</v>
      </c>
      <c r="AE164" s="503" t="s">
        <v>482</v>
      </c>
      <c r="AF164" s="503" t="s">
        <v>482</v>
      </c>
      <c r="AG164" s="650"/>
      <c r="AH164" s="648">
        <v>207</v>
      </c>
      <c r="AI164" s="649">
        <v>37</v>
      </c>
    </row>
    <row r="165" spans="1:35" ht="21.95" customHeight="1" x14ac:dyDescent="0.2">
      <c r="A165" s="441">
        <v>3701</v>
      </c>
      <c r="B165" s="673" t="s">
        <v>433</v>
      </c>
      <c r="C165" s="503" t="s">
        <v>482</v>
      </c>
      <c r="D165" s="503"/>
      <c r="E165" s="1058" t="s">
        <v>482</v>
      </c>
      <c r="F165" s="503"/>
      <c r="G165" s="503"/>
      <c r="H165" s="1058" t="s">
        <v>482</v>
      </c>
      <c r="I165" s="503" t="s">
        <v>482</v>
      </c>
      <c r="J165" s="503" t="s">
        <v>482</v>
      </c>
      <c r="K165" s="503" t="s">
        <v>482</v>
      </c>
      <c r="L165" s="503" t="s">
        <v>482</v>
      </c>
      <c r="M165" s="503"/>
      <c r="N165" s="503"/>
      <c r="O165" s="503"/>
      <c r="P165" s="503" t="s">
        <v>482</v>
      </c>
      <c r="Q165" s="503" t="s">
        <v>482</v>
      </c>
      <c r="R165" s="503" t="s">
        <v>482</v>
      </c>
      <c r="S165" s="503" t="s">
        <v>482</v>
      </c>
      <c r="T165" s="503"/>
      <c r="U165" s="503"/>
      <c r="V165" s="503" t="s">
        <v>482</v>
      </c>
      <c r="W165" s="503" t="s">
        <v>482</v>
      </c>
      <c r="X165" s="503" t="s">
        <v>482</v>
      </c>
      <c r="Y165" s="503" t="s">
        <v>482</v>
      </c>
      <c r="Z165" s="503" t="s">
        <v>482</v>
      </c>
      <c r="AA165" s="503"/>
      <c r="AB165" s="503"/>
      <c r="AC165" s="503" t="s">
        <v>482</v>
      </c>
      <c r="AD165" s="503" t="s">
        <v>482</v>
      </c>
      <c r="AE165" s="503" t="s">
        <v>482</v>
      </c>
      <c r="AF165" s="503" t="s">
        <v>482</v>
      </c>
      <c r="AG165" s="503"/>
      <c r="AH165" s="648">
        <v>220</v>
      </c>
      <c r="AI165" s="649">
        <v>37</v>
      </c>
    </row>
    <row r="166" spans="1:35" ht="21.95" customHeight="1" x14ac:dyDescent="0.2">
      <c r="A166" s="441">
        <v>3701</v>
      </c>
      <c r="B166" s="673" t="s">
        <v>431</v>
      </c>
      <c r="C166" s="503" t="s">
        <v>482</v>
      </c>
      <c r="D166" s="503"/>
      <c r="E166" s="503" t="s">
        <v>482</v>
      </c>
      <c r="F166" s="503"/>
      <c r="G166" s="503"/>
      <c r="H166" s="503" t="s">
        <v>482</v>
      </c>
      <c r="I166" s="503" t="s">
        <v>482</v>
      </c>
      <c r="J166" s="503" t="s">
        <v>482</v>
      </c>
      <c r="K166" s="1059" t="s">
        <v>482</v>
      </c>
      <c r="L166" s="1059" t="s">
        <v>482</v>
      </c>
      <c r="M166" s="503"/>
      <c r="N166" s="503"/>
      <c r="O166" s="503"/>
      <c r="P166" s="503" t="s">
        <v>482</v>
      </c>
      <c r="Q166" s="503" t="s">
        <v>482</v>
      </c>
      <c r="R166" s="503" t="s">
        <v>482</v>
      </c>
      <c r="S166" s="503" t="s">
        <v>482</v>
      </c>
      <c r="T166" s="503"/>
      <c r="U166" s="503"/>
      <c r="V166" s="503" t="s">
        <v>482</v>
      </c>
      <c r="W166" s="503" t="s">
        <v>482</v>
      </c>
      <c r="X166" s="503" t="s">
        <v>482</v>
      </c>
      <c r="Y166" s="503" t="s">
        <v>482</v>
      </c>
      <c r="Z166" s="503" t="s">
        <v>482</v>
      </c>
      <c r="AA166" s="503"/>
      <c r="AB166" s="503"/>
      <c r="AC166" s="503" t="s">
        <v>482</v>
      </c>
      <c r="AD166" s="503" t="s">
        <v>482</v>
      </c>
      <c r="AE166" s="503" t="s">
        <v>482</v>
      </c>
      <c r="AF166" s="503" t="s">
        <v>482</v>
      </c>
      <c r="AG166" s="503"/>
      <c r="AH166" s="648">
        <v>206</v>
      </c>
      <c r="AI166" s="649">
        <v>37</v>
      </c>
    </row>
    <row r="167" spans="1:35" ht="21.95" customHeight="1" x14ac:dyDescent="0.2">
      <c r="A167" s="441">
        <v>3701</v>
      </c>
      <c r="B167" s="673" t="s">
        <v>434</v>
      </c>
      <c r="C167" s="1104" t="s">
        <v>552</v>
      </c>
      <c r="D167" s="1104"/>
      <c r="E167" s="1104" t="s">
        <v>552</v>
      </c>
      <c r="F167" s="503"/>
      <c r="G167" s="503"/>
      <c r="H167" s="1058" t="s">
        <v>552</v>
      </c>
      <c r="I167" s="503" t="s">
        <v>552</v>
      </c>
      <c r="J167" s="503" t="s">
        <v>552</v>
      </c>
      <c r="K167" s="503" t="s">
        <v>552</v>
      </c>
      <c r="L167" s="503" t="s">
        <v>552</v>
      </c>
      <c r="M167" s="503"/>
      <c r="N167" s="503"/>
      <c r="O167" s="503"/>
      <c r="P167" s="503" t="s">
        <v>552</v>
      </c>
      <c r="Q167" s="503" t="s">
        <v>552</v>
      </c>
      <c r="R167" s="503" t="s">
        <v>552</v>
      </c>
      <c r="S167" s="503" t="s">
        <v>552</v>
      </c>
      <c r="T167" s="503"/>
      <c r="U167" s="503"/>
      <c r="V167" s="503" t="s">
        <v>552</v>
      </c>
      <c r="W167" s="503" t="s">
        <v>552</v>
      </c>
      <c r="X167" s="503" t="s">
        <v>552</v>
      </c>
      <c r="Y167" s="503" t="s">
        <v>552</v>
      </c>
      <c r="Z167" s="1104" t="s">
        <v>552</v>
      </c>
      <c r="AA167" s="1104"/>
      <c r="AB167" s="1104"/>
      <c r="AC167" s="1104" t="s">
        <v>482</v>
      </c>
      <c r="AD167" s="1104" t="s">
        <v>482</v>
      </c>
      <c r="AE167" s="1104" t="s">
        <v>482</v>
      </c>
      <c r="AF167" s="1104" t="s">
        <v>617</v>
      </c>
      <c r="AG167" s="503"/>
      <c r="AH167" s="648">
        <v>185</v>
      </c>
      <c r="AI167" s="649">
        <v>37</v>
      </c>
    </row>
    <row r="168" spans="1:35" ht="21.95" customHeight="1" x14ac:dyDescent="0.2">
      <c r="A168" s="441">
        <v>3701</v>
      </c>
      <c r="B168" s="673" t="s">
        <v>436</v>
      </c>
      <c r="C168" s="503" t="s">
        <v>552</v>
      </c>
      <c r="D168" s="503"/>
      <c r="E168" s="1058" t="s">
        <v>552</v>
      </c>
      <c r="F168" s="503"/>
      <c r="G168" s="503"/>
      <c r="H168" s="503" t="s">
        <v>552</v>
      </c>
      <c r="I168" s="1104" t="s">
        <v>552</v>
      </c>
      <c r="J168" s="1104" t="s">
        <v>552</v>
      </c>
      <c r="K168" s="1104" t="s">
        <v>552</v>
      </c>
      <c r="L168" s="1104" t="s">
        <v>552</v>
      </c>
      <c r="M168" s="1104"/>
      <c r="N168" s="1104"/>
      <c r="O168" s="1104"/>
      <c r="P168" s="1104" t="s">
        <v>617</v>
      </c>
      <c r="Q168" s="1058" t="s">
        <v>552</v>
      </c>
      <c r="R168" s="503" t="s">
        <v>552</v>
      </c>
      <c r="S168" s="503" t="s">
        <v>552</v>
      </c>
      <c r="T168" s="503"/>
      <c r="U168" s="503"/>
      <c r="V168" s="503">
        <v>19</v>
      </c>
      <c r="W168" s="503">
        <v>19</v>
      </c>
      <c r="X168" s="503">
        <v>19</v>
      </c>
      <c r="Y168" s="503">
        <v>19</v>
      </c>
      <c r="Z168" s="503">
        <v>17</v>
      </c>
      <c r="AA168" s="503"/>
      <c r="AB168" s="503"/>
      <c r="AC168" s="503" t="s">
        <v>482</v>
      </c>
      <c r="AD168" s="503" t="s">
        <v>482</v>
      </c>
      <c r="AE168" s="503" t="s">
        <v>482</v>
      </c>
      <c r="AF168" s="503" t="s">
        <v>482</v>
      </c>
      <c r="AG168" s="503"/>
      <c r="AH168" s="648">
        <v>185</v>
      </c>
      <c r="AI168" s="649">
        <v>37</v>
      </c>
    </row>
    <row r="169" spans="1:35" ht="21.95" customHeight="1" x14ac:dyDescent="0.2">
      <c r="A169" s="441">
        <v>3701</v>
      </c>
      <c r="B169" s="673" t="s">
        <v>437</v>
      </c>
      <c r="C169" s="503" t="s">
        <v>552</v>
      </c>
      <c r="D169" s="503"/>
      <c r="E169" s="503" t="s">
        <v>552</v>
      </c>
      <c r="F169" s="503"/>
      <c r="G169" s="503"/>
      <c r="H169" s="503">
        <v>19</v>
      </c>
      <c r="I169" s="503">
        <v>19</v>
      </c>
      <c r="J169" s="503">
        <v>19</v>
      </c>
      <c r="K169" s="503">
        <v>19</v>
      </c>
      <c r="L169" s="503">
        <v>19</v>
      </c>
      <c r="M169" s="503"/>
      <c r="N169" s="503"/>
      <c r="O169" s="503"/>
      <c r="P169" s="503" t="s">
        <v>552</v>
      </c>
      <c r="Q169" s="503" t="s">
        <v>552</v>
      </c>
      <c r="R169" s="503" t="s">
        <v>552</v>
      </c>
      <c r="S169" s="503" t="s">
        <v>552</v>
      </c>
      <c r="T169" s="503"/>
      <c r="U169" s="503"/>
      <c r="V169" s="503" t="s">
        <v>552</v>
      </c>
      <c r="W169" s="503" t="s">
        <v>552</v>
      </c>
      <c r="X169" s="503" t="s">
        <v>552</v>
      </c>
      <c r="Y169" s="503" t="s">
        <v>552</v>
      </c>
      <c r="Z169" s="503" t="s">
        <v>552</v>
      </c>
      <c r="AA169" s="503"/>
      <c r="AB169" s="503"/>
      <c r="AC169" s="503" t="s">
        <v>482</v>
      </c>
      <c r="AD169" s="503" t="s">
        <v>482</v>
      </c>
      <c r="AE169" s="503" t="s">
        <v>482</v>
      </c>
      <c r="AF169" s="503" t="s">
        <v>482</v>
      </c>
      <c r="AG169" s="503"/>
      <c r="AH169" s="648">
        <v>148</v>
      </c>
      <c r="AI169" s="649">
        <v>37</v>
      </c>
    </row>
    <row r="170" spans="1:35" ht="21.95" customHeight="1" x14ac:dyDescent="0.2">
      <c r="A170" s="441">
        <v>3701</v>
      </c>
      <c r="B170" s="673" t="s">
        <v>618</v>
      </c>
      <c r="C170" s="503" t="s">
        <v>552</v>
      </c>
      <c r="D170" s="503"/>
      <c r="E170" s="503" t="s">
        <v>552</v>
      </c>
      <c r="F170" s="503"/>
      <c r="G170" s="503"/>
      <c r="H170" s="503" t="s">
        <v>552</v>
      </c>
      <c r="I170" s="503" t="s">
        <v>552</v>
      </c>
      <c r="J170" s="503" t="s">
        <v>552</v>
      </c>
      <c r="K170" s="503" t="s">
        <v>552</v>
      </c>
      <c r="L170" s="503" t="s">
        <v>552</v>
      </c>
      <c r="M170" s="503"/>
      <c r="N170" s="503"/>
      <c r="O170" s="503"/>
      <c r="P170" s="503" t="s">
        <v>552</v>
      </c>
      <c r="Q170" s="503" t="s">
        <v>552</v>
      </c>
      <c r="R170" s="1058" t="s">
        <v>552</v>
      </c>
      <c r="S170" s="1058" t="s">
        <v>552</v>
      </c>
      <c r="T170" s="503"/>
      <c r="U170" s="503"/>
      <c r="V170" s="1104" t="s">
        <v>552</v>
      </c>
      <c r="W170" s="1104" t="s">
        <v>552</v>
      </c>
      <c r="X170" s="1104" t="s">
        <v>552</v>
      </c>
      <c r="Y170" s="1104" t="s">
        <v>552</v>
      </c>
      <c r="Z170" s="1104" t="s">
        <v>617</v>
      </c>
      <c r="AA170" s="503"/>
      <c r="AB170" s="503"/>
      <c r="AC170" s="503" t="s">
        <v>482</v>
      </c>
      <c r="AD170" s="503" t="s">
        <v>482</v>
      </c>
      <c r="AE170" s="503" t="s">
        <v>482</v>
      </c>
      <c r="AF170" s="503" t="s">
        <v>482</v>
      </c>
      <c r="AG170" s="503"/>
      <c r="AH170" s="648">
        <v>199</v>
      </c>
      <c r="AI170" s="649">
        <v>37</v>
      </c>
    </row>
    <row r="171" spans="1:35" ht="21.95" customHeight="1" x14ac:dyDescent="0.2">
      <c r="A171" s="441">
        <v>3701</v>
      </c>
      <c r="B171" s="552" t="s">
        <v>619</v>
      </c>
      <c r="C171" s="503">
        <v>19</v>
      </c>
      <c r="D171" s="503"/>
      <c r="E171" s="1058">
        <v>17</v>
      </c>
      <c r="F171" s="503"/>
      <c r="G171" s="503"/>
      <c r="H171" s="503" t="s">
        <v>552</v>
      </c>
      <c r="I171" s="503" t="s">
        <v>552</v>
      </c>
      <c r="J171" s="503" t="s">
        <v>552</v>
      </c>
      <c r="K171" s="503" t="s">
        <v>552</v>
      </c>
      <c r="L171" s="503" t="s">
        <v>552</v>
      </c>
      <c r="M171" s="503"/>
      <c r="N171" s="503"/>
      <c r="O171" s="503"/>
      <c r="P171" s="503" t="s">
        <v>552</v>
      </c>
      <c r="Q171" s="503" t="s">
        <v>552</v>
      </c>
      <c r="R171" s="503" t="s">
        <v>552</v>
      </c>
      <c r="S171" s="503" t="s">
        <v>552</v>
      </c>
      <c r="T171" s="503"/>
      <c r="U171" s="503"/>
      <c r="V171" s="503" t="s">
        <v>552</v>
      </c>
      <c r="W171" s="503" t="s">
        <v>552</v>
      </c>
      <c r="X171" s="1104" t="s">
        <v>552</v>
      </c>
      <c r="Y171" s="1104" t="s">
        <v>617</v>
      </c>
      <c r="Z171" s="1058" t="s">
        <v>552</v>
      </c>
      <c r="AA171" s="503"/>
      <c r="AB171" s="503"/>
      <c r="AC171" s="503">
        <v>19</v>
      </c>
      <c r="AD171" s="503">
        <v>19</v>
      </c>
      <c r="AE171" s="503">
        <v>19</v>
      </c>
      <c r="AF171" s="503">
        <v>19</v>
      </c>
      <c r="AG171" s="503"/>
      <c r="AH171" s="648">
        <v>185</v>
      </c>
      <c r="AI171" s="649">
        <v>37</v>
      </c>
    </row>
    <row r="172" spans="1:35" ht="21.95" customHeight="1" x14ac:dyDescent="0.2">
      <c r="A172" s="1717">
        <v>3701</v>
      </c>
      <c r="B172" s="1718" t="s">
        <v>620</v>
      </c>
      <c r="C172" s="503" t="s">
        <v>552</v>
      </c>
      <c r="D172" s="503"/>
      <c r="E172" s="1058" t="s">
        <v>552</v>
      </c>
      <c r="F172" s="503"/>
      <c r="G172" s="503"/>
      <c r="H172" s="503" t="s">
        <v>552</v>
      </c>
      <c r="I172" s="503" t="s">
        <v>552</v>
      </c>
      <c r="J172" s="503" t="s">
        <v>552</v>
      </c>
      <c r="K172" s="503" t="s">
        <v>552</v>
      </c>
      <c r="L172" s="1058" t="s">
        <v>552</v>
      </c>
      <c r="M172" s="503"/>
      <c r="N172" s="503"/>
      <c r="O172" s="503"/>
      <c r="P172" s="503">
        <v>19</v>
      </c>
      <c r="Q172" s="503">
        <v>19</v>
      </c>
      <c r="R172" s="503">
        <v>19</v>
      </c>
      <c r="S172" s="503">
        <v>17</v>
      </c>
      <c r="T172" s="503"/>
      <c r="U172" s="503"/>
      <c r="V172" s="503" t="s">
        <v>552</v>
      </c>
      <c r="W172" s="503" t="s">
        <v>552</v>
      </c>
      <c r="X172" s="503" t="s">
        <v>552</v>
      </c>
      <c r="Y172" s="503" t="s">
        <v>552</v>
      </c>
      <c r="Z172" s="503" t="s">
        <v>552</v>
      </c>
      <c r="AA172" s="503"/>
      <c r="AB172" s="503"/>
      <c r="AC172" s="503"/>
      <c r="AD172" s="503"/>
      <c r="AE172" s="503"/>
      <c r="AF172" s="503"/>
      <c r="AG172" s="503"/>
      <c r="AH172" s="648">
        <v>171</v>
      </c>
      <c r="AI172" s="649">
        <v>37</v>
      </c>
    </row>
    <row r="173" spans="1:35" ht="21.95" customHeight="1" x14ac:dyDescent="0.2">
      <c r="A173" s="441">
        <v>3701</v>
      </c>
      <c r="B173" s="552" t="s">
        <v>621</v>
      </c>
      <c r="C173" s="503" t="s">
        <v>552</v>
      </c>
      <c r="D173" s="503"/>
      <c r="E173" s="503" t="s">
        <v>552</v>
      </c>
      <c r="F173" s="503"/>
      <c r="G173" s="503"/>
      <c r="H173" s="503" t="s">
        <v>552</v>
      </c>
      <c r="I173" s="503" t="s">
        <v>552</v>
      </c>
      <c r="J173" s="503" t="s">
        <v>552</v>
      </c>
      <c r="K173" s="503" t="s">
        <v>552</v>
      </c>
      <c r="L173" s="503" t="s">
        <v>552</v>
      </c>
      <c r="M173" s="503"/>
      <c r="N173" s="503"/>
      <c r="O173" s="503"/>
      <c r="P173" s="1058" t="s">
        <v>552</v>
      </c>
      <c r="Q173" s="503" t="s">
        <v>552</v>
      </c>
      <c r="R173" s="1058" t="s">
        <v>552</v>
      </c>
      <c r="S173" s="1058" t="s">
        <v>552</v>
      </c>
      <c r="T173" s="503"/>
      <c r="U173" s="503"/>
      <c r="V173" s="503" t="s">
        <v>552</v>
      </c>
      <c r="W173" s="503" t="s">
        <v>552</v>
      </c>
      <c r="X173" s="503" t="s">
        <v>552</v>
      </c>
      <c r="Y173" s="503" t="s">
        <v>552</v>
      </c>
      <c r="Z173" s="503" t="s">
        <v>552</v>
      </c>
      <c r="AA173" s="503"/>
      <c r="AB173" s="503"/>
      <c r="AC173" s="503" t="s">
        <v>482</v>
      </c>
      <c r="AD173" s="503" t="s">
        <v>482</v>
      </c>
      <c r="AE173" s="503" t="s">
        <v>482</v>
      </c>
      <c r="AF173" s="503" t="s">
        <v>482</v>
      </c>
      <c r="AG173" s="503"/>
      <c r="AH173" s="648">
        <v>199</v>
      </c>
      <c r="AI173" s="649">
        <v>37</v>
      </c>
    </row>
    <row r="174" spans="1:35" ht="21.95" customHeight="1" x14ac:dyDescent="0.2">
      <c r="A174" s="441">
        <v>3701</v>
      </c>
      <c r="B174" s="673" t="s">
        <v>622</v>
      </c>
      <c r="C174" s="503" t="s">
        <v>482</v>
      </c>
      <c r="D174" s="503"/>
      <c r="E174" s="503" t="s">
        <v>482</v>
      </c>
      <c r="F174" s="503"/>
      <c r="G174" s="503"/>
      <c r="H174" s="503" t="s">
        <v>482</v>
      </c>
      <c r="I174" s="503" t="s">
        <v>482</v>
      </c>
      <c r="J174" s="503" t="s">
        <v>482</v>
      </c>
      <c r="K174" s="503" t="s">
        <v>482</v>
      </c>
      <c r="L174" s="503" t="s">
        <v>482</v>
      </c>
      <c r="M174" s="503"/>
      <c r="N174" s="503"/>
      <c r="O174" s="503"/>
      <c r="P174" s="503" t="s">
        <v>482</v>
      </c>
      <c r="Q174" s="503" t="s">
        <v>482</v>
      </c>
      <c r="R174" s="503" t="s">
        <v>482</v>
      </c>
      <c r="S174" s="503" t="s">
        <v>482</v>
      </c>
      <c r="T174" s="503"/>
      <c r="U174" s="503"/>
      <c r="V174" s="503" t="s">
        <v>482</v>
      </c>
      <c r="W174" s="503" t="s">
        <v>482</v>
      </c>
      <c r="X174" s="503" t="s">
        <v>482</v>
      </c>
      <c r="Y174" s="503" t="s">
        <v>482</v>
      </c>
      <c r="Z174" s="503" t="s">
        <v>482</v>
      </c>
      <c r="AA174" s="503"/>
      <c r="AB174" s="503"/>
      <c r="AC174" s="1059" t="s">
        <v>482</v>
      </c>
      <c r="AD174" s="1059" t="s">
        <v>482</v>
      </c>
      <c r="AE174" s="1059" t="s">
        <v>482</v>
      </c>
      <c r="AF174" s="1059" t="s">
        <v>482</v>
      </c>
      <c r="AG174" s="503"/>
      <c r="AH174" s="648">
        <v>193</v>
      </c>
      <c r="AI174" s="649">
        <v>37</v>
      </c>
    </row>
    <row r="175" spans="1:35" ht="21.75" customHeight="1" x14ac:dyDescent="0.2">
      <c r="A175" s="441">
        <v>3701</v>
      </c>
      <c r="B175" s="673" t="s">
        <v>623</v>
      </c>
      <c r="C175" s="503" t="s">
        <v>482</v>
      </c>
      <c r="D175" s="503"/>
      <c r="E175" s="503" t="s">
        <v>482</v>
      </c>
      <c r="F175" s="503"/>
      <c r="G175" s="503"/>
      <c r="H175" s="503" t="s">
        <v>482</v>
      </c>
      <c r="I175" s="503" t="s">
        <v>482</v>
      </c>
      <c r="J175" s="503" t="s">
        <v>482</v>
      </c>
      <c r="K175" s="503" t="s">
        <v>482</v>
      </c>
      <c r="L175" s="503" t="s">
        <v>482</v>
      </c>
      <c r="M175" s="503"/>
      <c r="N175" s="503"/>
      <c r="O175" s="503"/>
      <c r="P175" s="503" t="s">
        <v>482</v>
      </c>
      <c r="Q175" s="503" t="s">
        <v>482</v>
      </c>
      <c r="R175" s="503" t="s">
        <v>482</v>
      </c>
      <c r="S175" s="503" t="s">
        <v>482</v>
      </c>
      <c r="T175" s="503"/>
      <c r="U175" s="503"/>
      <c r="V175" s="503" t="s">
        <v>482</v>
      </c>
      <c r="W175" s="503" t="s">
        <v>482</v>
      </c>
      <c r="X175" s="503" t="s">
        <v>482</v>
      </c>
      <c r="Y175" s="503" t="s">
        <v>482</v>
      </c>
      <c r="Z175" s="503" t="s">
        <v>482</v>
      </c>
      <c r="AA175" s="503"/>
      <c r="AB175" s="503"/>
      <c r="AC175" s="503" t="s">
        <v>482</v>
      </c>
      <c r="AD175" s="503" t="s">
        <v>482</v>
      </c>
      <c r="AE175" s="503" t="s">
        <v>482</v>
      </c>
      <c r="AF175" s="503" t="s">
        <v>482</v>
      </c>
      <c r="AG175" s="503"/>
      <c r="AH175" s="648">
        <v>185</v>
      </c>
      <c r="AI175" s="649">
        <v>37</v>
      </c>
    </row>
    <row r="176" spans="1:35" ht="21.95" customHeight="1" x14ac:dyDescent="0.2">
      <c r="A176" s="441">
        <v>3701</v>
      </c>
      <c r="B176" s="673"/>
      <c r="C176" s="503" t="s">
        <v>482</v>
      </c>
      <c r="D176" s="503"/>
      <c r="E176" s="503" t="s">
        <v>482</v>
      </c>
      <c r="F176" s="503"/>
      <c r="G176" s="503"/>
      <c r="H176" s="503" t="s">
        <v>482</v>
      </c>
      <c r="I176" s="503" t="s">
        <v>482</v>
      </c>
      <c r="J176" s="503" t="s">
        <v>482</v>
      </c>
      <c r="K176" s="503" t="s">
        <v>482</v>
      </c>
      <c r="L176" s="503" t="s">
        <v>482</v>
      </c>
      <c r="M176" s="503"/>
      <c r="N176" s="503"/>
      <c r="O176" s="503"/>
      <c r="P176" s="503" t="s">
        <v>482</v>
      </c>
      <c r="Q176" s="503" t="s">
        <v>482</v>
      </c>
      <c r="R176" s="503" t="s">
        <v>482</v>
      </c>
      <c r="S176" s="503" t="s">
        <v>482</v>
      </c>
      <c r="T176" s="503"/>
      <c r="U176" s="503"/>
      <c r="V176" s="503" t="s">
        <v>482</v>
      </c>
      <c r="W176" s="503" t="s">
        <v>482</v>
      </c>
      <c r="X176" s="503" t="s">
        <v>482</v>
      </c>
      <c r="Y176" s="503" t="s">
        <v>482</v>
      </c>
      <c r="Z176" s="503" t="s">
        <v>482</v>
      </c>
      <c r="AA176" s="503"/>
      <c r="AB176" s="503"/>
      <c r="AC176" s="503" t="s">
        <v>482</v>
      </c>
      <c r="AD176" s="503" t="s">
        <v>482</v>
      </c>
      <c r="AE176" s="503" t="s">
        <v>482</v>
      </c>
      <c r="AF176" s="503" t="s">
        <v>482</v>
      </c>
      <c r="AG176" s="588"/>
      <c r="AH176" s="648">
        <v>185</v>
      </c>
      <c r="AI176" s="649">
        <v>37</v>
      </c>
    </row>
    <row r="177" spans="1:35" ht="21.95" customHeight="1" x14ac:dyDescent="0.2">
      <c r="A177" s="621"/>
      <c r="B177" s="677"/>
      <c r="C177" s="590"/>
      <c r="D177" s="590"/>
      <c r="E177" s="590"/>
      <c r="F177" s="590"/>
      <c r="G177" s="590"/>
      <c r="H177" s="590"/>
      <c r="I177" s="590"/>
      <c r="J177" s="590"/>
      <c r="K177" s="525"/>
      <c r="L177" s="590"/>
      <c r="M177" s="590"/>
      <c r="N177" s="590"/>
      <c r="O177" s="590"/>
      <c r="P177" s="546"/>
      <c r="Q177" s="546"/>
      <c r="R177" s="546"/>
      <c r="S177" s="590"/>
      <c r="T177" s="590"/>
      <c r="U177" s="590"/>
      <c r="V177" s="590"/>
      <c r="W177" s="590"/>
      <c r="X177" s="590"/>
      <c r="Y177" s="590"/>
      <c r="Z177" s="590"/>
      <c r="AA177" s="590"/>
      <c r="AB177" s="590"/>
      <c r="AC177" s="590"/>
      <c r="AD177" s="590"/>
      <c r="AE177" s="590"/>
      <c r="AF177" s="590"/>
      <c r="AG177" s="590"/>
      <c r="AH177" s="591"/>
      <c r="AI177" s="591"/>
    </row>
    <row r="178" spans="1:35" ht="21" customHeight="1" x14ac:dyDescent="0.2">
      <c r="A178" s="1" t="s">
        <v>624</v>
      </c>
    </row>
    <row r="179" spans="1:35" ht="21" customHeight="1" x14ac:dyDescent="0.2">
      <c r="B179" s="200" t="s">
        <v>604</v>
      </c>
      <c r="C179" s="7"/>
      <c r="D179" s="530" t="s">
        <v>2</v>
      </c>
      <c r="E179" s="51"/>
      <c r="F179" s="573"/>
      <c r="G179" s="7"/>
      <c r="H179" s="530" t="s">
        <v>3</v>
      </c>
      <c r="I179" s="51"/>
      <c r="J179" s="573"/>
      <c r="K179" s="7"/>
      <c r="L179" s="530" t="s">
        <v>4</v>
      </c>
      <c r="M179" s="51"/>
      <c r="N179" s="573"/>
      <c r="O179" s="7"/>
      <c r="P179" s="530" t="s">
        <v>5</v>
      </c>
      <c r="Q179" s="51"/>
      <c r="R179" s="573"/>
      <c r="S179" s="7"/>
      <c r="T179" s="530" t="s">
        <v>6</v>
      </c>
      <c r="U179" s="51"/>
      <c r="V179" s="573"/>
      <c r="W179" s="7"/>
      <c r="X179" s="530" t="s">
        <v>7</v>
      </c>
      <c r="Y179" s="51"/>
      <c r="Z179" s="573"/>
      <c r="AA179" s="7"/>
      <c r="AB179" s="530" t="s">
        <v>8</v>
      </c>
      <c r="AC179" s="51"/>
      <c r="AD179" s="51"/>
      <c r="AE179" s="424" t="s">
        <v>10</v>
      </c>
      <c r="AF179" s="51"/>
      <c r="AG179" s="51"/>
      <c r="AH179" s="51"/>
      <c r="AI179" s="531"/>
    </row>
    <row r="180" spans="1:35" ht="21" customHeight="1" x14ac:dyDescent="0.2">
      <c r="B180" s="9">
        <v>8502</v>
      </c>
      <c r="C180" s="14" t="s">
        <v>11</v>
      </c>
      <c r="D180" s="659"/>
      <c r="E180" s="55"/>
      <c r="F180" s="580"/>
      <c r="G180" s="14" t="s">
        <v>11</v>
      </c>
      <c r="H180" s="659"/>
      <c r="I180" s="55"/>
      <c r="J180" s="580"/>
      <c r="K180" s="14" t="s">
        <v>11</v>
      </c>
      <c r="L180" s="659"/>
      <c r="M180" s="55"/>
      <c r="N180" s="580"/>
      <c r="O180" s="14" t="s">
        <v>11</v>
      </c>
      <c r="P180" s="659"/>
      <c r="Q180" s="55"/>
      <c r="R180" s="580"/>
      <c r="S180" s="14" t="s">
        <v>12</v>
      </c>
      <c r="T180" s="659"/>
      <c r="U180" s="55"/>
      <c r="V180" s="580"/>
      <c r="W180" s="14"/>
      <c r="X180" s="659"/>
      <c r="Y180" s="55"/>
      <c r="Z180" s="580"/>
      <c r="AA180" s="14"/>
      <c r="AB180" s="659"/>
      <c r="AC180" s="55"/>
      <c r="AD180" s="55"/>
      <c r="AE180" s="660"/>
      <c r="AF180" s="55"/>
      <c r="AG180" s="55"/>
      <c r="AH180" s="55"/>
      <c r="AI180" s="661"/>
    </row>
    <row r="181" spans="1:35" ht="21" customHeight="1" x14ac:dyDescent="0.2">
      <c r="B181" s="662">
        <v>3701</v>
      </c>
      <c r="C181" s="121" t="s">
        <v>11</v>
      </c>
      <c r="D181" s="130"/>
      <c r="E181" s="55"/>
      <c r="F181" s="580"/>
      <c r="G181" s="121" t="s">
        <v>11</v>
      </c>
      <c r="H181" s="659"/>
      <c r="I181" s="55"/>
      <c r="J181" s="580"/>
      <c r="K181" s="121" t="s">
        <v>11</v>
      </c>
      <c r="L181" s="659"/>
      <c r="M181" s="55"/>
      <c r="N181" s="580"/>
      <c r="O181" s="121" t="s">
        <v>11</v>
      </c>
      <c r="P181" s="659"/>
      <c r="Q181" s="55"/>
      <c r="R181" s="580"/>
      <c r="S181" s="14" t="s">
        <v>12</v>
      </c>
      <c r="T181" s="659"/>
      <c r="U181" s="55"/>
      <c r="V181" s="580"/>
      <c r="W181" s="14"/>
      <c r="X181" s="659"/>
      <c r="Y181" s="55"/>
      <c r="Z181" s="580"/>
      <c r="AA181" s="14"/>
      <c r="AB181" s="659"/>
      <c r="AC181" s="55"/>
      <c r="AD181" s="55"/>
      <c r="AE181" s="660"/>
      <c r="AF181" s="55"/>
      <c r="AG181" s="55"/>
      <c r="AH181" s="55"/>
      <c r="AI181" s="661"/>
    </row>
    <row r="182" spans="1:35" ht="21" customHeight="1" x14ac:dyDescent="0.2">
      <c r="B182" s="662">
        <v>3705</v>
      </c>
      <c r="C182" s="121" t="s">
        <v>147</v>
      </c>
      <c r="D182" s="130"/>
      <c r="E182" s="55"/>
      <c r="F182" s="580"/>
      <c r="G182" s="121" t="s">
        <v>147</v>
      </c>
      <c r="H182" s="659"/>
      <c r="I182" s="55"/>
      <c r="J182" s="580"/>
      <c r="K182" s="121" t="s">
        <v>147</v>
      </c>
      <c r="L182" s="659"/>
      <c r="M182" s="55"/>
      <c r="N182" s="580"/>
      <c r="O182" s="121" t="s">
        <v>147</v>
      </c>
      <c r="P182" s="659"/>
      <c r="Q182" s="55"/>
      <c r="R182" s="580"/>
      <c r="S182" s="121" t="s">
        <v>536</v>
      </c>
      <c r="T182" s="659"/>
      <c r="U182" s="55"/>
      <c r="V182" s="580"/>
      <c r="W182" s="14"/>
      <c r="X182" s="659"/>
      <c r="Y182" s="55"/>
      <c r="Z182" s="580"/>
      <c r="AA182" s="14"/>
      <c r="AB182" s="659"/>
      <c r="AC182" s="55"/>
      <c r="AD182" s="55"/>
      <c r="AE182" s="660"/>
      <c r="AF182" s="55"/>
      <c r="AG182" s="55"/>
      <c r="AH182" s="55"/>
      <c r="AI182" s="661"/>
    </row>
    <row r="183" spans="1:35" ht="21" customHeight="1" x14ac:dyDescent="0.2">
      <c r="B183" s="662" t="s">
        <v>625</v>
      </c>
      <c r="C183" s="611" t="s">
        <v>626</v>
      </c>
      <c r="D183" s="130"/>
      <c r="E183" s="55"/>
      <c r="F183" s="580"/>
      <c r="G183" s="611" t="s">
        <v>626</v>
      </c>
      <c r="H183" s="659"/>
      <c r="I183" s="55"/>
      <c r="J183" s="580"/>
      <c r="K183" s="611" t="s">
        <v>626</v>
      </c>
      <c r="L183" s="659"/>
      <c r="M183" s="55"/>
      <c r="N183" s="580"/>
      <c r="O183" s="611" t="s">
        <v>626</v>
      </c>
      <c r="P183" s="659"/>
      <c r="Q183" s="55"/>
      <c r="R183" s="580"/>
      <c r="S183" s="611" t="s">
        <v>626</v>
      </c>
      <c r="T183" s="659"/>
      <c r="U183" s="55"/>
      <c r="V183" s="580"/>
      <c r="W183" s="14"/>
      <c r="X183" s="659"/>
      <c r="Y183" s="55"/>
      <c r="Z183" s="580"/>
      <c r="AA183" s="14"/>
      <c r="AB183" s="659"/>
      <c r="AC183" s="55"/>
      <c r="AD183" s="55"/>
      <c r="AE183" s="660"/>
      <c r="AF183" s="55"/>
      <c r="AG183" s="55"/>
      <c r="AH183" s="55"/>
      <c r="AI183" s="661"/>
    </row>
    <row r="184" spans="1:35" ht="21" customHeight="1" x14ac:dyDescent="0.2">
      <c r="B184" s="662" t="s">
        <v>627</v>
      </c>
      <c r="C184" s="611" t="s">
        <v>628</v>
      </c>
      <c r="D184" s="130"/>
      <c r="E184" s="55"/>
      <c r="F184" s="580"/>
      <c r="G184" s="659" t="s">
        <v>629</v>
      </c>
      <c r="H184" s="659"/>
      <c r="I184" s="55"/>
      <c r="J184" s="580"/>
      <c r="K184" s="659" t="s">
        <v>630</v>
      </c>
      <c r="L184" s="659"/>
      <c r="M184" s="55"/>
      <c r="N184" s="580"/>
      <c r="O184" s="659" t="s">
        <v>630</v>
      </c>
      <c r="P184" s="659"/>
      <c r="Q184" s="55"/>
      <c r="R184" s="580"/>
      <c r="S184" s="659" t="s">
        <v>631</v>
      </c>
      <c r="T184" s="659"/>
      <c r="U184" s="55"/>
      <c r="V184" s="580"/>
      <c r="W184" s="14"/>
      <c r="X184" s="659"/>
      <c r="Y184" s="55"/>
      <c r="Z184" s="580"/>
      <c r="AA184" s="14"/>
      <c r="AB184" s="659"/>
      <c r="AC184" s="55"/>
      <c r="AD184" s="55"/>
      <c r="AE184" s="660"/>
      <c r="AF184" s="55"/>
      <c r="AG184" s="55"/>
      <c r="AH184" s="55"/>
      <c r="AI184" s="661"/>
    </row>
    <row r="185" spans="1:35" ht="21" customHeight="1" x14ac:dyDescent="0.2">
      <c r="B185" s="662" t="s">
        <v>324</v>
      </c>
      <c r="C185" s="611" t="s">
        <v>632</v>
      </c>
      <c r="D185" s="130"/>
      <c r="E185" s="55"/>
      <c r="F185" s="580"/>
      <c r="G185" s="611" t="s">
        <v>632</v>
      </c>
      <c r="H185" s="130"/>
      <c r="I185" s="55"/>
      <c r="J185" s="580"/>
      <c r="K185" s="611" t="s">
        <v>632</v>
      </c>
      <c r="L185" s="130"/>
      <c r="M185" s="55"/>
      <c r="N185" s="580"/>
      <c r="O185" s="611" t="s">
        <v>632</v>
      </c>
      <c r="P185" s="130"/>
      <c r="Q185" s="55"/>
      <c r="R185" s="580"/>
      <c r="S185" s="659" t="s">
        <v>633</v>
      </c>
      <c r="T185" s="659"/>
      <c r="U185" s="55"/>
      <c r="V185" s="580"/>
      <c r="W185" s="14"/>
      <c r="X185" s="659"/>
      <c r="Y185" s="55"/>
      <c r="Z185" s="580"/>
      <c r="AA185" s="14"/>
      <c r="AB185" s="659"/>
      <c r="AC185" s="55"/>
      <c r="AD185" s="55"/>
      <c r="AE185" s="660"/>
      <c r="AF185" s="55"/>
      <c r="AG185" s="55"/>
      <c r="AH185" s="55"/>
      <c r="AI185" s="661"/>
    </row>
    <row r="186" spans="1:35" ht="21" customHeight="1" x14ac:dyDescent="0.2">
      <c r="B186" s="662" t="s">
        <v>325</v>
      </c>
      <c r="C186" s="611" t="s">
        <v>634</v>
      </c>
      <c r="D186" s="130"/>
      <c r="E186" s="55"/>
      <c r="F186" s="580"/>
      <c r="G186" s="611" t="s">
        <v>634</v>
      </c>
      <c r="H186" s="130"/>
      <c r="I186" s="55"/>
      <c r="J186" s="580"/>
      <c r="K186" s="611" t="s">
        <v>634</v>
      </c>
      <c r="L186" s="130"/>
      <c r="M186" s="55"/>
      <c r="N186" s="580"/>
      <c r="O186" s="611" t="s">
        <v>634</v>
      </c>
      <c r="P186" s="130"/>
      <c r="Q186" s="55"/>
      <c r="R186" s="580"/>
      <c r="S186" s="659" t="s">
        <v>635</v>
      </c>
      <c r="T186" s="659"/>
      <c r="U186" s="55"/>
      <c r="V186" s="580"/>
      <c r="W186" s="14"/>
      <c r="X186" s="659"/>
      <c r="Y186" s="55"/>
      <c r="Z186" s="580"/>
      <c r="AA186" s="14"/>
      <c r="AB186" s="659"/>
      <c r="AC186" s="55"/>
      <c r="AD186" s="55"/>
      <c r="AE186" s="660"/>
      <c r="AF186" s="55"/>
      <c r="AG186" s="55"/>
      <c r="AH186" s="55"/>
      <c r="AI186" s="661"/>
    </row>
    <row r="187" spans="1:35" ht="21" customHeight="1" x14ac:dyDescent="0.2">
      <c r="B187" s="671" t="s">
        <v>326</v>
      </c>
      <c r="C187" s="618" t="s">
        <v>636</v>
      </c>
      <c r="D187" s="48"/>
      <c r="E187" s="678"/>
      <c r="F187" s="239"/>
      <c r="G187" s="618" t="s">
        <v>636</v>
      </c>
      <c r="H187" s="48"/>
      <c r="I187" s="678"/>
      <c r="J187" s="239"/>
      <c r="K187" s="618" t="s">
        <v>636</v>
      </c>
      <c r="L187" s="48"/>
      <c r="M187" s="678"/>
      <c r="N187" s="239"/>
      <c r="O187" s="618" t="s">
        <v>636</v>
      </c>
      <c r="P187" s="48"/>
      <c r="Q187" s="678"/>
      <c r="R187" s="239"/>
      <c r="S187" s="148" t="s">
        <v>637</v>
      </c>
      <c r="T187" s="148"/>
      <c r="U187" s="678"/>
      <c r="V187" s="239"/>
      <c r="W187" s="679"/>
      <c r="X187" s="148"/>
      <c r="Y187" s="678"/>
      <c r="Z187" s="239"/>
      <c r="AA187" s="679"/>
      <c r="AB187" s="148"/>
      <c r="AC187" s="678"/>
      <c r="AD187" s="678"/>
      <c r="AE187" s="680"/>
      <c r="AF187" s="678"/>
      <c r="AG187" s="678"/>
      <c r="AH187" s="678"/>
      <c r="AI187" s="681"/>
    </row>
    <row r="188" spans="1:35" ht="21" customHeight="1" x14ac:dyDescent="0.2">
      <c r="B188" s="273"/>
      <c r="C188" s="311"/>
      <c r="D188" s="72"/>
      <c r="G188" s="311"/>
      <c r="H188" s="72"/>
      <c r="K188" s="311"/>
      <c r="L188" s="72"/>
      <c r="O188" s="311"/>
      <c r="P188" s="72"/>
      <c r="S188" s="311"/>
      <c r="T188" s="311"/>
      <c r="X188" s="311"/>
      <c r="AB188" s="311"/>
      <c r="AE188" s="311"/>
    </row>
    <row r="189" spans="1:35" ht="21" customHeight="1" x14ac:dyDescent="0.2">
      <c r="A189" s="682" t="s">
        <v>638</v>
      </c>
    </row>
    <row r="190" spans="1:35" ht="21" customHeight="1" x14ac:dyDescent="0.2">
      <c r="A190" s="585"/>
      <c r="B190" s="296" t="s">
        <v>469</v>
      </c>
      <c r="C190" s="177">
        <v>1</v>
      </c>
      <c r="D190" s="497">
        <v>2</v>
      </c>
      <c r="E190" s="177">
        <v>3</v>
      </c>
      <c r="F190" s="497">
        <v>4</v>
      </c>
      <c r="G190" s="497">
        <v>5</v>
      </c>
      <c r="H190" s="177">
        <v>6</v>
      </c>
      <c r="I190" s="177">
        <v>7</v>
      </c>
      <c r="J190" s="177">
        <v>8</v>
      </c>
      <c r="K190" s="177">
        <v>9</v>
      </c>
      <c r="L190" s="177">
        <v>10</v>
      </c>
      <c r="M190" s="497">
        <v>11</v>
      </c>
      <c r="N190" s="497">
        <v>12</v>
      </c>
      <c r="O190" s="497">
        <v>13</v>
      </c>
      <c r="P190" s="177">
        <v>14</v>
      </c>
      <c r="Q190" s="177">
        <v>15</v>
      </c>
      <c r="R190" s="177">
        <v>16</v>
      </c>
      <c r="S190" s="177">
        <v>17</v>
      </c>
      <c r="T190" s="497">
        <v>18</v>
      </c>
      <c r="U190" s="497">
        <v>19</v>
      </c>
      <c r="V190" s="177">
        <v>20</v>
      </c>
      <c r="W190" s="177">
        <v>21</v>
      </c>
      <c r="X190" s="177">
        <v>22</v>
      </c>
      <c r="Y190" s="177">
        <v>23</v>
      </c>
      <c r="Z190" s="177">
        <v>24</v>
      </c>
      <c r="AA190" s="497">
        <v>25</v>
      </c>
      <c r="AB190" s="497">
        <v>26</v>
      </c>
      <c r="AC190" s="177">
        <v>27</v>
      </c>
      <c r="AD190" s="177">
        <v>28</v>
      </c>
      <c r="AE190" s="177">
        <v>29</v>
      </c>
      <c r="AF190" s="177">
        <v>30</v>
      </c>
      <c r="AG190" s="177"/>
      <c r="AH190" s="499" t="s">
        <v>470</v>
      </c>
      <c r="AI190" s="500" t="s">
        <v>471</v>
      </c>
    </row>
    <row r="191" spans="1:35" ht="21" customHeight="1" x14ac:dyDescent="0.2">
      <c r="A191" s="441">
        <v>3702</v>
      </c>
      <c r="B191" s="152" t="s">
        <v>639</v>
      </c>
      <c r="C191" s="1058">
        <v>2</v>
      </c>
      <c r="D191" s="503"/>
      <c r="E191" s="1058">
        <v>2</v>
      </c>
      <c r="F191" s="503"/>
      <c r="G191" s="503"/>
      <c r="H191" s="503">
        <v>1</v>
      </c>
      <c r="I191" s="1435">
        <v>1</v>
      </c>
      <c r="J191" s="503">
        <v>1</v>
      </c>
      <c r="K191" s="503">
        <v>1</v>
      </c>
      <c r="L191" s="503">
        <v>1</v>
      </c>
      <c r="M191" s="503"/>
      <c r="N191" s="503"/>
      <c r="O191" s="503"/>
      <c r="P191" s="503">
        <v>2</v>
      </c>
      <c r="Q191" s="503">
        <v>2</v>
      </c>
      <c r="R191" s="503">
        <v>2</v>
      </c>
      <c r="S191" s="503">
        <v>2</v>
      </c>
      <c r="T191" s="503"/>
      <c r="U191" s="503"/>
      <c r="V191" s="503">
        <v>1</v>
      </c>
      <c r="W191" s="503">
        <v>1</v>
      </c>
      <c r="X191" s="503">
        <v>1</v>
      </c>
      <c r="Y191" s="503">
        <v>1</v>
      </c>
      <c r="Z191" s="503">
        <v>1</v>
      </c>
      <c r="AA191" s="503"/>
      <c r="AB191" s="503"/>
      <c r="AC191" s="503">
        <v>2</v>
      </c>
      <c r="AD191" s="503">
        <v>2</v>
      </c>
      <c r="AE191" s="503">
        <v>2</v>
      </c>
      <c r="AF191" s="503">
        <v>2</v>
      </c>
      <c r="AG191" s="504"/>
      <c r="AH191" s="505">
        <v>185</v>
      </c>
      <c r="AI191" s="506">
        <v>37</v>
      </c>
    </row>
    <row r="192" spans="1:35" ht="21" customHeight="1" x14ac:dyDescent="0.2">
      <c r="A192" s="441">
        <v>3701</v>
      </c>
      <c r="B192" s="152" t="s">
        <v>640</v>
      </c>
      <c r="C192" s="503" t="s">
        <v>482</v>
      </c>
      <c r="D192" s="503"/>
      <c r="E192" s="503" t="s">
        <v>482</v>
      </c>
      <c r="F192" s="503"/>
      <c r="G192" s="503"/>
      <c r="H192" s="503" t="s">
        <v>482</v>
      </c>
      <c r="I192" s="503" t="s">
        <v>482</v>
      </c>
      <c r="J192" s="503" t="s">
        <v>482</v>
      </c>
      <c r="K192" s="503" t="s">
        <v>482</v>
      </c>
      <c r="L192" s="503" t="s">
        <v>482</v>
      </c>
      <c r="M192" s="503"/>
      <c r="N192" s="503"/>
      <c r="O192" s="503"/>
      <c r="P192" s="503" t="s">
        <v>482</v>
      </c>
      <c r="Q192" s="503" t="s">
        <v>482</v>
      </c>
      <c r="R192" s="503" t="s">
        <v>482</v>
      </c>
      <c r="S192" s="503" t="s">
        <v>482</v>
      </c>
      <c r="T192" s="503"/>
      <c r="U192" s="503"/>
      <c r="V192" s="503" t="s">
        <v>482</v>
      </c>
      <c r="W192" s="503" t="s">
        <v>482</v>
      </c>
      <c r="X192" s="503" t="s">
        <v>482</v>
      </c>
      <c r="Y192" s="503" t="s">
        <v>482</v>
      </c>
      <c r="Z192" s="503" t="s">
        <v>482</v>
      </c>
      <c r="AA192" s="503"/>
      <c r="AB192" s="503"/>
      <c r="AC192" s="503" t="s">
        <v>482</v>
      </c>
      <c r="AD192" s="503" t="s">
        <v>482</v>
      </c>
      <c r="AE192" s="503" t="s">
        <v>482</v>
      </c>
      <c r="AF192" s="503" t="s">
        <v>482</v>
      </c>
      <c r="AG192" s="503"/>
      <c r="AH192" s="505">
        <v>185</v>
      </c>
      <c r="AI192" s="506">
        <v>37</v>
      </c>
    </row>
    <row r="193" spans="1:35" ht="21" customHeight="1" x14ac:dyDescent="0.2">
      <c r="A193" s="441">
        <v>3702</v>
      </c>
      <c r="B193" s="152" t="s">
        <v>641</v>
      </c>
      <c r="C193" s="503">
        <v>1</v>
      </c>
      <c r="D193" s="503"/>
      <c r="E193" s="503">
        <v>1</v>
      </c>
      <c r="F193" s="503"/>
      <c r="G193" s="503"/>
      <c r="H193" s="503">
        <v>2</v>
      </c>
      <c r="I193" s="503">
        <v>2</v>
      </c>
      <c r="J193" s="503">
        <v>2</v>
      </c>
      <c r="K193" s="503">
        <v>2</v>
      </c>
      <c r="L193" s="503">
        <v>2</v>
      </c>
      <c r="M193" s="503"/>
      <c r="N193" s="503"/>
      <c r="O193" s="503"/>
      <c r="P193" s="503">
        <v>1</v>
      </c>
      <c r="Q193" s="503">
        <v>1</v>
      </c>
      <c r="R193" s="503">
        <v>1</v>
      </c>
      <c r="S193" s="503">
        <v>1</v>
      </c>
      <c r="T193" s="503"/>
      <c r="U193" s="503"/>
      <c r="V193" s="503">
        <v>2</v>
      </c>
      <c r="W193" s="503">
        <v>2</v>
      </c>
      <c r="X193" s="503">
        <v>2</v>
      </c>
      <c r="Y193" s="503">
        <v>2</v>
      </c>
      <c r="Z193" s="503">
        <v>2</v>
      </c>
      <c r="AA193" s="503"/>
      <c r="AB193" s="503"/>
      <c r="AC193" s="503">
        <v>1</v>
      </c>
      <c r="AD193" s="503">
        <v>1</v>
      </c>
      <c r="AE193" s="503">
        <v>1</v>
      </c>
      <c r="AF193" s="503">
        <v>1</v>
      </c>
      <c r="AG193" s="503"/>
      <c r="AH193" s="505">
        <v>185</v>
      </c>
      <c r="AI193" s="506">
        <v>37</v>
      </c>
    </row>
    <row r="194" spans="1:35" ht="21" customHeight="1" x14ac:dyDescent="0.2">
      <c r="A194" s="683">
        <v>3706</v>
      </c>
      <c r="B194" s="552"/>
      <c r="C194" s="503"/>
      <c r="D194" s="503"/>
      <c r="E194" s="503"/>
      <c r="F194" s="503"/>
      <c r="G194" s="503"/>
      <c r="H194" s="503"/>
      <c r="I194" s="503"/>
      <c r="J194" s="503"/>
      <c r="K194" s="503"/>
      <c r="L194" s="503"/>
      <c r="M194" s="503"/>
      <c r="N194" s="503"/>
      <c r="O194" s="503"/>
      <c r="P194" s="503"/>
      <c r="Q194" s="503"/>
      <c r="R194" s="503"/>
      <c r="S194" s="503"/>
      <c r="T194" s="503"/>
      <c r="U194" s="503"/>
      <c r="V194" s="503"/>
      <c r="W194" s="503"/>
      <c r="X194" s="503"/>
      <c r="Y194" s="503"/>
      <c r="Z194" s="503"/>
      <c r="AA194" s="503"/>
      <c r="AB194" s="503"/>
      <c r="AC194" s="503"/>
      <c r="AD194" s="503"/>
      <c r="AE194" s="503"/>
      <c r="AF194" s="503"/>
      <c r="AG194" s="503"/>
      <c r="AH194" s="505">
        <v>185</v>
      </c>
      <c r="AI194" s="506">
        <v>37</v>
      </c>
    </row>
    <row r="195" spans="1:35" ht="21" customHeight="1" x14ac:dyDescent="0.2">
      <c r="A195" s="684"/>
      <c r="B195" s="685" t="s">
        <v>642</v>
      </c>
      <c r="C195" s="687"/>
      <c r="D195" s="687"/>
      <c r="E195" s="687"/>
      <c r="F195" s="687"/>
      <c r="G195" s="686"/>
      <c r="H195" s="686"/>
      <c r="I195" s="686"/>
      <c r="J195" s="686"/>
      <c r="K195" s="686"/>
      <c r="L195" s="686"/>
      <c r="M195" s="686"/>
      <c r="N195" s="686"/>
      <c r="O195" s="686"/>
      <c r="P195" s="686"/>
      <c r="Q195" s="686"/>
      <c r="R195" s="686"/>
      <c r="S195" s="686"/>
      <c r="T195" s="686"/>
      <c r="U195" s="686"/>
      <c r="V195" s="686"/>
      <c r="W195" s="686"/>
      <c r="X195" s="686"/>
      <c r="Y195" s="686"/>
      <c r="Z195" s="686"/>
      <c r="AA195" s="686"/>
      <c r="AB195" s="686"/>
      <c r="AC195" s="686"/>
      <c r="AD195" s="686"/>
      <c r="AE195" s="686"/>
      <c r="AF195" s="686"/>
      <c r="AG195" s="687"/>
      <c r="AH195" s="688"/>
      <c r="AI195" s="689"/>
    </row>
    <row r="196" spans="1:35" ht="21" customHeight="1" x14ac:dyDescent="0.2">
      <c r="A196" s="441">
        <v>3702</v>
      </c>
      <c r="B196" s="152"/>
      <c r="C196" s="503" t="s">
        <v>596</v>
      </c>
      <c r="D196" s="503"/>
      <c r="E196" s="503" t="s">
        <v>596</v>
      </c>
      <c r="F196" s="503"/>
      <c r="G196" s="503"/>
      <c r="H196" s="503" t="s">
        <v>644</v>
      </c>
      <c r="I196" s="503" t="s">
        <v>644</v>
      </c>
      <c r="J196" s="503" t="s">
        <v>644</v>
      </c>
      <c r="K196" s="503" t="s">
        <v>644</v>
      </c>
      <c r="L196" s="503" t="s">
        <v>644</v>
      </c>
      <c r="M196" s="503"/>
      <c r="N196" s="152"/>
      <c r="O196" s="503"/>
      <c r="P196" s="503" t="s">
        <v>643</v>
      </c>
      <c r="Q196" s="503" t="s">
        <v>643</v>
      </c>
      <c r="R196" s="503" t="s">
        <v>643</v>
      </c>
      <c r="S196" s="503" t="s">
        <v>643</v>
      </c>
      <c r="T196" s="503"/>
      <c r="U196" s="503"/>
      <c r="V196" s="503" t="s">
        <v>596</v>
      </c>
      <c r="W196" s="503" t="s">
        <v>596</v>
      </c>
      <c r="X196" s="503" t="s">
        <v>596</v>
      </c>
      <c r="Y196" s="503" t="s">
        <v>596</v>
      </c>
      <c r="Z196" s="503" t="s">
        <v>596</v>
      </c>
      <c r="AA196" s="503"/>
      <c r="AB196" s="503"/>
      <c r="AC196" s="503" t="s">
        <v>644</v>
      </c>
      <c r="AD196" s="503" t="s">
        <v>644</v>
      </c>
      <c r="AE196" s="503" t="s">
        <v>644</v>
      </c>
      <c r="AF196" s="503" t="s">
        <v>644</v>
      </c>
      <c r="AG196" s="154"/>
      <c r="AH196" s="505">
        <v>185</v>
      </c>
      <c r="AI196" s="506">
        <v>37</v>
      </c>
    </row>
    <row r="197" spans="1:35" ht="21" customHeight="1" x14ac:dyDescent="0.2">
      <c r="A197" s="441"/>
      <c r="B197" s="152" t="s">
        <v>645</v>
      </c>
      <c r="C197" s="503" t="s">
        <v>644</v>
      </c>
      <c r="D197" s="503"/>
      <c r="E197" s="503" t="s">
        <v>644</v>
      </c>
      <c r="F197" s="503"/>
      <c r="G197" s="503"/>
      <c r="H197" s="503" t="s">
        <v>643</v>
      </c>
      <c r="I197" s="503" t="s">
        <v>643</v>
      </c>
      <c r="J197" s="503" t="s">
        <v>643</v>
      </c>
      <c r="K197" s="503" t="s">
        <v>643</v>
      </c>
      <c r="L197" s="503" t="s">
        <v>643</v>
      </c>
      <c r="M197" s="503"/>
      <c r="N197" s="152"/>
      <c r="O197" s="503"/>
      <c r="P197" s="503" t="s">
        <v>596</v>
      </c>
      <c r="Q197" s="503" t="s">
        <v>596</v>
      </c>
      <c r="R197" s="503" t="s">
        <v>596</v>
      </c>
      <c r="S197" s="503" t="s">
        <v>596</v>
      </c>
      <c r="T197" s="503"/>
      <c r="U197" s="503"/>
      <c r="V197" s="503" t="s">
        <v>644</v>
      </c>
      <c r="W197" s="503" t="s">
        <v>644</v>
      </c>
      <c r="X197" s="503" t="s">
        <v>644</v>
      </c>
      <c r="Y197" s="503" t="s">
        <v>644</v>
      </c>
      <c r="Z197" s="503" t="s">
        <v>644</v>
      </c>
      <c r="AA197" s="503"/>
      <c r="AB197" s="503"/>
      <c r="AC197" s="503" t="s">
        <v>643</v>
      </c>
      <c r="AD197" s="503" t="s">
        <v>643</v>
      </c>
      <c r="AE197" s="503" t="s">
        <v>643</v>
      </c>
      <c r="AF197" s="503" t="s">
        <v>643</v>
      </c>
      <c r="AG197" s="154"/>
      <c r="AH197" s="505">
        <v>193</v>
      </c>
      <c r="AI197" s="506">
        <v>37</v>
      </c>
    </row>
    <row r="198" spans="1:35" ht="21" customHeight="1" x14ac:dyDescent="0.2">
      <c r="A198" s="441"/>
      <c r="B198" s="152" t="s">
        <v>646</v>
      </c>
      <c r="C198" s="503" t="s">
        <v>643</v>
      </c>
      <c r="D198" s="503"/>
      <c r="E198" s="503" t="s">
        <v>643</v>
      </c>
      <c r="F198" s="503"/>
      <c r="G198" s="503"/>
      <c r="H198" s="503" t="s">
        <v>596</v>
      </c>
      <c r="I198" s="503" t="s">
        <v>596</v>
      </c>
      <c r="J198" s="503" t="s">
        <v>596</v>
      </c>
      <c r="K198" s="503" t="s">
        <v>596</v>
      </c>
      <c r="L198" s="503" t="s">
        <v>596</v>
      </c>
      <c r="M198" s="503"/>
      <c r="N198" s="152"/>
      <c r="O198" s="503"/>
      <c r="P198" s="503" t="s">
        <v>644</v>
      </c>
      <c r="Q198" s="503" t="s">
        <v>644</v>
      </c>
      <c r="R198" s="503" t="s">
        <v>644</v>
      </c>
      <c r="S198" s="503" t="s">
        <v>644</v>
      </c>
      <c r="T198" s="503"/>
      <c r="U198" s="503"/>
      <c r="V198" s="503" t="s">
        <v>643</v>
      </c>
      <c r="W198" s="503" t="s">
        <v>643</v>
      </c>
      <c r="X198" s="503" t="s">
        <v>643</v>
      </c>
      <c r="Y198" s="503" t="s">
        <v>643</v>
      </c>
      <c r="Z198" s="503" t="s">
        <v>643</v>
      </c>
      <c r="AA198" s="503"/>
      <c r="AB198" s="503"/>
      <c r="AC198" s="503" t="s">
        <v>596</v>
      </c>
      <c r="AD198" s="503" t="s">
        <v>596</v>
      </c>
      <c r="AE198" s="503" t="s">
        <v>596</v>
      </c>
      <c r="AF198" s="503" t="s">
        <v>596</v>
      </c>
      <c r="AG198" s="154"/>
      <c r="AH198" s="505">
        <v>185</v>
      </c>
      <c r="AI198" s="506">
        <v>21.5</v>
      </c>
    </row>
    <row r="199" spans="1:35" ht="21" customHeight="1" x14ac:dyDescent="0.2"/>
    <row r="200" spans="1:35" ht="21" customHeight="1" x14ac:dyDescent="0.2"/>
    <row r="201" spans="1:35" ht="21" customHeight="1" x14ac:dyDescent="0.2">
      <c r="A201" s="1" t="s">
        <v>647</v>
      </c>
    </row>
    <row r="202" spans="1:35" ht="21" customHeight="1" x14ac:dyDescent="0.2">
      <c r="B202" s="200" t="s">
        <v>604</v>
      </c>
      <c r="C202" s="7"/>
      <c r="D202" s="530" t="s">
        <v>2</v>
      </c>
      <c r="E202" s="51"/>
      <c r="F202" s="573"/>
      <c r="G202" s="7"/>
      <c r="H202" s="530" t="s">
        <v>3</v>
      </c>
      <c r="I202" s="51"/>
      <c r="J202" s="573"/>
      <c r="K202" s="7"/>
      <c r="L202" s="530" t="s">
        <v>4</v>
      </c>
      <c r="M202" s="51"/>
      <c r="N202" s="573"/>
      <c r="O202" s="7"/>
      <c r="P202" s="530" t="s">
        <v>5</v>
      </c>
      <c r="Q202" s="51"/>
      <c r="R202" s="573"/>
      <c r="S202" s="7"/>
      <c r="T202" s="530" t="s">
        <v>6</v>
      </c>
      <c r="U202" s="51"/>
      <c r="V202" s="573"/>
      <c r="W202" s="7"/>
      <c r="X202" s="530" t="s">
        <v>7</v>
      </c>
      <c r="Y202" s="51"/>
      <c r="Z202" s="573"/>
      <c r="AA202" s="7"/>
      <c r="AB202" s="530" t="s">
        <v>8</v>
      </c>
      <c r="AC202" s="51"/>
      <c r="AD202" s="51"/>
      <c r="AE202" s="424" t="s">
        <v>10</v>
      </c>
      <c r="AF202" s="51"/>
      <c r="AG202" s="51"/>
      <c r="AH202" s="51"/>
      <c r="AI202" s="531"/>
    </row>
    <row r="203" spans="1:35" ht="21" customHeight="1" x14ac:dyDescent="0.2">
      <c r="B203" s="9">
        <v>8500</v>
      </c>
      <c r="C203" s="121" t="s">
        <v>33</v>
      </c>
      <c r="D203" s="659"/>
      <c r="E203" s="55"/>
      <c r="F203" s="580"/>
      <c r="G203" s="121" t="s">
        <v>33</v>
      </c>
      <c r="H203" s="659"/>
      <c r="I203" s="55"/>
      <c r="J203" s="580"/>
      <c r="K203" s="121" t="s">
        <v>33</v>
      </c>
      <c r="L203" s="659"/>
      <c r="M203" s="55"/>
      <c r="N203" s="580"/>
      <c r="O203" s="121" t="s">
        <v>33</v>
      </c>
      <c r="P203" s="659"/>
      <c r="Q203" s="55"/>
      <c r="R203" s="580"/>
      <c r="S203" s="121" t="s">
        <v>34</v>
      </c>
      <c r="T203" s="659"/>
      <c r="U203" s="55"/>
      <c r="V203" s="580"/>
      <c r="W203" s="14"/>
      <c r="X203" s="659"/>
      <c r="Y203" s="55"/>
      <c r="Z203" s="580"/>
      <c r="AA203" s="14"/>
      <c r="AB203" s="659"/>
      <c r="AC203" s="55"/>
      <c r="AD203" s="55"/>
      <c r="AE203" s="660"/>
      <c r="AF203" s="55"/>
      <c r="AG203" s="55"/>
      <c r="AH203" s="55"/>
      <c r="AI203" s="661"/>
    </row>
    <row r="204" spans="1:35" ht="21" customHeight="1" x14ac:dyDescent="0.2">
      <c r="B204" s="162" t="s">
        <v>648</v>
      </c>
      <c r="C204" s="690" t="s">
        <v>649</v>
      </c>
      <c r="D204" s="607"/>
      <c r="E204" s="678"/>
      <c r="F204" s="239"/>
      <c r="G204" s="690" t="s">
        <v>649</v>
      </c>
      <c r="H204" s="148"/>
      <c r="I204" s="678"/>
      <c r="J204" s="239"/>
      <c r="K204" s="690" t="s">
        <v>649</v>
      </c>
      <c r="L204" s="148"/>
      <c r="M204" s="678"/>
      <c r="N204" s="239"/>
      <c r="O204" s="690" t="s">
        <v>650</v>
      </c>
      <c r="P204" s="148"/>
      <c r="Q204" s="678"/>
      <c r="R204" s="239"/>
      <c r="S204" s="690" t="s">
        <v>16</v>
      </c>
      <c r="T204" s="148"/>
      <c r="U204" s="678"/>
      <c r="V204" s="239"/>
      <c r="W204" s="679"/>
      <c r="X204" s="148"/>
      <c r="Y204" s="678"/>
      <c r="Z204" s="239"/>
      <c r="AA204" s="679"/>
      <c r="AB204" s="148"/>
      <c r="AC204" s="678"/>
      <c r="AD204" s="678"/>
      <c r="AE204" s="680"/>
      <c r="AF204" s="678"/>
      <c r="AG204" s="678"/>
      <c r="AH204" s="678"/>
      <c r="AI204" s="681"/>
    </row>
    <row r="205" spans="1:35" ht="21" customHeight="1" x14ac:dyDescent="0.2">
      <c r="A205" s="60" t="s">
        <v>651</v>
      </c>
    </row>
    <row r="206" spans="1:35" ht="21" customHeight="1" x14ac:dyDescent="0.2">
      <c r="A206" s="691"/>
      <c r="B206" s="296" t="s">
        <v>469</v>
      </c>
      <c r="C206" s="177">
        <v>1</v>
      </c>
      <c r="D206" s="497">
        <v>2</v>
      </c>
      <c r="E206" s="177">
        <v>3</v>
      </c>
      <c r="F206" s="497">
        <v>4</v>
      </c>
      <c r="G206" s="497">
        <v>5</v>
      </c>
      <c r="H206" s="177">
        <v>6</v>
      </c>
      <c r="I206" s="177">
        <v>7</v>
      </c>
      <c r="J206" s="177">
        <v>8</v>
      </c>
      <c r="K206" s="177">
        <v>9</v>
      </c>
      <c r="L206" s="177">
        <v>10</v>
      </c>
      <c r="M206" s="497">
        <v>11</v>
      </c>
      <c r="N206" s="497">
        <v>12</v>
      </c>
      <c r="O206" s="497">
        <v>13</v>
      </c>
      <c r="P206" s="177">
        <v>14</v>
      </c>
      <c r="Q206" s="177">
        <v>15</v>
      </c>
      <c r="R206" s="177">
        <v>16</v>
      </c>
      <c r="S206" s="177">
        <v>17</v>
      </c>
      <c r="T206" s="497">
        <v>18</v>
      </c>
      <c r="U206" s="497">
        <v>19</v>
      </c>
      <c r="V206" s="177">
        <v>20</v>
      </c>
      <c r="W206" s="177">
        <v>21</v>
      </c>
      <c r="X206" s="177">
        <v>22</v>
      </c>
      <c r="Y206" s="177">
        <v>23</v>
      </c>
      <c r="Z206" s="177">
        <v>24</v>
      </c>
      <c r="AA206" s="497">
        <v>25</v>
      </c>
      <c r="AB206" s="497">
        <v>26</v>
      </c>
      <c r="AC206" s="177">
        <v>27</v>
      </c>
      <c r="AD206" s="177">
        <v>28</v>
      </c>
      <c r="AE206" s="177">
        <v>29</v>
      </c>
      <c r="AF206" s="177">
        <v>30</v>
      </c>
      <c r="AG206" s="177"/>
      <c r="AH206" s="499" t="s">
        <v>470</v>
      </c>
      <c r="AI206" s="500" t="s">
        <v>471</v>
      </c>
    </row>
    <row r="207" spans="1:35" ht="21" customHeight="1" x14ac:dyDescent="0.2">
      <c r="A207" s="154">
        <v>8500</v>
      </c>
      <c r="B207" s="692" t="s">
        <v>652</v>
      </c>
      <c r="C207" s="503" t="s">
        <v>482</v>
      </c>
      <c r="D207" s="503"/>
      <c r="E207" s="503" t="s">
        <v>482</v>
      </c>
      <c r="F207" s="503"/>
      <c r="G207" s="503"/>
      <c r="H207" s="503" t="s">
        <v>482</v>
      </c>
      <c r="I207" s="503" t="s">
        <v>482</v>
      </c>
      <c r="J207" s="503" t="s">
        <v>482</v>
      </c>
      <c r="K207" s="503" t="s">
        <v>482</v>
      </c>
      <c r="L207" s="503" t="s">
        <v>482</v>
      </c>
      <c r="M207" s="503"/>
      <c r="N207" s="503"/>
      <c r="O207" s="503"/>
      <c r="P207" s="503" t="s">
        <v>482</v>
      </c>
      <c r="Q207" s="503" t="s">
        <v>482</v>
      </c>
      <c r="R207" s="503" t="s">
        <v>482</v>
      </c>
      <c r="S207" s="503" t="s">
        <v>482</v>
      </c>
      <c r="T207" s="503"/>
      <c r="U207" s="503"/>
      <c r="V207" s="503" t="s">
        <v>482</v>
      </c>
      <c r="W207" s="503" t="s">
        <v>482</v>
      </c>
      <c r="X207" s="503" t="s">
        <v>482</v>
      </c>
      <c r="Y207" s="503" t="s">
        <v>482</v>
      </c>
      <c r="Z207" s="503" t="s">
        <v>482</v>
      </c>
      <c r="AA207" s="503"/>
      <c r="AB207" s="503"/>
      <c r="AC207" s="503" t="s">
        <v>482</v>
      </c>
      <c r="AD207" s="503" t="s">
        <v>482</v>
      </c>
      <c r="AE207" s="503" t="s">
        <v>482</v>
      </c>
      <c r="AF207" s="503" t="s">
        <v>482</v>
      </c>
      <c r="AG207" s="504"/>
      <c r="AH207" s="693">
        <v>220</v>
      </c>
      <c r="AI207" s="694">
        <v>37</v>
      </c>
    </row>
    <row r="208" spans="1:35" ht="21" customHeight="1" x14ac:dyDescent="0.2">
      <c r="A208" s="501" t="s">
        <v>653</v>
      </c>
      <c r="B208" s="152" t="s">
        <v>654</v>
      </c>
      <c r="C208" s="503" t="s">
        <v>482</v>
      </c>
      <c r="D208" s="503"/>
      <c r="E208" s="503" t="s">
        <v>482</v>
      </c>
      <c r="F208" s="503"/>
      <c r="G208" s="503"/>
      <c r="H208" s="503" t="s">
        <v>482</v>
      </c>
      <c r="I208" s="503" t="s">
        <v>482</v>
      </c>
      <c r="J208" s="503" t="s">
        <v>482</v>
      </c>
      <c r="K208" s="503" t="s">
        <v>482</v>
      </c>
      <c r="L208" s="503" t="s">
        <v>482</v>
      </c>
      <c r="M208" s="503"/>
      <c r="N208" s="503"/>
      <c r="O208" s="503"/>
      <c r="P208" s="503" t="s">
        <v>482</v>
      </c>
      <c r="Q208" s="503" t="s">
        <v>482</v>
      </c>
      <c r="R208" s="503" t="s">
        <v>482</v>
      </c>
      <c r="S208" s="503" t="s">
        <v>482</v>
      </c>
      <c r="T208" s="503"/>
      <c r="U208" s="503"/>
      <c r="V208" s="503" t="s">
        <v>482</v>
      </c>
      <c r="W208" s="503" t="s">
        <v>482</v>
      </c>
      <c r="X208" s="503" t="s">
        <v>482</v>
      </c>
      <c r="Y208" s="503" t="s">
        <v>482</v>
      </c>
      <c r="Z208" s="503" t="s">
        <v>482</v>
      </c>
      <c r="AA208" s="503"/>
      <c r="AB208" s="503"/>
      <c r="AC208" s="503" t="s">
        <v>482</v>
      </c>
      <c r="AD208" s="503" t="s">
        <v>482</v>
      </c>
      <c r="AE208" s="503" t="s">
        <v>482</v>
      </c>
      <c r="AF208" s="503" t="s">
        <v>482</v>
      </c>
      <c r="AG208" s="504"/>
      <c r="AH208" s="693">
        <v>108</v>
      </c>
      <c r="AI208" s="694">
        <v>37</v>
      </c>
    </row>
    <row r="209" spans="1:35" ht="21" customHeight="1" x14ac:dyDescent="0.2">
      <c r="A209" s="152">
        <v>8500</v>
      </c>
      <c r="B209" s="152" t="s">
        <v>655</v>
      </c>
      <c r="C209" s="503" t="s">
        <v>482</v>
      </c>
      <c r="D209" s="503"/>
      <c r="E209" s="503" t="s">
        <v>482</v>
      </c>
      <c r="F209" s="503"/>
      <c r="G209" s="503"/>
      <c r="H209" s="503" t="s">
        <v>482</v>
      </c>
      <c r="I209" s="503" t="s">
        <v>482</v>
      </c>
      <c r="J209" s="503" t="s">
        <v>482</v>
      </c>
      <c r="K209" s="503" t="s">
        <v>482</v>
      </c>
      <c r="L209" s="503" t="s">
        <v>482</v>
      </c>
      <c r="M209" s="503"/>
      <c r="N209" s="503"/>
      <c r="O209" s="503"/>
      <c r="P209" s="503" t="s">
        <v>482</v>
      </c>
      <c r="Q209" s="503" t="s">
        <v>482</v>
      </c>
      <c r="R209" s="503" t="s">
        <v>482</v>
      </c>
      <c r="S209" s="503" t="s">
        <v>482</v>
      </c>
      <c r="T209" s="503"/>
      <c r="U209" s="503"/>
      <c r="V209" s="503" t="s">
        <v>482</v>
      </c>
      <c r="W209" s="503" t="s">
        <v>482</v>
      </c>
      <c r="X209" s="503" t="s">
        <v>482</v>
      </c>
      <c r="Y209" s="503" t="s">
        <v>482</v>
      </c>
      <c r="Z209" s="503" t="s">
        <v>482</v>
      </c>
      <c r="AA209" s="503"/>
      <c r="AB209" s="503"/>
      <c r="AC209" s="1059" t="s">
        <v>482</v>
      </c>
      <c r="AD209" s="1059" t="s">
        <v>482</v>
      </c>
      <c r="AE209" s="1059" t="s">
        <v>482</v>
      </c>
      <c r="AF209" s="1059" t="s">
        <v>482</v>
      </c>
      <c r="AG209" s="504"/>
      <c r="AH209" s="693">
        <v>156</v>
      </c>
      <c r="AI209" s="694">
        <v>37</v>
      </c>
    </row>
    <row r="210" spans="1:35" ht="21.95" customHeight="1" x14ac:dyDescent="0.2">
      <c r="A210" s="441"/>
      <c r="B210" s="152" t="s">
        <v>656</v>
      </c>
      <c r="C210" s="503" t="s">
        <v>482</v>
      </c>
      <c r="D210" s="503"/>
      <c r="E210" s="503" t="s">
        <v>482</v>
      </c>
      <c r="F210" s="503"/>
      <c r="G210" s="503"/>
      <c r="H210" s="503" t="s">
        <v>482</v>
      </c>
      <c r="I210" s="503" t="s">
        <v>482</v>
      </c>
      <c r="J210" s="503" t="s">
        <v>482</v>
      </c>
      <c r="K210" s="503" t="s">
        <v>482</v>
      </c>
      <c r="L210" s="503" t="s">
        <v>482</v>
      </c>
      <c r="M210" s="503"/>
      <c r="N210" s="503"/>
      <c r="O210" s="503"/>
      <c r="P210" s="503" t="s">
        <v>482</v>
      </c>
      <c r="Q210" s="503" t="s">
        <v>482</v>
      </c>
      <c r="R210" s="503" t="s">
        <v>482</v>
      </c>
      <c r="S210" s="503" t="s">
        <v>482</v>
      </c>
      <c r="T210" s="503"/>
      <c r="U210" s="503"/>
      <c r="V210" s="1059" t="s">
        <v>482</v>
      </c>
      <c r="W210" s="1059" t="s">
        <v>482</v>
      </c>
      <c r="X210" s="1059" t="s">
        <v>482</v>
      </c>
      <c r="Y210" s="1059" t="s">
        <v>482</v>
      </c>
      <c r="Z210" s="1059" t="s">
        <v>482</v>
      </c>
      <c r="AA210" s="1059"/>
      <c r="AB210" s="1059"/>
      <c r="AC210" s="503" t="s">
        <v>482</v>
      </c>
      <c r="AD210" s="503" t="s">
        <v>482</v>
      </c>
      <c r="AE210" s="503" t="s">
        <v>482</v>
      </c>
      <c r="AF210" s="503" t="s">
        <v>482</v>
      </c>
      <c r="AG210" s="504"/>
      <c r="AH210" s="693">
        <v>185</v>
      </c>
      <c r="AI210" s="694">
        <v>37</v>
      </c>
    </row>
    <row r="211" spans="1:35" ht="21.95" customHeight="1" x14ac:dyDescent="0.2">
      <c r="A211" s="512">
        <v>3350</v>
      </c>
      <c r="B211" s="54" t="s">
        <v>657</v>
      </c>
      <c r="C211" s="503" t="s">
        <v>482</v>
      </c>
      <c r="D211" s="503"/>
      <c r="E211" s="503" t="s">
        <v>482</v>
      </c>
      <c r="F211" s="503"/>
      <c r="G211" s="503"/>
      <c r="H211" s="503" t="s">
        <v>482</v>
      </c>
      <c r="I211" s="503" t="s">
        <v>482</v>
      </c>
      <c r="J211" s="503" t="s">
        <v>482</v>
      </c>
      <c r="K211" s="503" t="s">
        <v>482</v>
      </c>
      <c r="L211" s="503" t="s">
        <v>482</v>
      </c>
      <c r="M211" s="503"/>
      <c r="N211" s="503"/>
      <c r="O211" s="503"/>
      <c r="P211" s="503" t="s">
        <v>482</v>
      </c>
      <c r="Q211" s="503" t="s">
        <v>482</v>
      </c>
      <c r="R211" s="503" t="s">
        <v>482</v>
      </c>
      <c r="S211" s="503" t="s">
        <v>482</v>
      </c>
      <c r="T211" s="503"/>
      <c r="U211" s="503"/>
      <c r="V211" s="503" t="s">
        <v>482</v>
      </c>
      <c r="W211" s="503" t="s">
        <v>482</v>
      </c>
      <c r="X211" s="503" t="s">
        <v>482</v>
      </c>
      <c r="Y211" s="503" t="s">
        <v>482</v>
      </c>
      <c r="Z211" s="503" t="s">
        <v>482</v>
      </c>
      <c r="AA211" s="503"/>
      <c r="AB211" s="503"/>
      <c r="AC211" s="503" t="s">
        <v>482</v>
      </c>
      <c r="AD211" s="503" t="s">
        <v>482</v>
      </c>
      <c r="AE211" s="503" t="s">
        <v>482</v>
      </c>
      <c r="AF211" s="503" t="s">
        <v>482</v>
      </c>
      <c r="AG211" s="504"/>
      <c r="AH211" s="693">
        <v>199</v>
      </c>
      <c r="AI211" s="694">
        <v>37</v>
      </c>
    </row>
    <row r="212" spans="1:35" ht="21.95" customHeight="1" x14ac:dyDescent="0.2">
      <c r="A212" s="524">
        <v>3701</v>
      </c>
      <c r="B212" s="152" t="s">
        <v>658</v>
      </c>
      <c r="C212" s="503" t="s">
        <v>482</v>
      </c>
      <c r="D212" s="503"/>
      <c r="E212" s="503" t="s">
        <v>482</v>
      </c>
      <c r="F212" s="503"/>
      <c r="G212" s="503"/>
      <c r="H212" s="503" t="s">
        <v>482</v>
      </c>
      <c r="I212" s="503" t="s">
        <v>482</v>
      </c>
      <c r="J212" s="503" t="s">
        <v>482</v>
      </c>
      <c r="K212" s="503" t="s">
        <v>482</v>
      </c>
      <c r="L212" s="503" t="s">
        <v>482</v>
      </c>
      <c r="M212" s="503"/>
      <c r="N212" s="503"/>
      <c r="O212" s="503"/>
      <c r="P212" s="503" t="s">
        <v>482</v>
      </c>
      <c r="Q212" s="503" t="s">
        <v>482</v>
      </c>
      <c r="R212" s="503" t="s">
        <v>482</v>
      </c>
      <c r="S212" s="503" t="s">
        <v>482</v>
      </c>
      <c r="T212" s="503"/>
      <c r="U212" s="503"/>
      <c r="V212" s="503" t="s">
        <v>482</v>
      </c>
      <c r="W212" s="503" t="s">
        <v>482</v>
      </c>
      <c r="X212" s="503" t="s">
        <v>482</v>
      </c>
      <c r="Y212" s="503" t="s">
        <v>482</v>
      </c>
      <c r="Z212" s="503" t="s">
        <v>482</v>
      </c>
      <c r="AA212" s="503"/>
      <c r="AB212" s="503"/>
      <c r="AC212" s="503" t="s">
        <v>482</v>
      </c>
      <c r="AD212" s="503" t="s">
        <v>482</v>
      </c>
      <c r="AE212" s="503" t="s">
        <v>482</v>
      </c>
      <c r="AF212" s="503" t="s">
        <v>482</v>
      </c>
      <c r="AG212" s="504"/>
      <c r="AH212" s="693">
        <v>185</v>
      </c>
      <c r="AI212" s="694">
        <v>37</v>
      </c>
    </row>
    <row r="213" spans="1:35" ht="25.5" customHeight="1" thickBot="1" x14ac:dyDescent="0.25">
      <c r="A213" s="1" t="s">
        <v>683</v>
      </c>
    </row>
    <row r="214" spans="1:35" ht="21" customHeight="1" x14ac:dyDescent="0.2">
      <c r="A214" s="1"/>
      <c r="B214" s="200" t="s">
        <v>604</v>
      </c>
      <c r="C214" s="7"/>
      <c r="D214" s="530" t="s">
        <v>2</v>
      </c>
      <c r="E214" s="51"/>
      <c r="F214" s="573"/>
      <c r="G214" s="7"/>
      <c r="H214" s="530" t="s">
        <v>3</v>
      </c>
      <c r="I214" s="51"/>
      <c r="J214" s="573"/>
      <c r="K214" s="7"/>
      <c r="L214" s="530" t="s">
        <v>4</v>
      </c>
      <c r="M214" s="51"/>
      <c r="N214" s="573"/>
      <c r="O214" s="7"/>
      <c r="P214" s="530" t="s">
        <v>5</v>
      </c>
      <c r="Q214" s="51"/>
      <c r="R214" s="573"/>
      <c r="S214" s="7"/>
      <c r="T214" s="530" t="s">
        <v>6</v>
      </c>
      <c r="U214" s="51"/>
      <c r="V214" s="573"/>
      <c r="W214" s="7"/>
      <c r="X214" s="530" t="s">
        <v>7</v>
      </c>
      <c r="Y214" s="51"/>
      <c r="Z214" s="573"/>
      <c r="AA214" s="7"/>
      <c r="AB214" s="530" t="s">
        <v>8</v>
      </c>
      <c r="AC214" s="51"/>
      <c r="AD214" s="51"/>
      <c r="AE214" s="424" t="s">
        <v>10</v>
      </c>
      <c r="AF214" s="51"/>
      <c r="AG214" s="51"/>
      <c r="AH214" s="51"/>
      <c r="AI214" s="531"/>
    </row>
    <row r="215" spans="1:35" ht="21" customHeight="1" x14ac:dyDescent="0.2">
      <c r="A215" s="1"/>
      <c r="B215" s="9"/>
      <c r="C215" s="14"/>
      <c r="D215" s="659"/>
      <c r="E215" s="55"/>
      <c r="F215" s="580"/>
      <c r="G215" s="14"/>
      <c r="H215" s="659"/>
      <c r="I215" s="55"/>
      <c r="J215" s="580"/>
      <c r="K215" s="14"/>
      <c r="L215" s="659"/>
      <c r="M215" s="55"/>
      <c r="N215" s="580"/>
      <c r="O215" s="14"/>
      <c r="P215" s="659"/>
      <c r="Q215" s="55"/>
      <c r="R215" s="580"/>
      <c r="S215" s="14"/>
      <c r="T215" s="659"/>
      <c r="U215" s="55"/>
      <c r="V215" s="580"/>
      <c r="W215" s="14"/>
      <c r="X215" s="659"/>
      <c r="Y215" s="55"/>
      <c r="Z215" s="580"/>
      <c r="AA215" s="14"/>
      <c r="AB215" s="659"/>
      <c r="AC215" s="55"/>
      <c r="AD215" s="55"/>
      <c r="AE215" s="660"/>
      <c r="AF215" s="55"/>
      <c r="AG215" s="55"/>
      <c r="AH215" s="55"/>
      <c r="AI215" s="661"/>
    </row>
    <row r="216" spans="1:35" ht="21" customHeight="1" x14ac:dyDescent="0.2">
      <c r="B216" s="662"/>
      <c r="C216" s="121"/>
      <c r="D216" s="156"/>
      <c r="E216" s="156"/>
      <c r="F216" s="612"/>
      <c r="G216" s="121"/>
      <c r="H216" s="156"/>
      <c r="I216" s="156"/>
      <c r="J216" s="612"/>
      <c r="K216" s="121"/>
      <c r="L216" s="156"/>
      <c r="M216" s="156"/>
      <c r="N216" s="612"/>
      <c r="O216" s="121"/>
      <c r="P216" s="156"/>
      <c r="Q216" s="156"/>
      <c r="R216" s="612"/>
      <c r="S216" s="121"/>
      <c r="T216" s="156"/>
      <c r="U216" s="156"/>
      <c r="V216" s="612"/>
      <c r="W216" s="121"/>
      <c r="X216" s="156"/>
      <c r="Y216" s="156"/>
      <c r="Z216" s="612"/>
      <c r="AA216" s="611"/>
      <c r="AB216" s="156"/>
      <c r="AC216" s="156"/>
      <c r="AD216" s="613"/>
      <c r="AE216" s="663"/>
      <c r="AF216" s="156"/>
      <c r="AG216" s="156" t="s">
        <v>28</v>
      </c>
      <c r="AH216" s="613"/>
      <c r="AI216" s="489"/>
    </row>
    <row r="217" spans="1:35" ht="21" customHeight="1" x14ac:dyDescent="0.2">
      <c r="A217" s="1"/>
      <c r="B217" s="47"/>
      <c r="C217" s="618"/>
      <c r="D217" s="53"/>
      <c r="E217" s="53"/>
      <c r="F217" s="619"/>
      <c r="G217" s="618"/>
      <c r="H217" s="53"/>
      <c r="I217" s="53"/>
      <c r="J217" s="619"/>
      <c r="K217" s="618"/>
      <c r="L217" s="53"/>
      <c r="M217" s="53"/>
      <c r="N217" s="619"/>
      <c r="O217" s="618"/>
      <c r="P217" s="53"/>
      <c r="Q217" s="53"/>
      <c r="R217" s="619"/>
      <c r="S217" s="618"/>
      <c r="T217" s="53"/>
      <c r="U217" s="53"/>
      <c r="V217" s="619"/>
      <c r="W217" s="57"/>
      <c r="X217" s="53"/>
      <c r="Y217" s="53"/>
      <c r="Z217" s="619"/>
      <c r="AA217" s="57"/>
      <c r="AB217" s="53"/>
      <c r="AC217" s="53"/>
      <c r="AD217" s="620"/>
      <c r="AE217" s="57"/>
      <c r="AF217" s="53"/>
      <c r="AG217" s="53"/>
      <c r="AH217" s="620"/>
      <c r="AI217" s="544"/>
    </row>
    <row r="218" spans="1:35" ht="33" customHeight="1" x14ac:dyDescent="0.2">
      <c r="A218" s="1"/>
      <c r="B218" s="72"/>
      <c r="C218" s="311"/>
      <c r="F218" s="353"/>
      <c r="G218" s="311"/>
      <c r="J218" s="353"/>
      <c r="K218" s="311"/>
      <c r="N218" s="353"/>
      <c r="O218" s="311"/>
      <c r="R218" s="353"/>
      <c r="S218" s="311"/>
      <c r="V218" s="353"/>
      <c r="W218" s="353"/>
      <c r="Z218" s="353"/>
      <c r="AA218" s="353"/>
      <c r="AD218" s="353"/>
      <c r="AE218" s="353"/>
      <c r="AH218" s="353"/>
    </row>
    <row r="219" spans="1:35" ht="21" customHeight="1" x14ac:dyDescent="0.2">
      <c r="A219" s="585" t="s">
        <v>468</v>
      </c>
      <c r="B219" s="296" t="s">
        <v>469</v>
      </c>
      <c r="C219" s="177">
        <v>1</v>
      </c>
      <c r="D219" s="497">
        <v>2</v>
      </c>
      <c r="E219" s="177">
        <v>3</v>
      </c>
      <c r="F219" s="497">
        <v>4</v>
      </c>
      <c r="G219" s="497">
        <v>5</v>
      </c>
      <c r="H219" s="177">
        <v>6</v>
      </c>
      <c r="I219" s="177">
        <v>7</v>
      </c>
      <c r="J219" s="177">
        <v>8</v>
      </c>
      <c r="K219" s="177">
        <v>9</v>
      </c>
      <c r="L219" s="177">
        <v>10</v>
      </c>
      <c r="M219" s="497">
        <v>11</v>
      </c>
      <c r="N219" s="497">
        <v>12</v>
      </c>
      <c r="O219" s="497">
        <v>13</v>
      </c>
      <c r="P219" s="177">
        <v>14</v>
      </c>
      <c r="Q219" s="177">
        <v>15</v>
      </c>
      <c r="R219" s="177">
        <v>16</v>
      </c>
      <c r="S219" s="177">
        <v>17</v>
      </c>
      <c r="T219" s="497">
        <v>18</v>
      </c>
      <c r="U219" s="497">
        <v>19</v>
      </c>
      <c r="V219" s="177">
        <v>20</v>
      </c>
      <c r="W219" s="177">
        <v>21</v>
      </c>
      <c r="X219" s="177">
        <v>22</v>
      </c>
      <c r="Y219" s="177">
        <v>23</v>
      </c>
      <c r="Z219" s="177">
        <v>24</v>
      </c>
      <c r="AA219" s="497">
        <v>25</v>
      </c>
      <c r="AB219" s="497">
        <v>26</v>
      </c>
      <c r="AC219" s="177">
        <v>27</v>
      </c>
      <c r="AD219" s="177">
        <v>28</v>
      </c>
      <c r="AE219" s="177">
        <v>29</v>
      </c>
      <c r="AF219" s="177">
        <v>30</v>
      </c>
      <c r="AG219" s="177"/>
      <c r="AH219" s="499" t="s">
        <v>470</v>
      </c>
      <c r="AI219" s="500" t="s">
        <v>471</v>
      </c>
    </row>
    <row r="220" spans="1:35" ht="21" customHeight="1" x14ac:dyDescent="0.2">
      <c r="A220" s="441"/>
      <c r="B220" s="673" t="s">
        <v>661</v>
      </c>
      <c r="C220" s="503" t="s">
        <v>482</v>
      </c>
      <c r="D220" s="503"/>
      <c r="E220" s="503" t="s">
        <v>482</v>
      </c>
      <c r="F220" s="503"/>
      <c r="G220" s="503"/>
      <c r="H220" s="1059" t="s">
        <v>482</v>
      </c>
      <c r="I220" s="1059" t="s">
        <v>482</v>
      </c>
      <c r="J220" s="1059" t="s">
        <v>482</v>
      </c>
      <c r="K220" s="1059" t="s">
        <v>482</v>
      </c>
      <c r="L220" s="1059" t="s">
        <v>482</v>
      </c>
      <c r="M220" s="1059"/>
      <c r="N220" s="1059"/>
      <c r="O220" s="1059"/>
      <c r="P220" s="1059" t="s">
        <v>482</v>
      </c>
      <c r="Q220" s="1059" t="s">
        <v>482</v>
      </c>
      <c r="R220" s="1059" t="s">
        <v>482</v>
      </c>
      <c r="S220" s="1059"/>
      <c r="T220" s="1059"/>
      <c r="U220" s="1059"/>
      <c r="V220" s="503" t="s">
        <v>482</v>
      </c>
      <c r="W220" s="503" t="s">
        <v>482</v>
      </c>
      <c r="X220" s="503" t="s">
        <v>482</v>
      </c>
      <c r="Y220" s="503" t="s">
        <v>482</v>
      </c>
      <c r="Z220" s="503" t="s">
        <v>482</v>
      </c>
      <c r="AA220" s="503"/>
      <c r="AB220" s="503"/>
      <c r="AC220" s="503" t="s">
        <v>482</v>
      </c>
      <c r="AD220" s="503" t="s">
        <v>482</v>
      </c>
      <c r="AE220" s="503" t="s">
        <v>482</v>
      </c>
      <c r="AF220" s="503" t="s">
        <v>482</v>
      </c>
      <c r="AG220" s="650"/>
      <c r="AH220" s="693">
        <v>140</v>
      </c>
      <c r="AI220" s="694">
        <v>37</v>
      </c>
    </row>
    <row r="221" spans="1:35" ht="21" customHeight="1" x14ac:dyDescent="0.2">
      <c r="A221" s="441"/>
      <c r="B221" s="673" t="s">
        <v>662</v>
      </c>
      <c r="C221" s="503" t="s">
        <v>482</v>
      </c>
      <c r="D221" s="503"/>
      <c r="E221" s="503" t="s">
        <v>482</v>
      </c>
      <c r="F221" s="503"/>
      <c r="G221" s="503"/>
      <c r="H221" s="503" t="s">
        <v>482</v>
      </c>
      <c r="I221" s="503" t="s">
        <v>482</v>
      </c>
      <c r="J221" s="503" t="s">
        <v>482</v>
      </c>
      <c r="K221" s="503" t="s">
        <v>482</v>
      </c>
      <c r="L221" s="503" t="s">
        <v>482</v>
      </c>
      <c r="M221" s="503"/>
      <c r="N221" s="503"/>
      <c r="O221" s="503"/>
      <c r="P221" s="503" t="s">
        <v>482</v>
      </c>
      <c r="Q221" s="503" t="s">
        <v>482</v>
      </c>
      <c r="R221" s="503" t="s">
        <v>482</v>
      </c>
      <c r="S221" s="503" t="s">
        <v>552</v>
      </c>
      <c r="T221" s="503"/>
      <c r="U221" s="503"/>
      <c r="V221" s="503" t="s">
        <v>482</v>
      </c>
      <c r="W221" s="503" t="s">
        <v>482</v>
      </c>
      <c r="X221" s="503" t="s">
        <v>482</v>
      </c>
      <c r="Y221" s="503" t="s">
        <v>482</v>
      </c>
      <c r="Z221" s="503" t="s">
        <v>482</v>
      </c>
      <c r="AA221" s="503"/>
      <c r="AB221" s="503"/>
      <c r="AC221" s="503" t="s">
        <v>482</v>
      </c>
      <c r="AD221" s="503" t="s">
        <v>482</v>
      </c>
      <c r="AE221" s="503" t="s">
        <v>482</v>
      </c>
      <c r="AF221" s="503" t="s">
        <v>482</v>
      </c>
      <c r="AG221" s="650"/>
      <c r="AH221" s="693">
        <v>177</v>
      </c>
      <c r="AI221" s="694">
        <v>37</v>
      </c>
    </row>
    <row r="222" spans="1:35" ht="21" customHeight="1" x14ac:dyDescent="0.2">
      <c r="A222" s="441"/>
      <c r="B222" s="673" t="s">
        <v>663</v>
      </c>
      <c r="C222" s="503" t="s">
        <v>482</v>
      </c>
      <c r="D222" s="503"/>
      <c r="E222" s="503" t="s">
        <v>482</v>
      </c>
      <c r="F222" s="503"/>
      <c r="G222" s="503"/>
      <c r="H222" s="503" t="s">
        <v>482</v>
      </c>
      <c r="I222" s="503" t="s">
        <v>482</v>
      </c>
      <c r="J222" s="503" t="s">
        <v>482</v>
      </c>
      <c r="K222" s="503" t="s">
        <v>482</v>
      </c>
      <c r="L222" s="503" t="s">
        <v>482</v>
      </c>
      <c r="M222" s="503"/>
      <c r="N222" s="503"/>
      <c r="O222" s="503"/>
      <c r="P222" s="503" t="s">
        <v>482</v>
      </c>
      <c r="Q222" s="503" t="s">
        <v>482</v>
      </c>
      <c r="R222" s="503" t="s">
        <v>482</v>
      </c>
      <c r="S222" s="503" t="s">
        <v>552</v>
      </c>
      <c r="T222" s="503"/>
      <c r="U222" s="503"/>
      <c r="V222" s="503" t="s">
        <v>482</v>
      </c>
      <c r="W222" s="503" t="s">
        <v>482</v>
      </c>
      <c r="X222" s="503" t="s">
        <v>482</v>
      </c>
      <c r="Y222" s="503" t="s">
        <v>482</v>
      </c>
      <c r="Z222" s="503" t="s">
        <v>482</v>
      </c>
      <c r="AA222" s="503"/>
      <c r="AB222" s="503"/>
      <c r="AC222" s="503" t="s">
        <v>482</v>
      </c>
      <c r="AD222" s="503" t="s">
        <v>482</v>
      </c>
      <c r="AE222" s="503" t="s">
        <v>482</v>
      </c>
      <c r="AF222" s="503" t="s">
        <v>482</v>
      </c>
      <c r="AG222" s="650"/>
      <c r="AH222" s="693">
        <v>192</v>
      </c>
      <c r="AI222" s="694">
        <v>37</v>
      </c>
    </row>
    <row r="223" spans="1:35" ht="21" customHeight="1" x14ac:dyDescent="0.2">
      <c r="A223" s="441"/>
      <c r="B223" s="673" t="s">
        <v>664</v>
      </c>
      <c r="C223" s="503" t="s">
        <v>482</v>
      </c>
      <c r="D223" s="503"/>
      <c r="E223" s="503" t="s">
        <v>482</v>
      </c>
      <c r="F223" s="503"/>
      <c r="G223" s="503"/>
      <c r="H223" s="1337" t="s">
        <v>482</v>
      </c>
      <c r="I223" s="503" t="s">
        <v>482</v>
      </c>
      <c r="J223" s="503" t="s">
        <v>482</v>
      </c>
      <c r="K223" s="503" t="s">
        <v>482</v>
      </c>
      <c r="L223" s="503" t="s">
        <v>482</v>
      </c>
      <c r="M223" s="503"/>
      <c r="N223" s="503"/>
      <c r="O223" s="503"/>
      <c r="P223" s="503" t="s">
        <v>482</v>
      </c>
      <c r="Q223" s="503" t="s">
        <v>482</v>
      </c>
      <c r="R223" s="503" t="s">
        <v>482</v>
      </c>
      <c r="S223" s="503" t="s">
        <v>552</v>
      </c>
      <c r="T223" s="503"/>
      <c r="U223" s="503"/>
      <c r="V223" s="503" t="s">
        <v>482</v>
      </c>
      <c r="W223" s="503" t="s">
        <v>482</v>
      </c>
      <c r="X223" s="503" t="s">
        <v>482</v>
      </c>
      <c r="Y223" s="503" t="s">
        <v>482</v>
      </c>
      <c r="Z223" s="503" t="s">
        <v>482</v>
      </c>
      <c r="AA223" s="503"/>
      <c r="AB223" s="503"/>
      <c r="AC223" s="503" t="s">
        <v>482</v>
      </c>
      <c r="AD223" s="503" t="s">
        <v>482</v>
      </c>
      <c r="AE223" s="503" t="s">
        <v>482</v>
      </c>
      <c r="AF223" s="503" t="s">
        <v>482</v>
      </c>
      <c r="AG223" s="650"/>
      <c r="AH223" s="693">
        <v>185</v>
      </c>
      <c r="AI223" s="694">
        <v>37</v>
      </c>
    </row>
    <row r="224" spans="1:35" ht="21" customHeight="1" x14ac:dyDescent="0.2">
      <c r="A224" s="441"/>
      <c r="B224" s="673" t="s">
        <v>665</v>
      </c>
      <c r="C224" s="503" t="s">
        <v>482</v>
      </c>
      <c r="D224" s="503"/>
      <c r="E224" s="503" t="s">
        <v>482</v>
      </c>
      <c r="F224" s="503"/>
      <c r="G224" s="503"/>
      <c r="H224" s="503" t="s">
        <v>482</v>
      </c>
      <c r="I224" s="503" t="s">
        <v>482</v>
      </c>
      <c r="J224" s="503" t="s">
        <v>482</v>
      </c>
      <c r="K224" s="503" t="s">
        <v>482</v>
      </c>
      <c r="L224" s="503" t="s">
        <v>482</v>
      </c>
      <c r="M224" s="503"/>
      <c r="N224" s="503"/>
      <c r="O224" s="503"/>
      <c r="P224" s="503" t="s">
        <v>482</v>
      </c>
      <c r="Q224" s="503" t="s">
        <v>482</v>
      </c>
      <c r="R224" s="503" t="s">
        <v>482</v>
      </c>
      <c r="S224" s="503" t="s">
        <v>552</v>
      </c>
      <c r="T224" s="503"/>
      <c r="U224" s="503"/>
      <c r="V224" s="503" t="s">
        <v>482</v>
      </c>
      <c r="W224" s="503" t="s">
        <v>482</v>
      </c>
      <c r="X224" s="503" t="s">
        <v>482</v>
      </c>
      <c r="Y224" s="503" t="s">
        <v>482</v>
      </c>
      <c r="Z224" s="503" t="s">
        <v>482</v>
      </c>
      <c r="AA224" s="503"/>
      <c r="AB224" s="503"/>
      <c r="AC224" s="503" t="s">
        <v>482</v>
      </c>
      <c r="AD224" s="503" t="s">
        <v>482</v>
      </c>
      <c r="AE224" s="503" t="s">
        <v>482</v>
      </c>
      <c r="AF224" s="503" t="s">
        <v>482</v>
      </c>
      <c r="AG224" s="650"/>
      <c r="AH224" s="693">
        <v>148</v>
      </c>
      <c r="AI224" s="694">
        <v>37</v>
      </c>
    </row>
    <row r="225" spans="1:35" ht="21" customHeight="1" x14ac:dyDescent="0.2">
      <c r="A225" s="441"/>
      <c r="B225" s="673" t="s">
        <v>666</v>
      </c>
      <c r="C225" s="503" t="s">
        <v>482</v>
      </c>
      <c r="D225" s="503"/>
      <c r="E225" s="1058" t="s">
        <v>482</v>
      </c>
      <c r="F225" s="503"/>
      <c r="G225" s="503"/>
      <c r="H225" s="503" t="s">
        <v>482</v>
      </c>
      <c r="I225" s="503" t="s">
        <v>482</v>
      </c>
      <c r="J225" s="503" t="s">
        <v>482</v>
      </c>
      <c r="K225" s="503" t="s">
        <v>482</v>
      </c>
      <c r="L225" s="503" t="s">
        <v>482</v>
      </c>
      <c r="M225" s="503"/>
      <c r="N225" s="503"/>
      <c r="O225" s="503"/>
      <c r="P225" s="503" t="s">
        <v>482</v>
      </c>
      <c r="Q225" s="503" t="s">
        <v>482</v>
      </c>
      <c r="R225" s="503" t="s">
        <v>482</v>
      </c>
      <c r="S225" s="1058" t="s">
        <v>552</v>
      </c>
      <c r="T225" s="503"/>
      <c r="U225" s="503"/>
      <c r="V225" s="503" t="s">
        <v>482</v>
      </c>
      <c r="W225" s="503" t="s">
        <v>482</v>
      </c>
      <c r="X225" s="503" t="s">
        <v>482</v>
      </c>
      <c r="Y225" s="503" t="s">
        <v>482</v>
      </c>
      <c r="Z225" s="503" t="s">
        <v>482</v>
      </c>
      <c r="AA225" s="503"/>
      <c r="AB225" s="503"/>
      <c r="AC225" s="503" t="s">
        <v>482</v>
      </c>
      <c r="AD225" s="503" t="s">
        <v>482</v>
      </c>
      <c r="AE225" s="503" t="s">
        <v>482</v>
      </c>
      <c r="AF225" s="503" t="s">
        <v>482</v>
      </c>
      <c r="AG225" s="650"/>
      <c r="AH225" s="693">
        <v>185</v>
      </c>
      <c r="AI225" s="694">
        <v>37</v>
      </c>
    </row>
    <row r="226" spans="1:35" ht="21" customHeight="1" x14ac:dyDescent="0.2">
      <c r="A226" s="441"/>
      <c r="B226" s="673" t="s">
        <v>667</v>
      </c>
      <c r="C226" s="503" t="s">
        <v>482</v>
      </c>
      <c r="D226" s="503"/>
      <c r="E226" s="1059" t="s">
        <v>482</v>
      </c>
      <c r="F226" s="503"/>
      <c r="G226" s="503"/>
      <c r="H226" s="503" t="s">
        <v>482</v>
      </c>
      <c r="I226" s="503" t="s">
        <v>482</v>
      </c>
      <c r="J226" s="503" t="s">
        <v>482</v>
      </c>
      <c r="K226" s="503" t="s">
        <v>482</v>
      </c>
      <c r="L226" s="503" t="s">
        <v>482</v>
      </c>
      <c r="M226" s="503"/>
      <c r="N226" s="503"/>
      <c r="O226" s="503"/>
      <c r="P226" s="503" t="s">
        <v>482</v>
      </c>
      <c r="Q226" s="503" t="s">
        <v>482</v>
      </c>
      <c r="R226" s="503" t="s">
        <v>482</v>
      </c>
      <c r="S226" s="503" t="s">
        <v>552</v>
      </c>
      <c r="T226" s="503"/>
      <c r="U226" s="503"/>
      <c r="V226" s="503" t="s">
        <v>482</v>
      </c>
      <c r="W226" s="503" t="s">
        <v>482</v>
      </c>
      <c r="X226" s="503" t="s">
        <v>482</v>
      </c>
      <c r="Y226" s="503" t="s">
        <v>482</v>
      </c>
      <c r="Z226" s="503" t="s">
        <v>482</v>
      </c>
      <c r="AA226" s="503"/>
      <c r="AB226" s="503"/>
      <c r="AC226" s="503" t="s">
        <v>482</v>
      </c>
      <c r="AD226" s="503" t="s">
        <v>482</v>
      </c>
      <c r="AE226" s="503" t="s">
        <v>482</v>
      </c>
      <c r="AF226" s="1059" t="s">
        <v>482</v>
      </c>
      <c r="AG226" s="650"/>
      <c r="AH226" s="693">
        <v>201</v>
      </c>
      <c r="AI226" s="694">
        <v>37</v>
      </c>
    </row>
    <row r="227" spans="1:35" ht="21" customHeight="1" x14ac:dyDescent="0.2">
      <c r="A227" s="441"/>
      <c r="B227" s="673" t="s">
        <v>668</v>
      </c>
      <c r="C227" s="503" t="s">
        <v>482</v>
      </c>
      <c r="D227" s="503"/>
      <c r="E227" s="1059" t="s">
        <v>482</v>
      </c>
      <c r="F227" s="503"/>
      <c r="G227" s="503"/>
      <c r="H227" s="503" t="s">
        <v>482</v>
      </c>
      <c r="I227" s="503" t="s">
        <v>482</v>
      </c>
      <c r="J227" s="503" t="s">
        <v>482</v>
      </c>
      <c r="K227" s="503" t="s">
        <v>482</v>
      </c>
      <c r="L227" s="503" t="s">
        <v>482</v>
      </c>
      <c r="M227" s="503"/>
      <c r="N227" s="503"/>
      <c r="O227" s="503"/>
      <c r="P227" s="503" t="s">
        <v>482</v>
      </c>
      <c r="Q227" s="503" t="s">
        <v>482</v>
      </c>
      <c r="R227" s="503" t="s">
        <v>482</v>
      </c>
      <c r="S227" s="503" t="s">
        <v>552</v>
      </c>
      <c r="T227" s="503"/>
      <c r="U227" s="503"/>
      <c r="V227" s="503" t="s">
        <v>482</v>
      </c>
      <c r="W227" s="503" t="s">
        <v>482</v>
      </c>
      <c r="X227" s="503" t="s">
        <v>482</v>
      </c>
      <c r="Y227" s="503" t="s">
        <v>482</v>
      </c>
      <c r="Z227" s="503" t="s">
        <v>482</v>
      </c>
      <c r="AA227" s="503"/>
      <c r="AB227" s="503"/>
      <c r="AC227" s="503" t="s">
        <v>482</v>
      </c>
      <c r="AD227" s="503" t="s">
        <v>482</v>
      </c>
      <c r="AE227" s="503" t="s">
        <v>482</v>
      </c>
      <c r="AF227" s="503" t="s">
        <v>482</v>
      </c>
      <c r="AG227" s="650"/>
      <c r="AH227" s="693">
        <v>177</v>
      </c>
      <c r="AI227" s="694">
        <v>37</v>
      </c>
    </row>
    <row r="228" spans="1:35" ht="21" customHeight="1" x14ac:dyDescent="0.2">
      <c r="A228" s="441"/>
      <c r="B228" s="673" t="s">
        <v>669</v>
      </c>
      <c r="C228" s="503" t="s">
        <v>482</v>
      </c>
      <c r="D228" s="503"/>
      <c r="E228" s="503" t="s">
        <v>482</v>
      </c>
      <c r="F228" s="503"/>
      <c r="G228" s="503"/>
      <c r="H228" s="1059" t="s">
        <v>482</v>
      </c>
      <c r="I228" s="1059" t="s">
        <v>482</v>
      </c>
      <c r="J228" s="1059" t="s">
        <v>482</v>
      </c>
      <c r="K228" s="503" t="s">
        <v>482</v>
      </c>
      <c r="L228" s="503" t="s">
        <v>482</v>
      </c>
      <c r="M228" s="503"/>
      <c r="N228" s="503"/>
      <c r="O228" s="503"/>
      <c r="P228" s="503" t="s">
        <v>482</v>
      </c>
      <c r="Q228" s="503" t="s">
        <v>482</v>
      </c>
      <c r="R228" s="503" t="s">
        <v>482</v>
      </c>
      <c r="S228" s="503" t="s">
        <v>552</v>
      </c>
      <c r="T228" s="503"/>
      <c r="U228" s="503"/>
      <c r="V228" s="503" t="s">
        <v>482</v>
      </c>
      <c r="W228" s="503" t="s">
        <v>482</v>
      </c>
      <c r="X228" s="503" t="s">
        <v>482</v>
      </c>
      <c r="Y228" s="503" t="s">
        <v>482</v>
      </c>
      <c r="Z228" s="1059" t="s">
        <v>482</v>
      </c>
      <c r="AA228" s="503"/>
      <c r="AB228" s="503"/>
      <c r="AC228" s="503" t="s">
        <v>482</v>
      </c>
      <c r="AD228" s="503" t="s">
        <v>482</v>
      </c>
      <c r="AE228" s="503" t="s">
        <v>482</v>
      </c>
      <c r="AF228" s="503" t="s">
        <v>482</v>
      </c>
      <c r="AG228" s="650"/>
      <c r="AH228" s="693">
        <v>270</v>
      </c>
      <c r="AI228" s="694">
        <v>37</v>
      </c>
    </row>
    <row r="229" spans="1:35" ht="21" customHeight="1" x14ac:dyDescent="0.2">
      <c r="A229" s="441"/>
      <c r="B229" s="673" t="s">
        <v>670</v>
      </c>
      <c r="C229" s="503" t="s">
        <v>482</v>
      </c>
      <c r="D229" s="503"/>
      <c r="E229" s="503" t="s">
        <v>482</v>
      </c>
      <c r="F229" s="503"/>
      <c r="G229" s="503"/>
      <c r="H229" s="503" t="s">
        <v>482</v>
      </c>
      <c r="I229" s="503" t="s">
        <v>482</v>
      </c>
      <c r="J229" s="503" t="s">
        <v>482</v>
      </c>
      <c r="K229" s="503" t="s">
        <v>482</v>
      </c>
      <c r="L229" s="503" t="s">
        <v>482</v>
      </c>
      <c r="M229" s="503"/>
      <c r="N229" s="503"/>
      <c r="O229" s="503"/>
      <c r="P229" s="503" t="s">
        <v>482</v>
      </c>
      <c r="Q229" s="503" t="s">
        <v>482</v>
      </c>
      <c r="R229" s="503" t="s">
        <v>482</v>
      </c>
      <c r="S229" s="503" t="s">
        <v>552</v>
      </c>
      <c r="T229" s="503"/>
      <c r="U229" s="503"/>
      <c r="V229" s="503" t="s">
        <v>482</v>
      </c>
      <c r="W229" s="503" t="s">
        <v>482</v>
      </c>
      <c r="X229" s="503" t="s">
        <v>482</v>
      </c>
      <c r="Y229" s="503" t="s">
        <v>482</v>
      </c>
      <c r="Z229" s="503" t="s">
        <v>482</v>
      </c>
      <c r="AA229" s="503"/>
      <c r="AB229" s="503"/>
      <c r="AC229" s="503" t="s">
        <v>482</v>
      </c>
      <c r="AD229" s="503" t="s">
        <v>482</v>
      </c>
      <c r="AE229" s="503" t="s">
        <v>482</v>
      </c>
      <c r="AF229" s="503" t="s">
        <v>482</v>
      </c>
      <c r="AG229" s="650"/>
      <c r="AH229" s="693">
        <v>154</v>
      </c>
      <c r="AI229" s="694">
        <v>37</v>
      </c>
    </row>
    <row r="230" spans="1:35" ht="21" customHeight="1" x14ac:dyDescent="0.2">
      <c r="A230" s="441"/>
      <c r="B230" s="673"/>
      <c r="C230" s="503" t="s">
        <v>482</v>
      </c>
      <c r="D230" s="503"/>
      <c r="E230" s="503" t="s">
        <v>482</v>
      </c>
      <c r="F230" s="503"/>
      <c r="G230" s="503"/>
      <c r="H230" s="503" t="s">
        <v>482</v>
      </c>
      <c r="I230" s="503" t="s">
        <v>482</v>
      </c>
      <c r="J230" s="503" t="s">
        <v>482</v>
      </c>
      <c r="K230" s="503" t="s">
        <v>482</v>
      </c>
      <c r="L230" s="503" t="s">
        <v>482</v>
      </c>
      <c r="M230" s="503"/>
      <c r="N230" s="503"/>
      <c r="O230" s="503"/>
      <c r="P230" s="503" t="s">
        <v>482</v>
      </c>
      <c r="Q230" s="503" t="s">
        <v>482</v>
      </c>
      <c r="R230" s="503" t="s">
        <v>482</v>
      </c>
      <c r="S230" s="503" t="s">
        <v>552</v>
      </c>
      <c r="T230" s="503"/>
      <c r="U230" s="503"/>
      <c r="V230" s="503" t="s">
        <v>482</v>
      </c>
      <c r="W230" s="503" t="s">
        <v>482</v>
      </c>
      <c r="X230" s="503" t="s">
        <v>482</v>
      </c>
      <c r="Y230" s="503" t="s">
        <v>482</v>
      </c>
      <c r="Z230" s="503" t="s">
        <v>482</v>
      </c>
      <c r="AA230" s="503"/>
      <c r="AB230" s="503"/>
      <c r="AC230" s="503" t="s">
        <v>482</v>
      </c>
      <c r="AD230" s="503" t="s">
        <v>482</v>
      </c>
      <c r="AE230" s="503" t="s">
        <v>482</v>
      </c>
      <c r="AF230" s="503" t="s">
        <v>482</v>
      </c>
      <c r="AG230" s="588"/>
      <c r="AH230" s="693">
        <v>185</v>
      </c>
      <c r="AI230" s="694">
        <v>37</v>
      </c>
    </row>
    <row r="231" spans="1:35" ht="21" customHeight="1" x14ac:dyDescent="0.2">
      <c r="A231" s="441"/>
      <c r="B231" s="152" t="s">
        <v>671</v>
      </c>
      <c r="C231" s="503" t="s">
        <v>482</v>
      </c>
      <c r="D231" s="503"/>
      <c r="E231" s="1337" t="s">
        <v>482</v>
      </c>
      <c r="F231" s="503"/>
      <c r="G231" s="503"/>
      <c r="H231" s="1059" t="s">
        <v>482</v>
      </c>
      <c r="I231" s="1059" t="s">
        <v>482</v>
      </c>
      <c r="J231" s="1059" t="s">
        <v>482</v>
      </c>
      <c r="K231" s="1059" t="s">
        <v>482</v>
      </c>
      <c r="L231" s="1059" t="s">
        <v>482</v>
      </c>
      <c r="M231" s="1059"/>
      <c r="N231" s="1059"/>
      <c r="O231" s="503"/>
      <c r="P231" s="503" t="s">
        <v>482</v>
      </c>
      <c r="Q231" s="503" t="s">
        <v>482</v>
      </c>
      <c r="R231" s="503" t="s">
        <v>482</v>
      </c>
      <c r="S231" s="503" t="s">
        <v>552</v>
      </c>
      <c r="T231" s="503"/>
      <c r="U231" s="503"/>
      <c r="V231" s="503" t="s">
        <v>482</v>
      </c>
      <c r="W231" s="503" t="s">
        <v>482</v>
      </c>
      <c r="X231" s="503" t="s">
        <v>482</v>
      </c>
      <c r="Y231" s="503" t="s">
        <v>482</v>
      </c>
      <c r="Z231" s="503" t="s">
        <v>482</v>
      </c>
      <c r="AA231" s="503"/>
      <c r="AB231" s="503"/>
      <c r="AC231" s="503" t="s">
        <v>482</v>
      </c>
      <c r="AD231" s="503" t="s">
        <v>482</v>
      </c>
      <c r="AE231" s="503" t="s">
        <v>482</v>
      </c>
      <c r="AF231" s="503" t="s">
        <v>482</v>
      </c>
      <c r="AG231" s="588"/>
      <c r="AH231" s="693">
        <v>148</v>
      </c>
      <c r="AI231" s="694">
        <v>37</v>
      </c>
    </row>
    <row r="232" spans="1:35" ht="21" customHeight="1" x14ac:dyDescent="0.2">
      <c r="A232" s="152"/>
      <c r="B232" s="152"/>
      <c r="C232" s="503" t="s">
        <v>482</v>
      </c>
      <c r="D232" s="503"/>
      <c r="E232" s="503" t="s">
        <v>482</v>
      </c>
      <c r="F232" s="503"/>
      <c r="G232" s="503"/>
      <c r="H232" s="503" t="s">
        <v>482</v>
      </c>
      <c r="I232" s="503" t="s">
        <v>482</v>
      </c>
      <c r="J232" s="503" t="s">
        <v>482</v>
      </c>
      <c r="K232" s="503" t="s">
        <v>482</v>
      </c>
      <c r="L232" s="503" t="s">
        <v>482</v>
      </c>
      <c r="M232" s="503"/>
      <c r="N232" s="503"/>
      <c r="O232" s="503"/>
      <c r="P232" s="503" t="s">
        <v>482</v>
      </c>
      <c r="Q232" s="503" t="s">
        <v>482</v>
      </c>
      <c r="R232" s="503" t="s">
        <v>482</v>
      </c>
      <c r="S232" s="503" t="s">
        <v>552</v>
      </c>
      <c r="T232" s="503"/>
      <c r="U232" s="503"/>
      <c r="V232" s="503" t="s">
        <v>482</v>
      </c>
      <c r="W232" s="503" t="s">
        <v>482</v>
      </c>
      <c r="X232" s="503" t="s">
        <v>482</v>
      </c>
      <c r="Y232" s="503" t="s">
        <v>482</v>
      </c>
      <c r="Z232" s="503" t="s">
        <v>482</v>
      </c>
      <c r="AA232" s="503"/>
      <c r="AB232" s="503"/>
      <c r="AC232" s="503" t="s">
        <v>482</v>
      </c>
      <c r="AD232" s="503" t="s">
        <v>482</v>
      </c>
      <c r="AE232" s="503" t="s">
        <v>482</v>
      </c>
      <c r="AF232" s="503" t="s">
        <v>482</v>
      </c>
      <c r="AG232" s="154"/>
      <c r="AH232" s="693">
        <v>185</v>
      </c>
      <c r="AI232" s="694">
        <v>37</v>
      </c>
    </row>
    <row r="233" spans="1:35" ht="21" customHeight="1" x14ac:dyDescent="0.2">
      <c r="A233" s="152"/>
      <c r="B233" s="152" t="s">
        <v>672</v>
      </c>
      <c r="C233" s="503" t="s">
        <v>482</v>
      </c>
      <c r="D233" s="503"/>
      <c r="E233" s="1059" t="s">
        <v>482</v>
      </c>
      <c r="F233" s="503"/>
      <c r="G233" s="503"/>
      <c r="H233" s="503" t="s">
        <v>482</v>
      </c>
      <c r="I233" s="503" t="s">
        <v>482</v>
      </c>
      <c r="J233" s="503" t="s">
        <v>482</v>
      </c>
      <c r="K233" s="1059" t="s">
        <v>482</v>
      </c>
      <c r="L233" s="1059" t="s">
        <v>482</v>
      </c>
      <c r="M233" s="503"/>
      <c r="N233" s="503"/>
      <c r="O233" s="503"/>
      <c r="P233" s="503" t="s">
        <v>482</v>
      </c>
      <c r="Q233" s="503" t="s">
        <v>482</v>
      </c>
      <c r="R233" s="503" t="s">
        <v>482</v>
      </c>
      <c r="S233" s="503" t="s">
        <v>552</v>
      </c>
      <c r="T233" s="503"/>
      <c r="U233" s="503"/>
      <c r="V233" s="503" t="s">
        <v>482</v>
      </c>
      <c r="W233" s="503" t="s">
        <v>482</v>
      </c>
      <c r="X233" s="503" t="s">
        <v>482</v>
      </c>
      <c r="Y233" s="503" t="s">
        <v>482</v>
      </c>
      <c r="Z233" s="503" t="s">
        <v>482</v>
      </c>
      <c r="AA233" s="503"/>
      <c r="AB233" s="503"/>
      <c r="AC233" s="503" t="s">
        <v>482</v>
      </c>
      <c r="AD233" s="503" t="s">
        <v>482</v>
      </c>
      <c r="AE233" s="503" t="s">
        <v>482</v>
      </c>
      <c r="AF233" s="503" t="s">
        <v>482</v>
      </c>
      <c r="AG233" s="154"/>
      <c r="AH233" s="693">
        <v>149</v>
      </c>
      <c r="AI233" s="694">
        <v>37</v>
      </c>
    </row>
    <row r="234" spans="1:35" ht="21" customHeight="1" x14ac:dyDescent="0.2">
      <c r="A234" s="152"/>
      <c r="B234" s="152" t="s">
        <v>673</v>
      </c>
      <c r="C234" s="503" t="s">
        <v>482</v>
      </c>
      <c r="D234" s="503"/>
      <c r="E234" s="503" t="s">
        <v>482</v>
      </c>
      <c r="F234" s="503"/>
      <c r="G234" s="503"/>
      <c r="H234" s="503" t="s">
        <v>482</v>
      </c>
      <c r="I234" s="503" t="s">
        <v>482</v>
      </c>
      <c r="J234" s="503" t="s">
        <v>482</v>
      </c>
      <c r="K234" s="503" t="s">
        <v>482</v>
      </c>
      <c r="L234" s="503" t="s">
        <v>482</v>
      </c>
      <c r="M234" s="503"/>
      <c r="N234" s="503"/>
      <c r="O234" s="503"/>
      <c r="P234" s="503" t="s">
        <v>482</v>
      </c>
      <c r="Q234" s="503" t="s">
        <v>482</v>
      </c>
      <c r="R234" s="503" t="s">
        <v>482</v>
      </c>
      <c r="S234" s="503" t="s">
        <v>552</v>
      </c>
      <c r="T234" s="503"/>
      <c r="U234" s="503"/>
      <c r="V234" s="503" t="s">
        <v>482</v>
      </c>
      <c r="W234" s="503" t="s">
        <v>482</v>
      </c>
      <c r="X234" s="503" t="s">
        <v>482</v>
      </c>
      <c r="Y234" s="503" t="s">
        <v>482</v>
      </c>
      <c r="Z234" s="503" t="s">
        <v>482</v>
      </c>
      <c r="AA234" s="503"/>
      <c r="AB234" s="503"/>
      <c r="AC234" s="503" t="s">
        <v>482</v>
      </c>
      <c r="AD234" s="503" t="s">
        <v>482</v>
      </c>
      <c r="AE234" s="503" t="s">
        <v>482</v>
      </c>
      <c r="AF234" s="503" t="s">
        <v>482</v>
      </c>
      <c r="AG234" s="154"/>
      <c r="AH234" s="693">
        <v>154</v>
      </c>
      <c r="AI234" s="694">
        <v>37</v>
      </c>
    </row>
    <row r="235" spans="1:35" ht="21" customHeight="1" x14ac:dyDescent="0.2">
      <c r="A235" s="152"/>
      <c r="B235" s="152"/>
      <c r="C235" s="503" t="s">
        <v>482</v>
      </c>
      <c r="D235" s="503"/>
      <c r="E235" s="503" t="s">
        <v>482</v>
      </c>
      <c r="F235" s="503"/>
      <c r="G235" s="503"/>
      <c r="H235" s="503" t="s">
        <v>482</v>
      </c>
      <c r="I235" s="503" t="s">
        <v>482</v>
      </c>
      <c r="J235" s="503" t="s">
        <v>482</v>
      </c>
      <c r="K235" s="503" t="s">
        <v>482</v>
      </c>
      <c r="L235" s="503" t="s">
        <v>482</v>
      </c>
      <c r="M235" s="503"/>
      <c r="N235" s="503"/>
      <c r="O235" s="503"/>
      <c r="P235" s="503" t="s">
        <v>482</v>
      </c>
      <c r="Q235" s="503" t="s">
        <v>482</v>
      </c>
      <c r="R235" s="503" t="s">
        <v>482</v>
      </c>
      <c r="S235" s="503" t="s">
        <v>552</v>
      </c>
      <c r="T235" s="503"/>
      <c r="U235" s="503"/>
      <c r="V235" s="503" t="s">
        <v>482</v>
      </c>
      <c r="W235" s="503" t="s">
        <v>482</v>
      </c>
      <c r="X235" s="503" t="s">
        <v>482</v>
      </c>
      <c r="Y235" s="503" t="s">
        <v>482</v>
      </c>
      <c r="Z235" s="503" t="s">
        <v>482</v>
      </c>
      <c r="AA235" s="503"/>
      <c r="AB235" s="503"/>
      <c r="AC235" s="503" t="s">
        <v>482</v>
      </c>
      <c r="AD235" s="503" t="s">
        <v>482</v>
      </c>
      <c r="AE235" s="503" t="s">
        <v>482</v>
      </c>
      <c r="AF235" s="503" t="s">
        <v>482</v>
      </c>
      <c r="AG235" s="154"/>
      <c r="AH235" s="693">
        <v>185</v>
      </c>
      <c r="AI235" s="694">
        <v>37</v>
      </c>
    </row>
    <row r="236" spans="1:35" ht="21" customHeight="1" x14ac:dyDescent="0.2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AC236" s="152"/>
      <c r="AD236" s="152"/>
      <c r="AE236" s="152"/>
      <c r="AF236" s="152"/>
      <c r="AG236" s="154"/>
      <c r="AH236" s="328"/>
      <c r="AI236" s="190"/>
    </row>
    <row r="237" spans="1:35" ht="21" customHeight="1" x14ac:dyDescent="0.2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AC237" s="152"/>
      <c r="AD237" s="152"/>
      <c r="AE237" s="152"/>
      <c r="AF237" s="152"/>
      <c r="AG237" s="154"/>
      <c r="AH237" s="328"/>
      <c r="AI237" s="190"/>
    </row>
    <row r="238" spans="1:35" ht="21" customHeight="1" x14ac:dyDescent="0.2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AC238" s="152"/>
      <c r="AD238" s="152"/>
      <c r="AE238" s="152"/>
      <c r="AF238" s="152"/>
      <c r="AG238" s="154"/>
      <c r="AH238" s="330"/>
      <c r="AI238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19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6"/>
  <dimension ref="A1:AL238"/>
  <sheetViews>
    <sheetView topLeftCell="A19" zoomScale="67" zoomScaleNormal="67" workbookViewId="0">
      <selection activeCell="R121" sqref="R121"/>
    </sheetView>
  </sheetViews>
  <sheetFormatPr defaultRowHeight="12.75" x14ac:dyDescent="0.2"/>
  <cols>
    <col min="1" max="1" width="5.5703125" customWidth="1"/>
    <col min="2" max="2" width="26.710937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177">
        <v>1</v>
      </c>
      <c r="D10" s="497">
        <v>2</v>
      </c>
      <c r="E10" s="497">
        <v>3</v>
      </c>
      <c r="F10" s="177">
        <v>4</v>
      </c>
      <c r="G10" s="177">
        <v>5</v>
      </c>
      <c r="H10" s="177">
        <v>6</v>
      </c>
      <c r="I10" s="177">
        <v>7</v>
      </c>
      <c r="J10" s="177">
        <v>8</v>
      </c>
      <c r="K10" s="497">
        <v>9</v>
      </c>
      <c r="L10" s="497">
        <v>10</v>
      </c>
      <c r="M10" s="177">
        <v>11</v>
      </c>
      <c r="N10" s="177">
        <v>12</v>
      </c>
      <c r="O10" s="177">
        <v>13</v>
      </c>
      <c r="P10" s="177">
        <v>14</v>
      </c>
      <c r="Q10" s="177">
        <v>15</v>
      </c>
      <c r="R10" s="497">
        <v>16</v>
      </c>
      <c r="S10" s="497">
        <v>17</v>
      </c>
      <c r="T10" s="177">
        <v>18</v>
      </c>
      <c r="U10" s="177">
        <v>19</v>
      </c>
      <c r="V10" s="177">
        <v>20</v>
      </c>
      <c r="W10" s="177">
        <v>21</v>
      </c>
      <c r="X10" s="177">
        <v>22</v>
      </c>
      <c r="Y10" s="497">
        <v>23</v>
      </c>
      <c r="Z10" s="497">
        <v>24</v>
      </c>
      <c r="AA10" s="177">
        <v>25</v>
      </c>
      <c r="AB10" s="177">
        <v>26</v>
      </c>
      <c r="AC10" s="177">
        <v>27</v>
      </c>
      <c r="AD10" s="177">
        <v>28</v>
      </c>
      <c r="AE10" s="177">
        <v>29</v>
      </c>
      <c r="AF10" s="497">
        <v>30</v>
      </c>
      <c r="AG10" s="497">
        <v>31</v>
      </c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>
        <v>185</v>
      </c>
      <c r="AI11" s="506">
        <v>37</v>
      </c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x14ac:dyDescent="0.2">
      <c r="A13" s="512">
        <v>8546</v>
      </c>
      <c r="B13" s="513" t="s">
        <v>473</v>
      </c>
      <c r="C13" s="514">
        <v>4</v>
      </c>
      <c r="D13" s="514" t="s">
        <v>476</v>
      </c>
      <c r="E13" s="514" t="s">
        <v>476</v>
      </c>
      <c r="F13" s="514" t="s">
        <v>475</v>
      </c>
      <c r="G13" s="514" t="s">
        <v>475</v>
      </c>
      <c r="H13" s="503" t="s">
        <v>475</v>
      </c>
      <c r="I13" s="514" t="s">
        <v>475</v>
      </c>
      <c r="J13" s="514" t="s">
        <v>475</v>
      </c>
      <c r="K13" s="514"/>
      <c r="L13" s="514"/>
      <c r="M13" s="514">
        <v>1</v>
      </c>
      <c r="N13" s="514">
        <v>1</v>
      </c>
      <c r="O13" s="514">
        <v>1</v>
      </c>
      <c r="P13" s="514">
        <v>1</v>
      </c>
      <c r="Q13" s="514">
        <v>1</v>
      </c>
      <c r="R13" s="514"/>
      <c r="S13" s="514"/>
      <c r="T13" s="514">
        <v>2</v>
      </c>
      <c r="U13" s="514">
        <v>2</v>
      </c>
      <c r="V13" s="514">
        <v>2</v>
      </c>
      <c r="W13" s="514">
        <v>2</v>
      </c>
      <c r="X13" s="514">
        <v>2</v>
      </c>
      <c r="Y13" s="514" t="s">
        <v>474</v>
      </c>
      <c r="Z13" s="514" t="s">
        <v>474</v>
      </c>
      <c r="AA13" s="514" t="s">
        <v>475</v>
      </c>
      <c r="AB13" s="514" t="s">
        <v>475</v>
      </c>
      <c r="AC13" s="514" t="s">
        <v>475</v>
      </c>
      <c r="AD13" s="514" t="s">
        <v>475</v>
      </c>
      <c r="AE13" s="514" t="s">
        <v>475</v>
      </c>
      <c r="AF13" s="514"/>
      <c r="AG13" s="515"/>
      <c r="AH13" s="516">
        <v>193</v>
      </c>
      <c r="AI13" s="517">
        <v>37</v>
      </c>
    </row>
    <row r="14" spans="1:35" ht="21.95" customHeight="1" x14ac:dyDescent="0.2">
      <c r="A14" s="501">
        <v>8546</v>
      </c>
      <c r="B14" s="346" t="s">
        <v>477</v>
      </c>
      <c r="C14" s="503" t="s">
        <v>475</v>
      </c>
      <c r="D14" s="503"/>
      <c r="E14" s="503"/>
      <c r="F14" s="503">
        <v>3</v>
      </c>
      <c r="G14" s="503">
        <v>3</v>
      </c>
      <c r="H14" s="503">
        <v>3</v>
      </c>
      <c r="I14" s="503">
        <v>3</v>
      </c>
      <c r="J14" s="503">
        <v>3</v>
      </c>
      <c r="K14" s="503"/>
      <c r="L14" s="503"/>
      <c r="M14" s="503">
        <v>4</v>
      </c>
      <c r="N14" s="503">
        <v>4</v>
      </c>
      <c r="O14" s="503">
        <v>4</v>
      </c>
      <c r="P14" s="503">
        <v>4</v>
      </c>
      <c r="Q14" s="503">
        <v>4</v>
      </c>
      <c r="R14" s="503" t="s">
        <v>476</v>
      </c>
      <c r="S14" s="503" t="s">
        <v>476</v>
      </c>
      <c r="T14" s="503" t="s">
        <v>475</v>
      </c>
      <c r="U14" s="1452" t="s">
        <v>475</v>
      </c>
      <c r="V14" s="1464" t="s">
        <v>475</v>
      </c>
      <c r="W14" s="518" t="s">
        <v>475</v>
      </c>
      <c r="X14" s="518" t="s">
        <v>475</v>
      </c>
      <c r="Y14" s="518"/>
      <c r="Z14" s="518"/>
      <c r="AA14" s="518">
        <v>1</v>
      </c>
      <c r="AB14" s="518">
        <v>1</v>
      </c>
      <c r="AC14" s="503">
        <v>1</v>
      </c>
      <c r="AD14" s="503">
        <v>1</v>
      </c>
      <c r="AE14" s="503">
        <v>1</v>
      </c>
      <c r="AF14" s="503"/>
      <c r="AG14" s="504"/>
      <c r="AH14" s="516">
        <v>185</v>
      </c>
      <c r="AI14" s="517">
        <v>37</v>
      </c>
    </row>
    <row r="15" spans="1:35" ht="21.95" customHeight="1" x14ac:dyDescent="0.2">
      <c r="A15" s="501">
        <v>8546</v>
      </c>
      <c r="B15" s="346" t="s">
        <v>174</v>
      </c>
      <c r="C15" s="1059">
        <v>3</v>
      </c>
      <c r="D15" s="1059"/>
      <c r="E15" s="1059"/>
      <c r="F15" s="503">
        <v>4</v>
      </c>
      <c r="G15" s="503">
        <v>4</v>
      </c>
      <c r="H15" s="503">
        <v>4</v>
      </c>
      <c r="I15" s="503">
        <v>4</v>
      </c>
      <c r="J15" s="503">
        <v>4</v>
      </c>
      <c r="K15" s="503" t="s">
        <v>476</v>
      </c>
      <c r="L15" s="503" t="s">
        <v>476</v>
      </c>
      <c r="M15" s="503" t="s">
        <v>475</v>
      </c>
      <c r="N15" s="503" t="s">
        <v>475</v>
      </c>
      <c r="O15" s="503" t="s">
        <v>475</v>
      </c>
      <c r="P15" s="503" t="s">
        <v>475</v>
      </c>
      <c r="Q15" s="503" t="s">
        <v>475</v>
      </c>
      <c r="R15" s="503"/>
      <c r="S15" s="503"/>
      <c r="T15" s="503">
        <v>1</v>
      </c>
      <c r="U15" s="503">
        <v>1</v>
      </c>
      <c r="V15" s="503">
        <v>1</v>
      </c>
      <c r="W15" s="503">
        <v>1</v>
      </c>
      <c r="X15" s="503">
        <v>1</v>
      </c>
      <c r="Y15" s="503"/>
      <c r="Z15" s="503"/>
      <c r="AA15" s="503">
        <v>2</v>
      </c>
      <c r="AB15" s="503">
        <v>2</v>
      </c>
      <c r="AC15" s="503">
        <v>2</v>
      </c>
      <c r="AD15" s="503">
        <v>2</v>
      </c>
      <c r="AE15" s="503">
        <v>2</v>
      </c>
      <c r="AF15" s="503" t="s">
        <v>474</v>
      </c>
      <c r="AG15" s="504" t="s">
        <v>474</v>
      </c>
      <c r="AH15" s="516">
        <v>96</v>
      </c>
      <c r="AI15" s="517">
        <v>37</v>
      </c>
    </row>
    <row r="16" spans="1:35" ht="21.95" customHeight="1" x14ac:dyDescent="0.2">
      <c r="A16" s="501">
        <v>8546</v>
      </c>
      <c r="B16" s="346" t="s">
        <v>478</v>
      </c>
      <c r="C16" s="1059">
        <v>1</v>
      </c>
      <c r="D16" s="1059"/>
      <c r="E16" s="1059"/>
      <c r="F16" s="503">
        <v>2</v>
      </c>
      <c r="G16" s="503">
        <v>2</v>
      </c>
      <c r="H16" s="503">
        <v>2</v>
      </c>
      <c r="I16" s="503">
        <v>2</v>
      </c>
      <c r="J16" s="503">
        <v>2</v>
      </c>
      <c r="K16" s="503" t="s">
        <v>474</v>
      </c>
      <c r="L16" s="503" t="s">
        <v>474</v>
      </c>
      <c r="M16" s="503" t="s">
        <v>475</v>
      </c>
      <c r="N16" s="503" t="s">
        <v>475</v>
      </c>
      <c r="O16" s="503" t="s">
        <v>475</v>
      </c>
      <c r="P16" s="503" t="s">
        <v>475</v>
      </c>
      <c r="Q16" s="503" t="s">
        <v>475</v>
      </c>
      <c r="R16" s="503"/>
      <c r="S16" s="503"/>
      <c r="T16" s="503">
        <v>3</v>
      </c>
      <c r="U16" s="503">
        <v>3</v>
      </c>
      <c r="V16" s="503">
        <v>3</v>
      </c>
      <c r="W16" s="503">
        <v>3</v>
      </c>
      <c r="X16" s="503">
        <v>3</v>
      </c>
      <c r="Y16" s="503"/>
      <c r="Z16" s="503"/>
      <c r="AA16" s="503">
        <v>4</v>
      </c>
      <c r="AB16" s="503">
        <v>4</v>
      </c>
      <c r="AC16" s="503">
        <v>4</v>
      </c>
      <c r="AD16" s="503">
        <v>4</v>
      </c>
      <c r="AE16" s="503">
        <v>4</v>
      </c>
      <c r="AF16" s="503" t="s">
        <v>476</v>
      </c>
      <c r="AG16" s="504" t="s">
        <v>476</v>
      </c>
      <c r="AH16" s="516">
        <v>78</v>
      </c>
      <c r="AI16" s="517">
        <v>37</v>
      </c>
    </row>
    <row r="17" spans="1:37" ht="21.95" customHeight="1" x14ac:dyDescent="0.2">
      <c r="A17" s="501">
        <v>8546</v>
      </c>
      <c r="B17" s="346" t="s">
        <v>479</v>
      </c>
      <c r="C17" s="503" t="s">
        <v>475</v>
      </c>
      <c r="D17" s="503"/>
      <c r="E17" s="503"/>
      <c r="F17" s="503">
        <v>1</v>
      </c>
      <c r="G17" s="503">
        <v>1</v>
      </c>
      <c r="H17" s="503">
        <v>1</v>
      </c>
      <c r="I17" s="503">
        <v>1</v>
      </c>
      <c r="J17" s="503">
        <v>1</v>
      </c>
      <c r="K17" s="503"/>
      <c r="L17" s="503"/>
      <c r="M17" s="503">
        <v>2</v>
      </c>
      <c r="N17" s="503">
        <v>2</v>
      </c>
      <c r="O17" s="503">
        <v>2</v>
      </c>
      <c r="P17" s="503">
        <v>2</v>
      </c>
      <c r="Q17" s="503">
        <v>2</v>
      </c>
      <c r="R17" s="503" t="s">
        <v>474</v>
      </c>
      <c r="S17" s="503" t="s">
        <v>474</v>
      </c>
      <c r="T17" s="1452" t="s">
        <v>475</v>
      </c>
      <c r="U17" s="1452" t="s">
        <v>475</v>
      </c>
      <c r="V17" s="1452" t="s">
        <v>475</v>
      </c>
      <c r="W17" s="503" t="s">
        <v>475</v>
      </c>
      <c r="X17" s="503" t="s">
        <v>475</v>
      </c>
      <c r="Y17" s="503"/>
      <c r="Z17" s="503"/>
      <c r="AA17" s="1059">
        <v>3</v>
      </c>
      <c r="AB17" s="1059">
        <v>3</v>
      </c>
      <c r="AC17" s="1059">
        <v>3</v>
      </c>
      <c r="AD17" s="1059">
        <v>3</v>
      </c>
      <c r="AE17" s="1059">
        <v>3</v>
      </c>
      <c r="AF17" s="1059"/>
      <c r="AG17" s="1068"/>
      <c r="AH17" s="516">
        <v>176</v>
      </c>
      <c r="AI17" s="517">
        <v>37</v>
      </c>
    </row>
    <row r="18" spans="1:37" ht="21.95" customHeight="1" x14ac:dyDescent="0.2">
      <c r="A18" s="501">
        <v>8546</v>
      </c>
      <c r="B18" s="346" t="s">
        <v>480</v>
      </c>
      <c r="C18" s="503">
        <v>2</v>
      </c>
      <c r="D18" s="503" t="s">
        <v>474</v>
      </c>
      <c r="E18" s="503" t="s">
        <v>474</v>
      </c>
      <c r="F18" s="503" t="s">
        <v>475</v>
      </c>
      <c r="G18" s="503" t="s">
        <v>475</v>
      </c>
      <c r="H18" s="503" t="s">
        <v>475</v>
      </c>
      <c r="I18" s="503" t="s">
        <v>475</v>
      </c>
      <c r="J18" s="503" t="s">
        <v>475</v>
      </c>
      <c r="K18" s="503"/>
      <c r="L18" s="503"/>
      <c r="M18" s="503">
        <v>3</v>
      </c>
      <c r="N18" s="503">
        <v>3</v>
      </c>
      <c r="O18" s="503">
        <v>3</v>
      </c>
      <c r="P18" s="503">
        <v>3</v>
      </c>
      <c r="Q18" s="503">
        <v>3</v>
      </c>
      <c r="R18" s="503"/>
      <c r="S18" s="503"/>
      <c r="T18" s="503">
        <v>4</v>
      </c>
      <c r="U18" s="503">
        <v>4</v>
      </c>
      <c r="V18" s="503">
        <v>4</v>
      </c>
      <c r="W18" s="503">
        <v>4</v>
      </c>
      <c r="X18" s="503">
        <v>4</v>
      </c>
      <c r="Y18" s="503" t="s">
        <v>476</v>
      </c>
      <c r="Z18" s="503" t="s">
        <v>476</v>
      </c>
      <c r="AA18" s="1059" t="s">
        <v>475</v>
      </c>
      <c r="AB18" s="1059" t="s">
        <v>475</v>
      </c>
      <c r="AC18" s="1059" t="s">
        <v>475</v>
      </c>
      <c r="AD18" s="1059" t="s">
        <v>475</v>
      </c>
      <c r="AE18" s="1059" t="s">
        <v>475</v>
      </c>
      <c r="AF18" s="1059"/>
      <c r="AG18" s="1068"/>
      <c r="AH18" s="516">
        <v>173</v>
      </c>
      <c r="AI18" s="517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10"/>
      <c r="AI19" s="511"/>
    </row>
    <row r="20" spans="1:37" ht="21.95" customHeight="1" x14ac:dyDescent="0.2">
      <c r="A20" s="501">
        <v>8500</v>
      </c>
      <c r="B20" s="185" t="s">
        <v>188</v>
      </c>
      <c r="C20" s="503">
        <v>3</v>
      </c>
      <c r="D20" s="503" t="s">
        <v>484</v>
      </c>
      <c r="E20" s="503" t="s">
        <v>484</v>
      </c>
      <c r="F20" s="1059" t="s">
        <v>482</v>
      </c>
      <c r="G20" s="1059" t="s">
        <v>482</v>
      </c>
      <c r="H20" s="1059" t="s">
        <v>482</v>
      </c>
      <c r="I20" s="1059" t="s">
        <v>482</v>
      </c>
      <c r="J20" s="1059" t="s">
        <v>482</v>
      </c>
      <c r="K20" s="1059"/>
      <c r="L20" s="1059"/>
      <c r="M20" s="1059" t="s">
        <v>482</v>
      </c>
      <c r="N20" s="1059" t="s">
        <v>482</v>
      </c>
      <c r="O20" s="1059" t="s">
        <v>482</v>
      </c>
      <c r="P20" s="1059" t="s">
        <v>482</v>
      </c>
      <c r="Q20" s="1059" t="s">
        <v>482</v>
      </c>
      <c r="R20" s="1059"/>
      <c r="S20" s="1059"/>
      <c r="T20" s="1059" t="s">
        <v>482</v>
      </c>
      <c r="U20" s="1059" t="s">
        <v>482</v>
      </c>
      <c r="V20" s="1059" t="s">
        <v>482</v>
      </c>
      <c r="W20" s="1059" t="s">
        <v>482</v>
      </c>
      <c r="X20" s="1059" t="s">
        <v>482</v>
      </c>
      <c r="Y20" s="1059"/>
      <c r="Z20" s="1059"/>
      <c r="AA20" s="503">
        <v>3</v>
      </c>
      <c r="AB20" s="503">
        <v>3</v>
      </c>
      <c r="AC20" s="503">
        <v>3</v>
      </c>
      <c r="AD20" s="503">
        <v>3</v>
      </c>
      <c r="AE20" s="503">
        <v>3</v>
      </c>
      <c r="AF20" s="503"/>
      <c r="AG20" s="503" t="s">
        <v>484</v>
      </c>
      <c r="AH20" s="505">
        <v>88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03">
        <v>1</v>
      </c>
      <c r="D21" s="503" t="s">
        <v>484</v>
      </c>
      <c r="E21" s="503" t="s">
        <v>484</v>
      </c>
      <c r="F21" s="1059" t="s">
        <v>482</v>
      </c>
      <c r="G21" s="1059" t="s">
        <v>482</v>
      </c>
      <c r="H21" s="1059" t="s">
        <v>482</v>
      </c>
      <c r="I21" s="1059" t="s">
        <v>482</v>
      </c>
      <c r="J21" s="1059" t="s">
        <v>482</v>
      </c>
      <c r="K21" s="1059"/>
      <c r="L21" s="1059"/>
      <c r="M21" s="1059" t="s">
        <v>482</v>
      </c>
      <c r="N21" s="1059" t="s">
        <v>482</v>
      </c>
      <c r="O21" s="1059" t="s">
        <v>482</v>
      </c>
      <c r="P21" s="1059" t="s">
        <v>482</v>
      </c>
      <c r="Q21" s="1059" t="s">
        <v>482</v>
      </c>
      <c r="R21" s="1059"/>
      <c r="S21" s="1059"/>
      <c r="T21" s="1059" t="s">
        <v>482</v>
      </c>
      <c r="U21" s="1059" t="s">
        <v>482</v>
      </c>
      <c r="V21" s="1059" t="s">
        <v>482</v>
      </c>
      <c r="W21" s="1059" t="s">
        <v>482</v>
      </c>
      <c r="X21" s="1059" t="s">
        <v>482</v>
      </c>
      <c r="Y21" s="1059"/>
      <c r="Z21" s="1059"/>
      <c r="AA21" s="503" t="s">
        <v>482</v>
      </c>
      <c r="AB21" s="503" t="s">
        <v>482</v>
      </c>
      <c r="AC21" s="503" t="s">
        <v>482</v>
      </c>
      <c r="AD21" s="503" t="s">
        <v>482</v>
      </c>
      <c r="AE21" s="503" t="s">
        <v>482</v>
      </c>
      <c r="AF21" s="503"/>
      <c r="AG21" s="503"/>
      <c r="AH21" s="505">
        <v>74</v>
      </c>
      <c r="AI21" s="506">
        <v>37</v>
      </c>
    </row>
    <row r="22" spans="1:37" ht="21.95" customHeight="1" x14ac:dyDescent="0.2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S23" s="525"/>
      <c r="T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528" t="s">
        <v>488</v>
      </c>
      <c r="N31" s="527"/>
      <c r="O31" s="527"/>
      <c r="P31" s="527"/>
      <c r="Q31" s="527"/>
      <c r="R31" s="527"/>
      <c r="S31" s="529"/>
      <c r="T31" s="529" t="s">
        <v>489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thickBot="1" x14ac:dyDescent="0.25">
      <c r="A36" s="547" t="s">
        <v>468</v>
      </c>
      <c r="B36" s="181" t="s">
        <v>469</v>
      </c>
      <c r="C36" s="177">
        <v>1</v>
      </c>
      <c r="D36" s="497">
        <v>2</v>
      </c>
      <c r="E36" s="497">
        <v>3</v>
      </c>
      <c r="F36" s="177">
        <v>4</v>
      </c>
      <c r="G36" s="177">
        <v>5</v>
      </c>
      <c r="H36" s="177">
        <v>6</v>
      </c>
      <c r="I36" s="177">
        <v>7</v>
      </c>
      <c r="J36" s="177">
        <v>8</v>
      </c>
      <c r="K36" s="497">
        <v>9</v>
      </c>
      <c r="L36" s="497">
        <v>10</v>
      </c>
      <c r="M36" s="177">
        <v>11</v>
      </c>
      <c r="N36" s="177">
        <v>12</v>
      </c>
      <c r="O36" s="177">
        <v>13</v>
      </c>
      <c r="P36" s="177">
        <v>14</v>
      </c>
      <c r="Q36" s="177">
        <v>15</v>
      </c>
      <c r="R36" s="497">
        <v>16</v>
      </c>
      <c r="S36" s="497">
        <v>17</v>
      </c>
      <c r="T36" s="177">
        <v>18</v>
      </c>
      <c r="U36" s="177">
        <v>19</v>
      </c>
      <c r="V36" s="177">
        <v>20</v>
      </c>
      <c r="W36" s="177">
        <v>21</v>
      </c>
      <c r="X36" s="177">
        <v>22</v>
      </c>
      <c r="Y36" s="497">
        <v>23</v>
      </c>
      <c r="Z36" s="497">
        <v>24</v>
      </c>
      <c r="AA36" s="177">
        <v>25</v>
      </c>
      <c r="AB36" s="177">
        <v>26</v>
      </c>
      <c r="AC36" s="177">
        <v>27</v>
      </c>
      <c r="AD36" s="177">
        <v>28</v>
      </c>
      <c r="AE36" s="177">
        <v>29</v>
      </c>
      <c r="AF36" s="497">
        <v>30</v>
      </c>
      <c r="AG36" s="497">
        <v>31</v>
      </c>
      <c r="AH36" s="499" t="s">
        <v>470</v>
      </c>
      <c r="AI36" s="697" t="s">
        <v>471</v>
      </c>
    </row>
    <row r="37" spans="1:37" ht="21.95" customHeight="1" thickTop="1" x14ac:dyDescent="0.2">
      <c r="A37" s="548">
        <v>1</v>
      </c>
      <c r="B37" s="45" t="s">
        <v>502</v>
      </c>
      <c r="C37" s="1071">
        <v>5</v>
      </c>
      <c r="D37" s="1071"/>
      <c r="E37" s="1071"/>
      <c r="F37" s="549">
        <v>10</v>
      </c>
      <c r="G37" s="549">
        <v>10</v>
      </c>
      <c r="H37" s="549">
        <v>10</v>
      </c>
      <c r="I37" s="549">
        <v>10</v>
      </c>
      <c r="J37" s="549">
        <v>10</v>
      </c>
      <c r="K37" s="549" t="s">
        <v>507</v>
      </c>
      <c r="L37" s="549" t="s">
        <v>507</v>
      </c>
      <c r="M37" s="549" t="s">
        <v>475</v>
      </c>
      <c r="N37" s="549" t="s">
        <v>475</v>
      </c>
      <c r="O37" s="549" t="s">
        <v>475</v>
      </c>
      <c r="P37" s="1447" t="s">
        <v>475</v>
      </c>
      <c r="Q37" s="1447">
        <v>3</v>
      </c>
      <c r="R37" s="549" t="s">
        <v>505</v>
      </c>
      <c r="S37" s="549" t="s">
        <v>505</v>
      </c>
      <c r="T37" s="549" t="s">
        <v>482</v>
      </c>
      <c r="U37" s="549" t="s">
        <v>482</v>
      </c>
      <c r="V37" s="549" t="s">
        <v>482</v>
      </c>
      <c r="W37" s="549" t="s">
        <v>482</v>
      </c>
      <c r="X37" s="549" t="s">
        <v>482</v>
      </c>
      <c r="Y37" s="707"/>
      <c r="Z37" s="707"/>
      <c r="AA37" s="707" t="s">
        <v>482</v>
      </c>
      <c r="AB37" s="707" t="s">
        <v>482</v>
      </c>
      <c r="AC37" s="707" t="s">
        <v>482</v>
      </c>
      <c r="AD37" s="707" t="s">
        <v>482</v>
      </c>
      <c r="AE37" s="707" t="s">
        <v>482</v>
      </c>
      <c r="AF37" s="549"/>
      <c r="AG37" s="549"/>
      <c r="AH37" s="505">
        <v>91</v>
      </c>
      <c r="AI37" s="506">
        <v>37</v>
      </c>
    </row>
    <row r="38" spans="1:37" ht="21.95" customHeight="1" x14ac:dyDescent="0.2">
      <c r="A38" s="551">
        <v>6</v>
      </c>
      <c r="B38" s="552" t="s">
        <v>506</v>
      </c>
      <c r="C38" s="553">
        <v>3</v>
      </c>
      <c r="D38" s="553"/>
      <c r="E38" s="553"/>
      <c r="F38" s="553">
        <v>11</v>
      </c>
      <c r="G38" s="553">
        <v>11</v>
      </c>
      <c r="H38" s="553">
        <v>11</v>
      </c>
      <c r="I38" s="553">
        <v>11</v>
      </c>
      <c r="J38" s="553">
        <v>11</v>
      </c>
      <c r="K38" s="553" t="s">
        <v>503</v>
      </c>
      <c r="L38" s="1116" t="s">
        <v>684</v>
      </c>
      <c r="M38" s="553" t="s">
        <v>475</v>
      </c>
      <c r="N38" s="553" t="s">
        <v>475</v>
      </c>
      <c r="O38" s="553" t="s">
        <v>475</v>
      </c>
      <c r="P38" s="553" t="s">
        <v>475</v>
      </c>
      <c r="Q38" s="553" t="s">
        <v>475</v>
      </c>
      <c r="R38" s="553"/>
      <c r="S38" s="553"/>
      <c r="T38" s="521">
        <v>8</v>
      </c>
      <c r="U38" s="521">
        <v>8</v>
      </c>
      <c r="V38" s="521">
        <v>8</v>
      </c>
      <c r="W38" s="521">
        <v>8</v>
      </c>
      <c r="X38" s="521">
        <v>8</v>
      </c>
      <c r="Y38" s="521" t="s">
        <v>504</v>
      </c>
      <c r="Z38" s="521" t="s">
        <v>504</v>
      </c>
      <c r="AA38" s="521" t="s">
        <v>475</v>
      </c>
      <c r="AB38" s="521" t="s">
        <v>475</v>
      </c>
      <c r="AC38" s="521" t="s">
        <v>475</v>
      </c>
      <c r="AD38" s="521" t="s">
        <v>475</v>
      </c>
      <c r="AE38" s="521" t="s">
        <v>475</v>
      </c>
      <c r="AF38" s="553"/>
      <c r="AG38" s="553"/>
      <c r="AH38" s="505">
        <v>185</v>
      </c>
      <c r="AI38" s="506">
        <v>37</v>
      </c>
    </row>
    <row r="39" spans="1:37" ht="21.95" customHeight="1" thickBot="1" x14ac:dyDescent="0.25">
      <c r="A39" s="555">
        <v>11</v>
      </c>
      <c r="B39" s="556" t="s">
        <v>509</v>
      </c>
      <c r="C39" s="557">
        <v>1</v>
      </c>
      <c r="D39" s="557"/>
      <c r="E39" s="557"/>
      <c r="F39" s="1102">
        <v>9</v>
      </c>
      <c r="G39" s="557">
        <v>9</v>
      </c>
      <c r="H39" s="557">
        <v>9</v>
      </c>
      <c r="I39" s="557">
        <v>9</v>
      </c>
      <c r="J39" s="557">
        <v>9</v>
      </c>
      <c r="K39" s="557" t="s">
        <v>511</v>
      </c>
      <c r="L39" s="557" t="s">
        <v>507</v>
      </c>
      <c r="M39" s="557" t="s">
        <v>475</v>
      </c>
      <c r="N39" s="1457" t="s">
        <v>475</v>
      </c>
      <c r="O39" s="1448" t="s">
        <v>475</v>
      </c>
      <c r="P39" s="1448" t="s">
        <v>475</v>
      </c>
      <c r="Q39" s="1457" t="s">
        <v>475</v>
      </c>
      <c r="R39" s="557"/>
      <c r="S39" s="557"/>
      <c r="T39" s="557">
        <v>6</v>
      </c>
      <c r="U39" s="557">
        <v>6</v>
      </c>
      <c r="V39" s="557">
        <v>6</v>
      </c>
      <c r="W39" s="557">
        <v>6</v>
      </c>
      <c r="X39" s="557">
        <v>6</v>
      </c>
      <c r="Y39" s="553" t="s">
        <v>508</v>
      </c>
      <c r="Z39" s="1083" t="s">
        <v>504</v>
      </c>
      <c r="AA39" s="1064" t="s">
        <v>475</v>
      </c>
      <c r="AB39" s="1061" t="s">
        <v>475</v>
      </c>
      <c r="AC39" s="1061" t="s">
        <v>475</v>
      </c>
      <c r="AD39" s="1061" t="s">
        <v>475</v>
      </c>
      <c r="AE39" s="1061" t="s">
        <v>475</v>
      </c>
      <c r="AF39" s="1061"/>
      <c r="AG39" s="1061"/>
      <c r="AH39" s="505">
        <v>148</v>
      </c>
      <c r="AI39" s="506">
        <v>37</v>
      </c>
    </row>
    <row r="40" spans="1:37" ht="21.95" customHeight="1" x14ac:dyDescent="0.2">
      <c r="A40" s="548">
        <v>2</v>
      </c>
      <c r="B40" s="45" t="s">
        <v>510</v>
      </c>
      <c r="C40" s="1071">
        <v>10</v>
      </c>
      <c r="D40" s="1071" t="s">
        <v>507</v>
      </c>
      <c r="E40" s="1071" t="s">
        <v>507</v>
      </c>
      <c r="F40" s="1446" t="s">
        <v>529</v>
      </c>
      <c r="G40" s="1446" t="s">
        <v>529</v>
      </c>
      <c r="H40" s="1447" t="s">
        <v>529</v>
      </c>
      <c r="I40" s="1447" t="s">
        <v>529</v>
      </c>
      <c r="J40" s="1447" t="s">
        <v>529</v>
      </c>
      <c r="K40" s="549" t="s">
        <v>505</v>
      </c>
      <c r="L40" s="549" t="s">
        <v>505</v>
      </c>
      <c r="M40" s="1071">
        <v>7</v>
      </c>
      <c r="N40" s="1071">
        <v>7</v>
      </c>
      <c r="O40" s="1071">
        <v>7</v>
      </c>
      <c r="P40" s="1071">
        <v>7</v>
      </c>
      <c r="Q40" s="1071">
        <v>7</v>
      </c>
      <c r="R40" s="549"/>
      <c r="S40" s="549"/>
      <c r="T40" s="1077">
        <v>4</v>
      </c>
      <c r="U40" s="1077">
        <v>4</v>
      </c>
      <c r="V40" s="1071">
        <v>4</v>
      </c>
      <c r="W40" s="1072">
        <v>4</v>
      </c>
      <c r="X40" s="1072">
        <v>4</v>
      </c>
      <c r="Y40" s="549"/>
      <c r="Z40" s="549"/>
      <c r="AA40" s="1072">
        <v>3</v>
      </c>
      <c r="AB40" s="1465">
        <v>3</v>
      </c>
      <c r="AC40" s="1467">
        <v>3</v>
      </c>
      <c r="AD40" s="1467" t="s">
        <v>685</v>
      </c>
      <c r="AE40" s="1072" t="s">
        <v>538</v>
      </c>
      <c r="AF40" s="549"/>
      <c r="AG40" s="550"/>
      <c r="AH40" s="696">
        <v>67</v>
      </c>
      <c r="AI40" s="506">
        <v>37</v>
      </c>
    </row>
    <row r="41" spans="1:37" ht="21.95" customHeight="1" x14ac:dyDescent="0.2">
      <c r="A41" s="551">
        <v>7</v>
      </c>
      <c r="B41" s="152" t="s">
        <v>512</v>
      </c>
      <c r="C41" s="553">
        <v>11</v>
      </c>
      <c r="D41" s="553" t="s">
        <v>503</v>
      </c>
      <c r="E41" s="553" t="s">
        <v>503</v>
      </c>
      <c r="F41" s="553" t="s">
        <v>475</v>
      </c>
      <c r="G41" s="553" t="s">
        <v>475</v>
      </c>
      <c r="H41" s="553" t="s">
        <v>475</v>
      </c>
      <c r="I41" s="553" t="s">
        <v>475</v>
      </c>
      <c r="J41" s="553" t="s">
        <v>475</v>
      </c>
      <c r="K41" s="553"/>
      <c r="L41" s="553"/>
      <c r="M41" s="553">
        <v>8</v>
      </c>
      <c r="N41" s="553">
        <v>8</v>
      </c>
      <c r="O41" s="553">
        <v>8</v>
      </c>
      <c r="P41" s="553">
        <v>8</v>
      </c>
      <c r="Q41" s="553">
        <v>8</v>
      </c>
      <c r="R41" s="553" t="s">
        <v>504</v>
      </c>
      <c r="S41" s="553" t="s">
        <v>504</v>
      </c>
      <c r="T41" s="553" t="s">
        <v>475</v>
      </c>
      <c r="U41" s="553" t="s">
        <v>475</v>
      </c>
      <c r="V41" s="553" t="s">
        <v>475</v>
      </c>
      <c r="W41" s="553" t="s">
        <v>475</v>
      </c>
      <c r="X41" s="553" t="s">
        <v>475</v>
      </c>
      <c r="Y41" s="553"/>
      <c r="Z41" s="553"/>
      <c r="AA41" s="553">
        <v>1</v>
      </c>
      <c r="AB41" s="553">
        <v>1</v>
      </c>
      <c r="AC41" s="553">
        <v>1</v>
      </c>
      <c r="AD41" s="553">
        <v>1</v>
      </c>
      <c r="AE41" s="553">
        <v>1</v>
      </c>
      <c r="AF41" s="553"/>
      <c r="AG41" s="554"/>
      <c r="AH41" s="505">
        <v>185</v>
      </c>
      <c r="AI41" s="506">
        <v>37</v>
      </c>
    </row>
    <row r="42" spans="1:37" ht="21.95" customHeight="1" x14ac:dyDescent="0.2">
      <c r="A42" s="555">
        <v>12</v>
      </c>
      <c r="B42" s="560" t="s">
        <v>514</v>
      </c>
      <c r="C42" s="557">
        <v>9</v>
      </c>
      <c r="D42" s="557" t="s">
        <v>511</v>
      </c>
      <c r="E42" s="557" t="s">
        <v>507</v>
      </c>
      <c r="F42" s="557" t="s">
        <v>475</v>
      </c>
      <c r="G42" s="557" t="s">
        <v>475</v>
      </c>
      <c r="H42" s="557" t="s">
        <v>475</v>
      </c>
      <c r="I42" s="557" t="s">
        <v>475</v>
      </c>
      <c r="J42" s="557" t="s">
        <v>475</v>
      </c>
      <c r="K42" s="557"/>
      <c r="L42" s="557"/>
      <c r="M42" s="557">
        <v>6</v>
      </c>
      <c r="N42" s="557">
        <v>6</v>
      </c>
      <c r="O42" s="557">
        <v>6</v>
      </c>
      <c r="P42" s="557">
        <v>6</v>
      </c>
      <c r="Q42" s="557">
        <v>6</v>
      </c>
      <c r="R42" s="567" t="s">
        <v>508</v>
      </c>
      <c r="S42" s="567" t="s">
        <v>504</v>
      </c>
      <c r="T42" s="567" t="s">
        <v>475</v>
      </c>
      <c r="U42" s="557" t="s">
        <v>475</v>
      </c>
      <c r="V42" s="557" t="s">
        <v>475</v>
      </c>
      <c r="W42" s="557" t="s">
        <v>475</v>
      </c>
      <c r="X42" s="557" t="s">
        <v>475</v>
      </c>
      <c r="Y42" s="557"/>
      <c r="Z42" s="557"/>
      <c r="AA42" s="1061">
        <v>5</v>
      </c>
      <c r="AB42" s="1061">
        <v>5</v>
      </c>
      <c r="AC42" s="1061">
        <v>5</v>
      </c>
      <c r="AD42" s="1061">
        <v>5</v>
      </c>
      <c r="AE42" s="1061">
        <v>5</v>
      </c>
      <c r="AF42" s="1061"/>
      <c r="AG42" s="1062"/>
      <c r="AH42" s="696">
        <v>147</v>
      </c>
      <c r="AI42" s="506">
        <v>37</v>
      </c>
    </row>
    <row r="43" spans="1:37" ht="21.95" customHeight="1" x14ac:dyDescent="0.2">
      <c r="A43" s="561">
        <v>3</v>
      </c>
      <c r="B43" s="562" t="s">
        <v>515</v>
      </c>
      <c r="C43" s="1097" t="s">
        <v>475</v>
      </c>
      <c r="D43" s="1097" t="s">
        <v>505</v>
      </c>
      <c r="E43" s="1097" t="s">
        <v>505</v>
      </c>
      <c r="F43" s="1097">
        <v>7</v>
      </c>
      <c r="G43" s="1097">
        <v>7</v>
      </c>
      <c r="H43" s="1097">
        <v>7</v>
      </c>
      <c r="I43" s="1097">
        <v>7</v>
      </c>
      <c r="J43" s="1097">
        <v>7</v>
      </c>
      <c r="K43" s="1097"/>
      <c r="L43" s="1097"/>
      <c r="M43" s="1097">
        <v>4</v>
      </c>
      <c r="N43" s="1097">
        <v>4</v>
      </c>
      <c r="O43" s="1097">
        <v>4</v>
      </c>
      <c r="P43" s="1097">
        <v>4</v>
      </c>
      <c r="Q43" s="1097">
        <v>4</v>
      </c>
      <c r="R43" s="1098"/>
      <c r="S43" s="1097"/>
      <c r="T43" s="1097">
        <v>3</v>
      </c>
      <c r="U43" s="1097">
        <v>3</v>
      </c>
      <c r="V43" s="1097">
        <v>3</v>
      </c>
      <c r="W43" s="1097">
        <v>3</v>
      </c>
      <c r="X43" s="1097">
        <v>3</v>
      </c>
      <c r="Y43" s="1097"/>
      <c r="Z43" s="1097"/>
      <c r="AA43" s="1097">
        <v>11</v>
      </c>
      <c r="AB43" s="1097">
        <v>11</v>
      </c>
      <c r="AC43" s="1097">
        <v>11</v>
      </c>
      <c r="AD43" s="1097">
        <v>11</v>
      </c>
      <c r="AE43" s="1097">
        <v>11</v>
      </c>
      <c r="AF43" s="1097" t="s">
        <v>503</v>
      </c>
      <c r="AG43" s="1105" t="s">
        <v>503</v>
      </c>
      <c r="AH43" s="505">
        <v>0</v>
      </c>
      <c r="AI43" s="506">
        <v>15</v>
      </c>
    </row>
    <row r="44" spans="1:37" ht="21.95" customHeight="1" x14ac:dyDescent="0.2">
      <c r="A44" s="551">
        <v>8</v>
      </c>
      <c r="B44" s="318" t="s">
        <v>516</v>
      </c>
      <c r="C44" s="553" t="s">
        <v>475</v>
      </c>
      <c r="D44" s="553"/>
      <c r="E44" s="553"/>
      <c r="F44" s="553">
        <v>8</v>
      </c>
      <c r="G44" s="525">
        <v>8</v>
      </c>
      <c r="H44" s="553">
        <v>8</v>
      </c>
      <c r="I44" s="553">
        <v>8</v>
      </c>
      <c r="J44" s="553">
        <v>8</v>
      </c>
      <c r="K44" s="553" t="s">
        <v>504</v>
      </c>
      <c r="L44" s="553" t="s">
        <v>504</v>
      </c>
      <c r="M44" s="553" t="s">
        <v>475</v>
      </c>
      <c r="N44" s="553" t="s">
        <v>475</v>
      </c>
      <c r="O44" s="553" t="s">
        <v>475</v>
      </c>
      <c r="P44" s="553" t="s">
        <v>475</v>
      </c>
      <c r="Q44" s="565" t="s">
        <v>475</v>
      </c>
      <c r="R44" s="553"/>
      <c r="S44" s="566"/>
      <c r="T44" s="553">
        <v>1</v>
      </c>
      <c r="U44" s="553">
        <v>1</v>
      </c>
      <c r="V44" s="553">
        <v>1</v>
      </c>
      <c r="W44" s="553">
        <v>1</v>
      </c>
      <c r="X44" s="553">
        <v>1</v>
      </c>
      <c r="Y44" s="553"/>
      <c r="Z44" s="553"/>
      <c r="AA44" s="553">
        <v>9</v>
      </c>
      <c r="AB44" s="553">
        <v>9</v>
      </c>
      <c r="AC44" s="553">
        <v>9</v>
      </c>
      <c r="AD44" s="553">
        <v>9</v>
      </c>
      <c r="AE44" s="553">
        <v>9</v>
      </c>
      <c r="AF44" s="553" t="s">
        <v>511</v>
      </c>
      <c r="AG44" s="554" t="s">
        <v>507</v>
      </c>
      <c r="AH44" s="505">
        <v>185</v>
      </c>
      <c r="AI44" s="506">
        <v>37</v>
      </c>
    </row>
    <row r="45" spans="1:37" ht="21.95" customHeight="1" x14ac:dyDescent="0.2">
      <c r="A45" s="555">
        <v>13</v>
      </c>
      <c r="B45" s="52" t="s">
        <v>517</v>
      </c>
      <c r="C45" s="557" t="s">
        <v>475</v>
      </c>
      <c r="D45" s="557"/>
      <c r="E45" s="557"/>
      <c r="F45" s="557">
        <v>6</v>
      </c>
      <c r="G45" s="557">
        <v>6</v>
      </c>
      <c r="H45" s="557">
        <v>6</v>
      </c>
      <c r="I45" s="557">
        <v>6</v>
      </c>
      <c r="J45" s="557">
        <v>6</v>
      </c>
      <c r="K45" s="557" t="s">
        <v>508</v>
      </c>
      <c r="L45" s="557" t="s">
        <v>504</v>
      </c>
      <c r="M45" s="1448" t="s">
        <v>475</v>
      </c>
      <c r="N45" s="1448" t="s">
        <v>475</v>
      </c>
      <c r="O45" s="1448" t="s">
        <v>475</v>
      </c>
      <c r="P45" s="557" t="s">
        <v>475</v>
      </c>
      <c r="Q45" s="1448" t="s">
        <v>475</v>
      </c>
      <c r="R45" s="567"/>
      <c r="S45" s="557"/>
      <c r="T45" s="557">
        <v>5</v>
      </c>
      <c r="U45" s="557">
        <v>5</v>
      </c>
      <c r="V45" s="557">
        <v>5</v>
      </c>
      <c r="W45" s="557">
        <v>5</v>
      </c>
      <c r="X45" s="557">
        <v>5</v>
      </c>
      <c r="Y45" s="557"/>
      <c r="Z45" s="557"/>
      <c r="AA45" s="1061">
        <v>10</v>
      </c>
      <c r="AB45" s="1061">
        <v>10</v>
      </c>
      <c r="AC45" s="1061">
        <v>10</v>
      </c>
      <c r="AD45" s="1061">
        <v>10</v>
      </c>
      <c r="AE45" s="1061">
        <v>10</v>
      </c>
      <c r="AF45" s="1061" t="s">
        <v>507</v>
      </c>
      <c r="AG45" s="1062" t="s">
        <v>507</v>
      </c>
      <c r="AH45" s="505">
        <v>121</v>
      </c>
      <c r="AI45" s="506">
        <v>37</v>
      </c>
    </row>
    <row r="46" spans="1:37" ht="21.95" customHeight="1" x14ac:dyDescent="0.2">
      <c r="A46" s="561">
        <v>4</v>
      </c>
      <c r="B46" s="318" t="s">
        <v>518</v>
      </c>
      <c r="C46" s="514">
        <v>7</v>
      </c>
      <c r="D46" s="514"/>
      <c r="E46" s="514"/>
      <c r="F46" s="514">
        <v>4</v>
      </c>
      <c r="G46" s="514">
        <v>4</v>
      </c>
      <c r="H46" s="514">
        <v>4</v>
      </c>
      <c r="I46" s="514">
        <v>4</v>
      </c>
      <c r="J46" s="514">
        <v>4</v>
      </c>
      <c r="K46" s="514"/>
      <c r="L46" s="514"/>
      <c r="M46" s="514">
        <v>3</v>
      </c>
      <c r="N46" s="514">
        <v>3</v>
      </c>
      <c r="O46" s="514">
        <v>3</v>
      </c>
      <c r="P46" s="514">
        <v>3</v>
      </c>
      <c r="Q46" s="514">
        <v>3</v>
      </c>
      <c r="R46" s="514"/>
      <c r="S46" s="514"/>
      <c r="T46" s="514">
        <v>11</v>
      </c>
      <c r="U46" s="514">
        <v>11</v>
      </c>
      <c r="V46" s="514">
        <v>11</v>
      </c>
      <c r="W46" s="514">
        <v>11</v>
      </c>
      <c r="X46" s="514">
        <v>11</v>
      </c>
      <c r="Y46" s="514" t="s">
        <v>503</v>
      </c>
      <c r="Z46" s="514" t="s">
        <v>503</v>
      </c>
      <c r="AA46" s="1066" t="s">
        <v>475</v>
      </c>
      <c r="AB46" s="1066" t="s">
        <v>475</v>
      </c>
      <c r="AC46" s="1066" t="s">
        <v>475</v>
      </c>
      <c r="AD46" s="1066" t="s">
        <v>475</v>
      </c>
      <c r="AE46" s="1066" t="s">
        <v>475</v>
      </c>
      <c r="AF46" s="1066"/>
      <c r="AG46" s="1070"/>
      <c r="AH46" s="505">
        <v>70</v>
      </c>
      <c r="AI46" s="506">
        <v>37</v>
      </c>
    </row>
    <row r="47" spans="1:37" ht="21.95" customHeight="1" x14ac:dyDescent="0.2">
      <c r="A47" s="551">
        <v>9</v>
      </c>
      <c r="B47" s="318" t="s">
        <v>519</v>
      </c>
      <c r="C47" s="553">
        <v>8</v>
      </c>
      <c r="D47" s="553" t="s">
        <v>504</v>
      </c>
      <c r="E47" s="553" t="s">
        <v>505</v>
      </c>
      <c r="F47" s="553" t="s">
        <v>475</v>
      </c>
      <c r="G47" s="553" t="s">
        <v>475</v>
      </c>
      <c r="H47" s="553" t="s">
        <v>475</v>
      </c>
      <c r="I47" s="553" t="s">
        <v>475</v>
      </c>
      <c r="J47" s="553" t="s">
        <v>475</v>
      </c>
      <c r="K47" s="553"/>
      <c r="L47" s="553"/>
      <c r="M47" s="553">
        <v>1</v>
      </c>
      <c r="N47" s="553">
        <v>1</v>
      </c>
      <c r="O47" s="553">
        <v>1</v>
      </c>
      <c r="P47" s="553">
        <v>1</v>
      </c>
      <c r="Q47" s="553">
        <v>1</v>
      </c>
      <c r="R47" s="553"/>
      <c r="S47" s="553"/>
      <c r="T47" s="553">
        <v>9</v>
      </c>
      <c r="U47" s="553">
        <v>9</v>
      </c>
      <c r="V47" s="553">
        <v>9</v>
      </c>
      <c r="W47" s="553">
        <v>9</v>
      </c>
      <c r="X47" s="553">
        <v>9</v>
      </c>
      <c r="Y47" s="553" t="s">
        <v>511</v>
      </c>
      <c r="Z47" s="553" t="s">
        <v>507</v>
      </c>
      <c r="AA47" s="553" t="s">
        <v>475</v>
      </c>
      <c r="AB47" s="1461" t="s">
        <v>475</v>
      </c>
      <c r="AC47" s="1461" t="s">
        <v>475</v>
      </c>
      <c r="AD47" s="1461" t="s">
        <v>475</v>
      </c>
      <c r="AE47" s="1461" t="s">
        <v>475</v>
      </c>
      <c r="AF47" s="553"/>
      <c r="AG47" s="565"/>
      <c r="AH47" s="505">
        <v>15</v>
      </c>
      <c r="AI47" s="506">
        <v>37</v>
      </c>
    </row>
    <row r="48" spans="1:37" ht="21.95" customHeight="1" x14ac:dyDescent="0.2">
      <c r="A48" s="555">
        <v>14</v>
      </c>
      <c r="B48" s="560" t="s">
        <v>520</v>
      </c>
      <c r="C48" s="557">
        <v>6</v>
      </c>
      <c r="D48" s="557" t="s">
        <v>508</v>
      </c>
      <c r="E48" s="557" t="s">
        <v>504</v>
      </c>
      <c r="F48" s="1061" t="s">
        <v>475</v>
      </c>
      <c r="G48" s="1061" t="s">
        <v>475</v>
      </c>
      <c r="H48" s="1061" t="s">
        <v>475</v>
      </c>
      <c r="I48" s="1061" t="s">
        <v>475</v>
      </c>
      <c r="J48" s="1061" t="s">
        <v>475</v>
      </c>
      <c r="K48" s="1061"/>
      <c r="L48" s="1061"/>
      <c r="M48" s="1061">
        <v>5</v>
      </c>
      <c r="N48" s="1061">
        <v>5</v>
      </c>
      <c r="O48" s="1061">
        <v>5</v>
      </c>
      <c r="P48" s="1061">
        <v>5</v>
      </c>
      <c r="Q48" s="1061">
        <v>5</v>
      </c>
      <c r="R48" s="1061"/>
      <c r="S48" s="1061"/>
      <c r="T48" s="1061">
        <v>10</v>
      </c>
      <c r="U48" s="1061">
        <v>10</v>
      </c>
      <c r="V48" s="1061">
        <v>10</v>
      </c>
      <c r="W48" s="1061">
        <v>10</v>
      </c>
      <c r="X48" s="1061">
        <v>10</v>
      </c>
      <c r="Y48" s="1061" t="s">
        <v>507</v>
      </c>
      <c r="Z48" s="1061" t="s">
        <v>507</v>
      </c>
      <c r="AA48" s="557" t="s">
        <v>475</v>
      </c>
      <c r="AB48" s="557" t="s">
        <v>475</v>
      </c>
      <c r="AC48" s="557" t="s">
        <v>475</v>
      </c>
      <c r="AD48" s="557" t="s">
        <v>475</v>
      </c>
      <c r="AE48" s="557" t="s">
        <v>475</v>
      </c>
      <c r="AF48" s="557" t="s">
        <v>505</v>
      </c>
      <c r="AG48" s="568" t="s">
        <v>505</v>
      </c>
      <c r="AH48" s="505">
        <v>39</v>
      </c>
      <c r="AI48" s="506">
        <v>37</v>
      </c>
    </row>
    <row r="49" spans="1:35" ht="21.95" customHeight="1" x14ac:dyDescent="0.2">
      <c r="A49" s="548">
        <v>5</v>
      </c>
      <c r="B49" s="552" t="s">
        <v>521</v>
      </c>
      <c r="C49" s="1071">
        <v>4</v>
      </c>
      <c r="D49" s="1071"/>
      <c r="E49" s="1071"/>
      <c r="F49" s="549" t="s">
        <v>522</v>
      </c>
      <c r="G49" s="549" t="s">
        <v>522</v>
      </c>
      <c r="H49" s="549" t="s">
        <v>475</v>
      </c>
      <c r="I49" s="549">
        <v>3</v>
      </c>
      <c r="J49" s="549">
        <v>3</v>
      </c>
      <c r="K49" s="549"/>
      <c r="L49" s="549"/>
      <c r="M49" s="549">
        <v>11</v>
      </c>
      <c r="N49" s="549">
        <v>11</v>
      </c>
      <c r="O49" s="549">
        <v>11</v>
      </c>
      <c r="P49" s="549">
        <v>11</v>
      </c>
      <c r="Q49" s="549">
        <v>11</v>
      </c>
      <c r="R49" s="549" t="s">
        <v>503</v>
      </c>
      <c r="S49" s="549" t="s">
        <v>503</v>
      </c>
      <c r="T49" s="549" t="s">
        <v>475</v>
      </c>
      <c r="U49" s="549" t="s">
        <v>475</v>
      </c>
      <c r="V49" s="549" t="s">
        <v>475</v>
      </c>
      <c r="W49" s="549" t="s">
        <v>475</v>
      </c>
      <c r="X49" s="549" t="s">
        <v>475</v>
      </c>
      <c r="Y49" s="549"/>
      <c r="Z49" s="549"/>
      <c r="AA49" s="549">
        <v>8</v>
      </c>
      <c r="AB49" s="549">
        <v>3</v>
      </c>
      <c r="AC49" s="549">
        <v>8</v>
      </c>
      <c r="AD49" s="549">
        <v>8</v>
      </c>
      <c r="AE49" s="549">
        <v>8</v>
      </c>
      <c r="AF49" s="549" t="s">
        <v>504</v>
      </c>
      <c r="AG49" s="549" t="s">
        <v>504</v>
      </c>
      <c r="AH49" s="505">
        <v>81</v>
      </c>
      <c r="AI49" s="506">
        <v>37</v>
      </c>
    </row>
    <row r="50" spans="1:35" ht="21.95" customHeight="1" x14ac:dyDescent="0.2">
      <c r="A50" s="551">
        <v>10</v>
      </c>
      <c r="B50" s="318" t="s">
        <v>523</v>
      </c>
      <c r="C50" s="553" t="s">
        <v>475</v>
      </c>
      <c r="D50" s="553"/>
      <c r="E50" s="553"/>
      <c r="F50" s="553">
        <v>1</v>
      </c>
      <c r="G50" s="553">
        <v>1</v>
      </c>
      <c r="H50" s="553">
        <v>1</v>
      </c>
      <c r="I50" s="553">
        <v>1</v>
      </c>
      <c r="J50" s="553">
        <v>1</v>
      </c>
      <c r="K50" s="553"/>
      <c r="L50" s="553"/>
      <c r="M50" s="553">
        <v>9</v>
      </c>
      <c r="N50" s="553">
        <v>9</v>
      </c>
      <c r="O50" s="553">
        <v>9</v>
      </c>
      <c r="P50" s="553">
        <v>9</v>
      </c>
      <c r="Q50" s="553">
        <v>9</v>
      </c>
      <c r="R50" s="553" t="s">
        <v>511</v>
      </c>
      <c r="S50" s="553" t="s">
        <v>507</v>
      </c>
      <c r="T50" s="553" t="s">
        <v>475</v>
      </c>
      <c r="U50" s="553" t="s">
        <v>475</v>
      </c>
      <c r="V50" s="553" t="s">
        <v>475</v>
      </c>
      <c r="W50" s="553" t="s">
        <v>475</v>
      </c>
      <c r="X50" s="553" t="s">
        <v>475</v>
      </c>
      <c r="Y50" s="553"/>
      <c r="Z50" s="553"/>
      <c r="AA50" s="553">
        <v>6</v>
      </c>
      <c r="AB50" s="553">
        <v>6</v>
      </c>
      <c r="AC50" s="553">
        <v>6</v>
      </c>
      <c r="AD50" s="553">
        <v>6</v>
      </c>
      <c r="AE50" s="553">
        <v>6</v>
      </c>
      <c r="AF50" s="553" t="s">
        <v>508</v>
      </c>
      <c r="AG50" s="565" t="s">
        <v>504</v>
      </c>
      <c r="AH50" s="505">
        <v>79</v>
      </c>
      <c r="AI50" s="506">
        <v>37</v>
      </c>
    </row>
    <row r="51" spans="1:35" ht="21.95" customHeight="1" x14ac:dyDescent="0.2">
      <c r="A51" s="555">
        <v>15</v>
      </c>
      <c r="B51" s="52" t="s">
        <v>524</v>
      </c>
      <c r="C51" s="557" t="s">
        <v>475</v>
      </c>
      <c r="D51" s="557"/>
      <c r="E51" s="557"/>
      <c r="F51" s="557">
        <v>5</v>
      </c>
      <c r="G51" s="557">
        <v>5</v>
      </c>
      <c r="H51" s="557">
        <v>5</v>
      </c>
      <c r="I51" s="557">
        <v>5</v>
      </c>
      <c r="J51" s="557">
        <v>5</v>
      </c>
      <c r="K51" s="557"/>
      <c r="L51" s="557"/>
      <c r="M51" s="557">
        <v>10</v>
      </c>
      <c r="N51" s="557">
        <v>10</v>
      </c>
      <c r="O51" s="557">
        <v>10</v>
      </c>
      <c r="P51" s="557">
        <v>10</v>
      </c>
      <c r="Q51" s="557">
        <v>10</v>
      </c>
      <c r="R51" s="557" t="s">
        <v>507</v>
      </c>
      <c r="S51" s="557" t="s">
        <v>507</v>
      </c>
      <c r="T51" s="557" t="s">
        <v>475</v>
      </c>
      <c r="U51" s="557" t="s">
        <v>475</v>
      </c>
      <c r="V51" s="557" t="s">
        <v>475</v>
      </c>
      <c r="W51" s="557" t="s">
        <v>475</v>
      </c>
      <c r="X51" s="557" t="s">
        <v>475</v>
      </c>
      <c r="Y51" s="557" t="s">
        <v>505</v>
      </c>
      <c r="Z51" s="557" t="s">
        <v>505</v>
      </c>
      <c r="AA51" s="1061">
        <v>7</v>
      </c>
      <c r="AB51" s="1061">
        <v>7</v>
      </c>
      <c r="AC51" s="1061">
        <v>7</v>
      </c>
      <c r="AD51" s="1061">
        <v>7</v>
      </c>
      <c r="AE51" s="1061">
        <v>7</v>
      </c>
      <c r="AF51" s="1061"/>
      <c r="AG51" s="1076"/>
      <c r="AH51" s="651">
        <v>88.5</v>
      </c>
      <c r="AI51" s="523">
        <v>37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C53" s="546"/>
      <c r="D53" s="546"/>
      <c r="E53" s="546"/>
      <c r="F53" s="546"/>
      <c r="G53" s="546"/>
      <c r="H53" s="546"/>
      <c r="I53" s="546"/>
      <c r="J53" s="546"/>
      <c r="K53" s="546"/>
      <c r="L53" s="546"/>
      <c r="M53" s="546"/>
      <c r="N53" s="546"/>
      <c r="O53" s="546"/>
      <c r="P53" s="546"/>
      <c r="Q53" s="546"/>
      <c r="R53" s="546"/>
      <c r="S53" s="546"/>
      <c r="T53" s="546"/>
      <c r="U53" s="546"/>
      <c r="V53" s="546"/>
      <c r="W53" s="546"/>
      <c r="X53" s="546"/>
      <c r="Y53" s="546"/>
      <c r="Z53" s="546"/>
      <c r="AA53" s="546"/>
      <c r="AB53" s="546"/>
      <c r="AC53" s="546"/>
      <c r="AD53" s="546"/>
      <c r="AE53" s="546"/>
      <c r="AF53" s="546"/>
      <c r="AG53" s="546"/>
      <c r="AH53" s="1"/>
    </row>
    <row r="54" spans="1:35" ht="21.95" customHeight="1" x14ac:dyDescent="0.2">
      <c r="A54" s="524"/>
      <c r="C54" s="546"/>
      <c r="D54" s="546"/>
      <c r="E54" s="546"/>
      <c r="F54" s="546"/>
      <c r="G54" s="546"/>
      <c r="H54" s="546"/>
      <c r="I54" s="546"/>
      <c r="J54" s="546"/>
      <c r="K54" s="546"/>
      <c r="L54" s="546"/>
      <c r="M54" s="546"/>
      <c r="N54" s="546"/>
      <c r="O54" s="546"/>
      <c r="P54" s="546"/>
      <c r="Q54" s="546"/>
      <c r="R54" s="546"/>
      <c r="S54" s="546"/>
      <c r="T54" s="546"/>
      <c r="U54" s="546"/>
      <c r="V54" s="546"/>
      <c r="W54" s="546"/>
      <c r="X54" s="546"/>
      <c r="Y54" s="546"/>
      <c r="Z54" s="546"/>
      <c r="AA54" s="546"/>
      <c r="AB54" s="546"/>
      <c r="AC54" s="546"/>
      <c r="AD54" s="546"/>
      <c r="AE54" s="546"/>
      <c r="AF54" s="546"/>
      <c r="AG54" s="546"/>
      <c r="AH54" s="1"/>
    </row>
    <row r="55" spans="1:35" ht="21.95" customHeight="1" x14ac:dyDescent="0.2">
      <c r="A55" s="524"/>
      <c r="C55" s="360"/>
      <c r="D55" s="360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360"/>
      <c r="X55" s="360"/>
      <c r="Y55" s="360"/>
      <c r="Z55" s="360"/>
      <c r="AA55" s="360"/>
      <c r="AB55" s="360"/>
      <c r="AC55" s="360"/>
      <c r="AD55" s="360"/>
      <c r="AE55" s="360"/>
      <c r="AF55" s="360"/>
      <c r="AG55" s="360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129"/>
      <c r="C58" s="121"/>
      <c r="D58" s="156"/>
      <c r="E58" s="488"/>
      <c r="F58" s="121"/>
      <c r="G58" s="579"/>
      <c r="H58" s="156"/>
      <c r="I58" s="121"/>
      <c r="J58" s="55"/>
      <c r="K58" s="580"/>
      <c r="L58" s="121"/>
      <c r="M58" s="156"/>
      <c r="N58" s="488"/>
      <c r="O58" s="121"/>
      <c r="P58" s="156"/>
      <c r="Q58" s="488"/>
      <c r="R58" s="14"/>
      <c r="S58" s="55"/>
      <c r="T58" s="580"/>
      <c r="U58" s="14"/>
      <c r="V58" s="55"/>
      <c r="W58" s="580"/>
      <c r="X58" s="154"/>
      <c r="Y58" s="156"/>
      <c r="Z58" s="700"/>
      <c r="AA58" s="489"/>
      <c r="AE58" s="360"/>
      <c r="AF58" s="360"/>
      <c r="AG58" s="360"/>
    </row>
    <row r="59" spans="1:35" ht="21.95" customHeight="1" x14ac:dyDescent="0.2">
      <c r="A59" s="1"/>
      <c r="B59" s="47" t="s">
        <v>106</v>
      </c>
      <c r="C59" s="121" t="s">
        <v>295</v>
      </c>
      <c r="D59" s="156"/>
      <c r="E59" s="488"/>
      <c r="F59" s="121" t="s">
        <v>295</v>
      </c>
      <c r="G59" s="579"/>
      <c r="H59" s="156"/>
      <c r="I59" s="121" t="s">
        <v>295</v>
      </c>
      <c r="J59" s="55"/>
      <c r="K59" s="580"/>
      <c r="L59" s="121" t="s">
        <v>295</v>
      </c>
      <c r="M59" s="156"/>
      <c r="N59" s="488"/>
      <c r="O59" s="121" t="s">
        <v>67</v>
      </c>
      <c r="P59" s="156"/>
      <c r="Q59" s="488"/>
      <c r="R59" s="581"/>
      <c r="S59" s="53"/>
      <c r="T59" s="541"/>
      <c r="U59" s="581"/>
      <c r="V59" s="53"/>
      <c r="W59" s="541"/>
      <c r="X59" s="581"/>
      <c r="Y59" s="53">
        <v>37</v>
      </c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177">
        <v>1</v>
      </c>
      <c r="D61" s="497">
        <v>2</v>
      </c>
      <c r="E61" s="497">
        <v>3</v>
      </c>
      <c r="F61" s="177">
        <v>4</v>
      </c>
      <c r="G61" s="177">
        <v>5</v>
      </c>
      <c r="H61" s="177">
        <v>6</v>
      </c>
      <c r="I61" s="177">
        <v>7</v>
      </c>
      <c r="J61" s="177">
        <v>8</v>
      </c>
      <c r="K61" s="497">
        <v>9</v>
      </c>
      <c r="L61" s="497">
        <v>10</v>
      </c>
      <c r="M61" s="177">
        <v>11</v>
      </c>
      <c r="N61" s="177">
        <v>12</v>
      </c>
      <c r="O61" s="177">
        <v>13</v>
      </c>
      <c r="P61" s="177">
        <v>14</v>
      </c>
      <c r="Q61" s="177">
        <v>15</v>
      </c>
      <c r="R61" s="497">
        <v>16</v>
      </c>
      <c r="S61" s="497">
        <v>17</v>
      </c>
      <c r="T61" s="177">
        <v>18</v>
      </c>
      <c r="U61" s="177">
        <v>19</v>
      </c>
      <c r="V61" s="177">
        <v>20</v>
      </c>
      <c r="W61" s="177">
        <v>21</v>
      </c>
      <c r="X61" s="177">
        <v>22</v>
      </c>
      <c r="Y61" s="497">
        <v>23</v>
      </c>
      <c r="Z61" s="497">
        <v>24</v>
      </c>
      <c r="AA61" s="177">
        <v>25</v>
      </c>
      <c r="AB61" s="177">
        <v>26</v>
      </c>
      <c r="AC61" s="177">
        <v>27</v>
      </c>
      <c r="AD61" s="177">
        <v>28</v>
      </c>
      <c r="AE61" s="177">
        <v>29</v>
      </c>
      <c r="AF61" s="497">
        <v>30</v>
      </c>
      <c r="AG61" s="497">
        <v>31</v>
      </c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 t="s">
        <v>529</v>
      </c>
      <c r="D62" s="587"/>
      <c r="E62" s="587"/>
      <c r="F62" s="587" t="s">
        <v>529</v>
      </c>
      <c r="G62" s="587" t="s">
        <v>529</v>
      </c>
      <c r="H62" s="587" t="s">
        <v>529</v>
      </c>
      <c r="I62" s="587" t="s">
        <v>529</v>
      </c>
      <c r="J62" s="587" t="s">
        <v>529</v>
      </c>
      <c r="K62" s="587"/>
      <c r="L62" s="587"/>
      <c r="M62" s="587" t="s">
        <v>529</v>
      </c>
      <c r="N62" s="587" t="s">
        <v>529</v>
      </c>
      <c r="O62" s="587" t="s">
        <v>529</v>
      </c>
      <c r="P62" s="587" t="s">
        <v>529</v>
      </c>
      <c r="Q62" s="587" t="s">
        <v>529</v>
      </c>
      <c r="R62" s="587"/>
      <c r="S62" s="587"/>
      <c r="T62" s="587" t="s">
        <v>529</v>
      </c>
      <c r="U62" s="587" t="s">
        <v>529</v>
      </c>
      <c r="V62" s="587" t="s">
        <v>529</v>
      </c>
      <c r="W62" s="587" t="s">
        <v>529</v>
      </c>
      <c r="X62" s="587" t="s">
        <v>529</v>
      </c>
      <c r="Y62" s="587"/>
      <c r="Z62" s="587"/>
      <c r="AA62" s="587" t="s">
        <v>529</v>
      </c>
      <c r="AB62" s="587" t="s">
        <v>529</v>
      </c>
      <c r="AC62" s="587" t="s">
        <v>529</v>
      </c>
      <c r="AD62" s="587" t="s">
        <v>529</v>
      </c>
      <c r="AE62" s="587" t="s">
        <v>529</v>
      </c>
      <c r="AF62" s="587"/>
      <c r="AG62" s="587"/>
      <c r="AH62" s="505">
        <v>148</v>
      </c>
      <c r="AI62" s="506">
        <v>37</v>
      </c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>
        <v>185</v>
      </c>
      <c r="AI63" s="506">
        <v>37</v>
      </c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x14ac:dyDescent="0.2">
      <c r="A65" s="360"/>
      <c r="B65" s="592" t="s">
        <v>262</v>
      </c>
      <c r="C65" s="7"/>
      <c r="D65" s="413" t="s">
        <v>2</v>
      </c>
      <c r="E65" s="572"/>
      <c r="F65" s="7"/>
      <c r="G65" s="6" t="s">
        <v>3</v>
      </c>
      <c r="H65" s="573"/>
      <c r="I65" s="118"/>
      <c r="J65" s="6" t="s">
        <v>4</v>
      </c>
      <c r="K65" s="412"/>
      <c r="L65" s="118"/>
      <c r="M65" s="119" t="s">
        <v>5</v>
      </c>
      <c r="N65" s="412"/>
      <c r="O65" s="118"/>
      <c r="P65" s="6" t="s">
        <v>6</v>
      </c>
      <c r="Q65" s="574"/>
      <c r="R65" s="118"/>
      <c r="S65" s="6" t="s">
        <v>7</v>
      </c>
      <c r="T65" s="575"/>
      <c r="U65" s="118"/>
      <c r="V65" s="6" t="s">
        <v>8</v>
      </c>
      <c r="W65" s="574"/>
      <c r="X65" s="348" t="s">
        <v>9</v>
      </c>
      <c r="Y65" s="593"/>
      <c r="Z65" s="593"/>
      <c r="AA65" s="594"/>
      <c r="AB65" s="27" t="s">
        <v>10</v>
      </c>
      <c r="AC65" s="576"/>
      <c r="AD65" s="576"/>
      <c r="AE65" s="595"/>
      <c r="AF65" s="595"/>
      <c r="AG65" s="596"/>
    </row>
    <row r="66" spans="1:35" ht="21.95" customHeight="1" x14ac:dyDescent="0.2">
      <c r="A66" s="360"/>
      <c r="B66" s="305" t="s">
        <v>263</v>
      </c>
      <c r="C66" s="597" t="s">
        <v>264</v>
      </c>
      <c r="D66" s="465"/>
      <c r="E66" s="466"/>
      <c r="F66" s="598" t="s">
        <v>264</v>
      </c>
      <c r="G66" s="482"/>
      <c r="H66" s="483"/>
      <c r="I66" s="598" t="s">
        <v>264</v>
      </c>
      <c r="J66" s="482"/>
      <c r="K66" s="483"/>
      <c r="L66" s="598" t="s">
        <v>264</v>
      </c>
      <c r="M66" s="482"/>
      <c r="N66" s="483"/>
      <c r="O66" s="598" t="s">
        <v>265</v>
      </c>
      <c r="P66" s="482"/>
      <c r="Q66" s="483"/>
      <c r="R66" s="598"/>
      <c r="S66" s="482"/>
      <c r="T66" s="483"/>
      <c r="U66" s="598"/>
      <c r="V66" s="482"/>
      <c r="W66" s="483"/>
      <c r="X66" s="598"/>
      <c r="Y66" s="482"/>
      <c r="Z66" s="482"/>
      <c r="AA66" s="482"/>
      <c r="AB66" s="475"/>
      <c r="AC66" s="482"/>
      <c r="AD66" s="482"/>
      <c r="AE66" s="482"/>
      <c r="AF66" s="482"/>
      <c r="AG66" s="599"/>
    </row>
    <row r="67" spans="1:35" ht="21.95" customHeight="1" x14ac:dyDescent="0.2">
      <c r="A67" s="360"/>
      <c r="B67" s="600" t="s">
        <v>530</v>
      </c>
      <c r="C67" s="601"/>
      <c r="D67" s="602">
        <v>8</v>
      </c>
      <c r="E67" s="603"/>
      <c r="F67" s="604" t="s">
        <v>28</v>
      </c>
      <c r="G67" s="605">
        <v>8</v>
      </c>
      <c r="H67" s="606"/>
      <c r="I67" s="604"/>
      <c r="J67" s="605">
        <v>8</v>
      </c>
      <c r="K67" s="606"/>
      <c r="L67" s="604" t="s">
        <v>28</v>
      </c>
      <c r="M67" s="605">
        <v>8</v>
      </c>
      <c r="N67" s="606"/>
      <c r="O67" s="604"/>
      <c r="P67" s="607">
        <v>5</v>
      </c>
      <c r="Q67" s="606"/>
      <c r="R67" s="608"/>
      <c r="S67" s="350"/>
      <c r="T67" s="603"/>
      <c r="U67" s="608"/>
      <c r="V67" s="350"/>
      <c r="W67" s="603"/>
      <c r="X67" s="608"/>
      <c r="Y67" s="350">
        <v>37</v>
      </c>
      <c r="Z67" s="350"/>
      <c r="AA67" s="350"/>
      <c r="AB67" s="351"/>
      <c r="AC67" s="350"/>
      <c r="AD67" s="350"/>
      <c r="AE67" s="350"/>
      <c r="AF67" s="350"/>
      <c r="AG67" s="609"/>
    </row>
    <row r="68" spans="1:35" ht="21.95" customHeight="1" x14ac:dyDescent="0.2">
      <c r="A68" s="360"/>
      <c r="B68" s="360" t="s">
        <v>262</v>
      </c>
      <c r="C68" s="360"/>
      <c r="D68" s="360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/>
      <c r="P68" s="360"/>
      <c r="Q68" s="360"/>
      <c r="R68" s="360"/>
      <c r="S68" s="360"/>
      <c r="T68" s="360"/>
      <c r="U68" s="360"/>
      <c r="V68" s="360"/>
      <c r="W68" s="360"/>
      <c r="X68" s="360"/>
      <c r="Y68" s="360"/>
      <c r="Z68" s="360"/>
      <c r="AA68" s="360"/>
      <c r="AB68" s="360"/>
      <c r="AC68" s="360"/>
      <c r="AD68" s="360"/>
      <c r="AE68" s="360"/>
      <c r="AF68" s="360"/>
      <c r="AG68" s="360"/>
    </row>
    <row r="69" spans="1:35" ht="21.95" customHeight="1" x14ac:dyDescent="0.2">
      <c r="A69" s="585" t="s">
        <v>468</v>
      </c>
      <c r="B69" s="296" t="s">
        <v>469</v>
      </c>
      <c r="C69" s="177">
        <v>1</v>
      </c>
      <c r="D69" s="497">
        <v>2</v>
      </c>
      <c r="E69" s="497">
        <v>3</v>
      </c>
      <c r="F69" s="177">
        <v>4</v>
      </c>
      <c r="G69" s="177">
        <v>5</v>
      </c>
      <c r="H69" s="177">
        <v>6</v>
      </c>
      <c r="I69" s="177">
        <v>7</v>
      </c>
      <c r="J69" s="177">
        <v>8</v>
      </c>
      <c r="K69" s="497">
        <v>9</v>
      </c>
      <c r="L69" s="497">
        <v>10</v>
      </c>
      <c r="M69" s="177">
        <v>11</v>
      </c>
      <c r="N69" s="177">
        <v>12</v>
      </c>
      <c r="O69" s="177">
        <v>13</v>
      </c>
      <c r="P69" s="177">
        <v>14</v>
      </c>
      <c r="Q69" s="177">
        <v>15</v>
      </c>
      <c r="R69" s="497">
        <v>16</v>
      </c>
      <c r="S69" s="497">
        <v>17</v>
      </c>
      <c r="T69" s="177">
        <v>18</v>
      </c>
      <c r="U69" s="177">
        <v>19</v>
      </c>
      <c r="V69" s="177">
        <v>20</v>
      </c>
      <c r="W69" s="177">
        <v>21</v>
      </c>
      <c r="X69" s="177">
        <v>22</v>
      </c>
      <c r="Y69" s="497">
        <v>23</v>
      </c>
      <c r="Z69" s="497">
        <v>24</v>
      </c>
      <c r="AA69" s="177">
        <v>25</v>
      </c>
      <c r="AB69" s="177">
        <v>26</v>
      </c>
      <c r="AC69" s="177">
        <v>27</v>
      </c>
      <c r="AD69" s="177">
        <v>28</v>
      </c>
      <c r="AE69" s="177">
        <v>29</v>
      </c>
      <c r="AF69" s="497">
        <v>30</v>
      </c>
      <c r="AG69" s="177">
        <v>31</v>
      </c>
      <c r="AH69" s="499" t="s">
        <v>470</v>
      </c>
      <c r="AI69" s="500" t="s">
        <v>471</v>
      </c>
    </row>
    <row r="70" spans="1:35" ht="21.95" customHeight="1" x14ac:dyDescent="0.2">
      <c r="A70" s="185">
        <v>8514</v>
      </c>
      <c r="B70" s="598"/>
      <c r="C70" s="503"/>
      <c r="D70" s="503"/>
      <c r="E70" s="503"/>
      <c r="F70" s="503"/>
      <c r="G70" s="503"/>
      <c r="H70" s="503"/>
      <c r="I70" s="503"/>
      <c r="J70" s="503"/>
      <c r="K70" s="503"/>
      <c r="L70" s="503"/>
      <c r="M70" s="503"/>
      <c r="N70" s="503"/>
      <c r="O70" s="503"/>
      <c r="P70" s="503"/>
      <c r="Q70" s="503"/>
      <c r="R70" s="503"/>
      <c r="S70" s="503"/>
      <c r="T70" s="503"/>
      <c r="U70" s="503"/>
      <c r="V70" s="503"/>
      <c r="W70" s="503"/>
      <c r="X70" s="503"/>
      <c r="Y70" s="503"/>
      <c r="Z70" s="503"/>
      <c r="AA70" s="503"/>
      <c r="AB70" s="503"/>
      <c r="AC70" s="503"/>
      <c r="AD70" s="503"/>
      <c r="AE70" s="503"/>
      <c r="AF70" s="503"/>
      <c r="AG70" s="503"/>
      <c r="AH70" s="505">
        <v>162</v>
      </c>
      <c r="AI70" s="506">
        <v>37</v>
      </c>
    </row>
    <row r="71" spans="1:35" ht="21.95" customHeight="1" x14ac:dyDescent="0.2">
      <c r="A71" s="589"/>
      <c r="C71" s="590"/>
      <c r="D71" s="590"/>
      <c r="E71" s="590"/>
      <c r="F71" s="590"/>
      <c r="G71" s="590"/>
      <c r="H71" s="590"/>
      <c r="I71" s="590"/>
      <c r="J71" s="590"/>
      <c r="K71" s="590"/>
      <c r="L71" s="590"/>
      <c r="M71" s="590"/>
      <c r="N71" s="590"/>
      <c r="O71" s="590"/>
      <c r="P71" s="590"/>
      <c r="Q71" s="590"/>
      <c r="R71" s="590"/>
      <c r="S71" s="590"/>
      <c r="T71" s="590"/>
      <c r="U71" s="590"/>
      <c r="V71" s="590"/>
      <c r="W71" s="590"/>
      <c r="X71" s="590"/>
      <c r="Y71" s="590"/>
      <c r="Z71" s="590"/>
      <c r="AA71" s="590"/>
      <c r="AB71" s="590"/>
      <c r="AC71" s="590"/>
      <c r="AD71" s="590"/>
      <c r="AE71" s="590"/>
      <c r="AF71" s="590"/>
      <c r="AG71" s="590"/>
      <c r="AH71" s="591"/>
      <c r="AI71" s="591"/>
    </row>
    <row r="72" spans="1:35" ht="21.95" customHeight="1" x14ac:dyDescent="0.2">
      <c r="A72" s="360"/>
      <c r="B72" s="23" t="s">
        <v>532</v>
      </c>
      <c r="C72" s="7"/>
      <c r="D72" s="413" t="s">
        <v>2</v>
      </c>
      <c r="E72" s="572"/>
      <c r="F72" s="7"/>
      <c r="G72" s="6" t="s">
        <v>3</v>
      </c>
      <c r="H72" s="573"/>
      <c r="I72" s="118"/>
      <c r="J72" s="6" t="s">
        <v>4</v>
      </c>
      <c r="K72" s="412"/>
      <c r="L72" s="118"/>
      <c r="M72" s="119" t="s">
        <v>5</v>
      </c>
      <c r="N72" s="412"/>
      <c r="O72" s="118"/>
      <c r="P72" s="6" t="s">
        <v>6</v>
      </c>
      <c r="Q72" s="574"/>
      <c r="R72" s="118"/>
      <c r="S72" s="6" t="s">
        <v>7</v>
      </c>
      <c r="T72" s="575"/>
      <c r="U72" s="118"/>
      <c r="V72" s="6" t="s">
        <v>8</v>
      </c>
      <c r="W72" s="574"/>
      <c r="X72" s="348" t="s">
        <v>9</v>
      </c>
      <c r="Y72" s="593"/>
      <c r="Z72" s="593"/>
      <c r="AA72" s="594"/>
      <c r="AB72" s="27" t="s">
        <v>10</v>
      </c>
      <c r="AC72" s="576"/>
      <c r="AD72" s="576"/>
      <c r="AE72" s="595"/>
      <c r="AF72" s="595"/>
      <c r="AG72" s="596"/>
    </row>
    <row r="73" spans="1:35" ht="21.95" customHeight="1" x14ac:dyDescent="0.2">
      <c r="A73" s="360"/>
      <c r="B73" s="305" t="s">
        <v>533</v>
      </c>
      <c r="C73" s="598" t="s">
        <v>534</v>
      </c>
      <c r="D73" s="482"/>
      <c r="E73" s="483"/>
      <c r="F73" s="598" t="s">
        <v>534</v>
      </c>
      <c r="G73" s="482"/>
      <c r="H73" s="483"/>
      <c r="I73" s="598" t="s">
        <v>534</v>
      </c>
      <c r="J73" s="482"/>
      <c r="K73" s="483"/>
      <c r="L73" s="598" t="s">
        <v>534</v>
      </c>
      <c r="M73" s="482"/>
      <c r="N73" s="483"/>
      <c r="O73" s="598" t="s">
        <v>116</v>
      </c>
      <c r="P73" s="482"/>
      <c r="Q73" s="483"/>
      <c r="R73" s="598"/>
      <c r="S73" s="482"/>
      <c r="T73" s="483"/>
      <c r="U73" s="598"/>
      <c r="V73" s="482"/>
      <c r="W73" s="483"/>
      <c r="X73" s="598"/>
      <c r="Y73" s="482"/>
      <c r="Z73" s="482"/>
      <c r="AA73" s="482"/>
      <c r="AB73" s="475"/>
      <c r="AC73" s="482"/>
      <c r="AD73" s="482"/>
      <c r="AE73" s="482"/>
      <c r="AF73" s="482"/>
      <c r="AG73" s="599"/>
    </row>
    <row r="74" spans="1:35" ht="21.95" customHeight="1" x14ac:dyDescent="0.2">
      <c r="A74" s="360"/>
      <c r="B74" s="305" t="s">
        <v>535</v>
      </c>
      <c r="C74" s="598" t="s">
        <v>147</v>
      </c>
      <c r="D74" s="482"/>
      <c r="E74" s="483"/>
      <c r="F74" s="598" t="s">
        <v>147</v>
      </c>
      <c r="G74" s="482"/>
      <c r="H74" s="483"/>
      <c r="I74" s="598" t="s">
        <v>147</v>
      </c>
      <c r="J74" s="482"/>
      <c r="K74" s="483"/>
      <c r="L74" s="598" t="s">
        <v>147</v>
      </c>
      <c r="M74" s="482"/>
      <c r="N74" s="483"/>
      <c r="O74" s="598" t="s">
        <v>536</v>
      </c>
      <c r="P74" s="482"/>
      <c r="Q74" s="483"/>
      <c r="R74" s="598"/>
      <c r="S74" s="482"/>
      <c r="T74" s="483"/>
      <c r="U74" s="598"/>
      <c r="V74" s="482"/>
      <c r="W74" s="483"/>
      <c r="X74" s="598"/>
      <c r="Y74" s="482"/>
      <c r="Z74" s="482"/>
      <c r="AA74" s="482"/>
      <c r="AB74" s="475"/>
      <c r="AC74" s="482"/>
      <c r="AD74" s="482"/>
      <c r="AE74" s="482"/>
      <c r="AF74" s="482"/>
      <c r="AG74" s="599"/>
    </row>
    <row r="75" spans="1:35" ht="21.95" customHeight="1" x14ac:dyDescent="0.2">
      <c r="A75" s="360"/>
      <c r="B75" s="69"/>
      <c r="C75" s="360"/>
      <c r="D75" s="360"/>
      <c r="E75" s="360"/>
      <c r="F75" s="360"/>
      <c r="G75" s="360"/>
      <c r="H75" s="360"/>
      <c r="I75" s="360"/>
      <c r="J75" s="360"/>
      <c r="K75" s="360"/>
      <c r="L75" s="360"/>
      <c r="M75" s="360"/>
      <c r="N75" s="360"/>
      <c r="O75" s="360"/>
      <c r="P75" s="360"/>
      <c r="Q75" s="360"/>
      <c r="R75" s="360"/>
      <c r="S75" s="360"/>
      <c r="T75" s="360"/>
      <c r="U75" s="360"/>
      <c r="V75" s="360"/>
      <c r="W75" s="360"/>
      <c r="X75" s="360"/>
      <c r="Y75" s="360"/>
      <c r="Z75" s="360"/>
      <c r="AA75" s="360"/>
      <c r="AB75" s="360"/>
      <c r="AC75" s="360"/>
      <c r="AD75" s="360"/>
      <c r="AE75" s="360"/>
      <c r="AF75" s="360"/>
      <c r="AG75" s="360"/>
    </row>
    <row r="76" spans="1:35" ht="21.95" customHeight="1" x14ac:dyDescent="0.2">
      <c r="A76" s="585" t="s">
        <v>468</v>
      </c>
      <c r="B76" s="296" t="s">
        <v>469</v>
      </c>
      <c r="C76" s="177">
        <v>1</v>
      </c>
      <c r="D76" s="497">
        <v>2</v>
      </c>
      <c r="E76" s="497">
        <v>3</v>
      </c>
      <c r="F76" s="177">
        <v>4</v>
      </c>
      <c r="G76" s="177">
        <v>5</v>
      </c>
      <c r="H76" s="177">
        <v>6</v>
      </c>
      <c r="I76" s="177">
        <v>7</v>
      </c>
      <c r="J76" s="177">
        <v>8</v>
      </c>
      <c r="K76" s="497">
        <v>9</v>
      </c>
      <c r="L76" s="497">
        <v>10</v>
      </c>
      <c r="M76" s="177">
        <v>11</v>
      </c>
      <c r="N76" s="177">
        <v>12</v>
      </c>
      <c r="O76" s="177">
        <v>13</v>
      </c>
      <c r="P76" s="177">
        <v>14</v>
      </c>
      <c r="Q76" s="177">
        <v>15</v>
      </c>
      <c r="R76" s="497">
        <v>16</v>
      </c>
      <c r="S76" s="497">
        <v>17</v>
      </c>
      <c r="T76" s="177">
        <v>18</v>
      </c>
      <c r="U76" s="177">
        <v>19</v>
      </c>
      <c r="V76" s="177">
        <v>20</v>
      </c>
      <c r="W76" s="177">
        <v>21</v>
      </c>
      <c r="X76" s="177">
        <v>22</v>
      </c>
      <c r="Y76" s="497">
        <v>23</v>
      </c>
      <c r="Z76" s="497">
        <v>24</v>
      </c>
      <c r="AA76" s="177">
        <v>25</v>
      </c>
      <c r="AB76" s="177">
        <v>26</v>
      </c>
      <c r="AC76" s="177">
        <v>27</v>
      </c>
      <c r="AD76" s="177">
        <v>28</v>
      </c>
      <c r="AE76" s="177">
        <v>29</v>
      </c>
      <c r="AF76" s="497">
        <v>30</v>
      </c>
      <c r="AG76" s="497">
        <v>31</v>
      </c>
      <c r="AH76" s="499" t="s">
        <v>470</v>
      </c>
      <c r="AI76" s="500" t="s">
        <v>471</v>
      </c>
    </row>
    <row r="77" spans="1:35" ht="21.95" customHeight="1" x14ac:dyDescent="0.2">
      <c r="A77" s="185">
        <v>8520</v>
      </c>
      <c r="B77" s="185" t="s">
        <v>537</v>
      </c>
      <c r="C77" s="521" t="s">
        <v>538</v>
      </c>
      <c r="D77" s="521"/>
      <c r="E77" s="553"/>
      <c r="F77" s="553" t="s">
        <v>538</v>
      </c>
      <c r="G77" s="553" t="s">
        <v>538</v>
      </c>
      <c r="H77" s="553" t="s">
        <v>538</v>
      </c>
      <c r="I77" s="553" t="s">
        <v>538</v>
      </c>
      <c r="J77" s="553" t="s">
        <v>538</v>
      </c>
      <c r="K77" s="553"/>
      <c r="L77" s="553"/>
      <c r="M77" s="1064" t="s">
        <v>538</v>
      </c>
      <c r="N77" s="1064" t="s">
        <v>538</v>
      </c>
      <c r="O77" s="1064" t="s">
        <v>538</v>
      </c>
      <c r="P77" s="1064" t="s">
        <v>538</v>
      </c>
      <c r="Q77" s="1064" t="s">
        <v>538</v>
      </c>
      <c r="R77" s="1064"/>
      <c r="S77" s="1064"/>
      <c r="T77" s="1064" t="s">
        <v>538</v>
      </c>
      <c r="U77" s="1064" t="s">
        <v>538</v>
      </c>
      <c r="V77" s="1064" t="s">
        <v>538</v>
      </c>
      <c r="W77" s="1064" t="s">
        <v>538</v>
      </c>
      <c r="X77" s="1064" t="s">
        <v>538</v>
      </c>
      <c r="Y77" s="1064"/>
      <c r="Z77" s="1064"/>
      <c r="AA77" s="1064" t="s">
        <v>538</v>
      </c>
      <c r="AB77" s="1064" t="s">
        <v>538</v>
      </c>
      <c r="AC77" s="1064" t="s">
        <v>538</v>
      </c>
      <c r="AD77" s="1064" t="s">
        <v>538</v>
      </c>
      <c r="AE77" s="1064" t="s">
        <v>538</v>
      </c>
      <c r="AF77" s="1064"/>
      <c r="AG77" s="1064"/>
      <c r="AH77" s="505">
        <v>111</v>
      </c>
      <c r="AI77" s="506">
        <v>37</v>
      </c>
    </row>
    <row r="78" spans="1:35" ht="21.95" customHeight="1" x14ac:dyDescent="0.2">
      <c r="A78" s="185">
        <v>8521</v>
      </c>
      <c r="B78" s="185" t="s">
        <v>539</v>
      </c>
      <c r="C78" s="1064" t="s">
        <v>540</v>
      </c>
      <c r="D78" s="1059"/>
      <c r="E78" s="1059"/>
      <c r="F78" s="1059" t="s">
        <v>540</v>
      </c>
      <c r="G78" s="1059" t="s">
        <v>540</v>
      </c>
      <c r="H78" s="1059" t="s">
        <v>540</v>
      </c>
      <c r="I78" s="1059" t="s">
        <v>540</v>
      </c>
      <c r="J78" s="1059" t="s">
        <v>540</v>
      </c>
      <c r="K78" s="1059"/>
      <c r="L78" s="1059"/>
      <c r="M78" s="503" t="s">
        <v>540</v>
      </c>
      <c r="N78" s="503" t="s">
        <v>540</v>
      </c>
      <c r="O78" s="503" t="s">
        <v>540</v>
      </c>
      <c r="P78" s="503" t="s">
        <v>540</v>
      </c>
      <c r="Q78" s="503" t="s">
        <v>540</v>
      </c>
      <c r="R78" s="503"/>
      <c r="S78" s="1452"/>
      <c r="T78" s="503" t="s">
        <v>540</v>
      </c>
      <c r="U78" s="503" t="s">
        <v>540</v>
      </c>
      <c r="V78" s="503" t="s">
        <v>540</v>
      </c>
      <c r="W78" s="503" t="s">
        <v>540</v>
      </c>
      <c r="X78" s="503" t="s">
        <v>540</v>
      </c>
      <c r="Y78" s="503"/>
      <c r="Z78" s="503"/>
      <c r="AA78" s="503" t="s">
        <v>540</v>
      </c>
      <c r="AB78" s="503" t="s">
        <v>540</v>
      </c>
      <c r="AC78" s="503" t="s">
        <v>540</v>
      </c>
      <c r="AD78" s="503" t="s">
        <v>540</v>
      </c>
      <c r="AE78" s="503" t="s">
        <v>540</v>
      </c>
      <c r="AF78" s="503"/>
      <c r="AG78" s="503"/>
      <c r="AH78" s="505">
        <v>74</v>
      </c>
      <c r="AI78" s="506">
        <v>37</v>
      </c>
    </row>
    <row r="79" spans="1:35" ht="21.95" customHeight="1" x14ac:dyDescent="0.2">
      <c r="A79" s="360"/>
      <c r="B79" s="360"/>
      <c r="C79" s="546"/>
      <c r="D79" s="525"/>
      <c r="E79" s="525"/>
      <c r="F79" s="525"/>
      <c r="G79" s="525"/>
      <c r="H79" s="525"/>
      <c r="I79" s="525"/>
      <c r="J79" s="525"/>
      <c r="K79" s="525"/>
      <c r="L79" s="525"/>
      <c r="M79" s="525"/>
      <c r="N79" s="525"/>
      <c r="O79" s="525"/>
      <c r="P79" s="525"/>
      <c r="Q79" s="525"/>
      <c r="R79" s="525"/>
      <c r="S79" s="525"/>
      <c r="T79" s="525"/>
      <c r="U79" s="525"/>
      <c r="V79" s="525"/>
      <c r="W79" s="525"/>
      <c r="X79" s="525"/>
      <c r="Y79" s="525"/>
      <c r="Z79" s="525"/>
      <c r="AA79" s="525"/>
      <c r="AB79" s="525"/>
      <c r="AC79" s="525"/>
      <c r="AD79" s="525"/>
      <c r="AE79" s="525"/>
      <c r="AF79" s="525"/>
      <c r="AG79" s="525"/>
      <c r="AH79" s="591"/>
      <c r="AI79" s="591"/>
    </row>
    <row r="80" spans="1:35" ht="21.95" customHeight="1" x14ac:dyDescent="0.2">
      <c r="A80" s="360"/>
      <c r="B80" s="360"/>
      <c r="C80" s="546"/>
      <c r="D80" s="525"/>
      <c r="E80" s="525"/>
      <c r="F80" s="525"/>
      <c r="G80" s="525"/>
      <c r="H80" s="525"/>
      <c r="I80" s="525"/>
      <c r="J80" s="525"/>
      <c r="K80" s="525"/>
      <c r="L80" s="525"/>
      <c r="M80" s="525"/>
      <c r="N80" s="525"/>
      <c r="O80" s="525"/>
      <c r="P80" s="525"/>
      <c r="Q80" s="525"/>
      <c r="R80" s="525"/>
      <c r="S80" s="525"/>
      <c r="T80" s="525"/>
      <c r="U80" s="525"/>
      <c r="V80" s="525"/>
      <c r="W80" s="525"/>
      <c r="X80" s="525"/>
      <c r="Y80" s="525"/>
      <c r="Z80" s="525"/>
      <c r="AA80" s="525"/>
      <c r="AB80" s="525"/>
      <c r="AC80" s="525"/>
      <c r="AD80" s="525"/>
      <c r="AE80" s="525"/>
      <c r="AF80" s="525"/>
      <c r="AG80" s="525"/>
      <c r="AH80" s="591"/>
      <c r="AI80" s="591"/>
    </row>
    <row r="81" spans="1:35" ht="21.95" customHeight="1" x14ac:dyDescent="0.2">
      <c r="A81" s="360"/>
      <c r="B81" s="360"/>
      <c r="C81" s="546"/>
      <c r="D81" s="525"/>
      <c r="E81" s="525"/>
      <c r="F81" s="525"/>
      <c r="G81" s="525"/>
      <c r="H81" s="525"/>
      <c r="I81" s="525"/>
      <c r="J81" s="525"/>
      <c r="K81" s="525"/>
      <c r="L81" s="525"/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25"/>
      <c r="X81" s="525"/>
      <c r="Y81" s="525"/>
      <c r="Z81" s="525"/>
      <c r="AA81" s="525"/>
      <c r="AB81" s="525"/>
      <c r="AC81" s="525"/>
      <c r="AD81" s="525"/>
      <c r="AE81" s="525"/>
      <c r="AF81" s="525"/>
      <c r="AG81" s="525"/>
      <c r="AH81" s="591"/>
      <c r="AI81" s="591"/>
    </row>
    <row r="82" spans="1:35" ht="21.95" customHeight="1" x14ac:dyDescent="0.2">
      <c r="A82" s="1" t="s">
        <v>541</v>
      </c>
      <c r="D82" s="360"/>
      <c r="E82" s="360"/>
      <c r="F82" s="360"/>
      <c r="G82" s="57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1"/>
      <c r="B83" s="23" t="s">
        <v>542</v>
      </c>
      <c r="C83" s="7"/>
      <c r="D83" s="530" t="s">
        <v>2</v>
      </c>
      <c r="E83" s="51"/>
      <c r="F83" s="573"/>
      <c r="G83" s="7"/>
      <c r="H83" s="530" t="s">
        <v>3</v>
      </c>
      <c r="I83" s="51"/>
      <c r="J83" s="573"/>
      <c r="K83" s="7"/>
      <c r="L83" s="530" t="s">
        <v>4</v>
      </c>
      <c r="M83" s="51"/>
      <c r="N83" s="573"/>
      <c r="O83" s="7"/>
      <c r="P83" s="530" t="s">
        <v>5</v>
      </c>
      <c r="Q83" s="51"/>
      <c r="R83" s="573"/>
      <c r="S83" s="7"/>
      <c r="T83" s="530" t="s">
        <v>6</v>
      </c>
      <c r="U83" s="51"/>
      <c r="V83" s="573"/>
      <c r="W83" s="7"/>
      <c r="X83" s="530" t="s">
        <v>7</v>
      </c>
      <c r="Y83" s="51"/>
      <c r="Z83" s="573"/>
      <c r="AA83" s="7"/>
      <c r="AB83" s="530" t="s">
        <v>8</v>
      </c>
      <c r="AC83" s="51"/>
      <c r="AD83" s="51"/>
      <c r="AE83" s="348" t="s">
        <v>9</v>
      </c>
      <c r="AF83" s="51"/>
      <c r="AG83" s="51"/>
      <c r="AH83" s="51"/>
      <c r="AI83" s="531"/>
    </row>
    <row r="84" spans="1:35" ht="21.95" customHeight="1" x14ac:dyDescent="0.2">
      <c r="A84" s="1"/>
      <c r="B84" s="129" t="s">
        <v>324</v>
      </c>
      <c r="C84" s="611" t="s">
        <v>543</v>
      </c>
      <c r="E84" s="156"/>
      <c r="F84" s="612"/>
      <c r="G84" s="611" t="s">
        <v>543</v>
      </c>
      <c r="H84" s="156"/>
      <c r="I84" s="156"/>
      <c r="J84" s="612"/>
      <c r="K84" s="611" t="s">
        <v>543</v>
      </c>
      <c r="L84" s="156"/>
      <c r="M84" s="156"/>
      <c r="N84" s="612"/>
      <c r="O84" s="611" t="s">
        <v>543</v>
      </c>
      <c r="P84" s="156"/>
      <c r="Q84" s="156"/>
      <c r="R84" s="612"/>
      <c r="S84" s="611" t="s">
        <v>544</v>
      </c>
      <c r="T84" s="156"/>
      <c r="U84" s="156"/>
      <c r="V84" s="613"/>
      <c r="W84" s="1055"/>
      <c r="X84" s="1056"/>
      <c r="Y84" s="1056"/>
      <c r="Z84" s="1057"/>
      <c r="AA84" s="613"/>
      <c r="AB84" s="156"/>
      <c r="AC84" s="156"/>
      <c r="AD84" s="613"/>
      <c r="AE84" s="121">
        <v>37</v>
      </c>
      <c r="AG84" s="156"/>
      <c r="AH84" s="613"/>
      <c r="AI84" s="489"/>
    </row>
    <row r="85" spans="1:35" ht="21.95" customHeight="1" x14ac:dyDescent="0.2">
      <c r="A85" s="1"/>
      <c r="B85" s="129" t="s">
        <v>325</v>
      </c>
      <c r="C85" s="611" t="s">
        <v>545</v>
      </c>
      <c r="D85" s="156"/>
      <c r="E85" s="156"/>
      <c r="F85" s="612"/>
      <c r="G85" s="611" t="s">
        <v>545</v>
      </c>
      <c r="H85" s="156"/>
      <c r="I85" s="156"/>
      <c r="J85" s="612"/>
      <c r="K85" s="611" t="s">
        <v>545</v>
      </c>
      <c r="L85" s="156"/>
      <c r="M85" s="156"/>
      <c r="N85" s="612"/>
      <c r="O85" s="611" t="s">
        <v>545</v>
      </c>
      <c r="P85" s="156"/>
      <c r="Q85" s="156"/>
      <c r="R85" s="612"/>
      <c r="S85" s="611" t="s">
        <v>546</v>
      </c>
      <c r="T85" s="156"/>
      <c r="U85" s="156"/>
      <c r="V85" s="612"/>
      <c r="W85" s="660" t="s">
        <v>547</v>
      </c>
      <c r="X85" s="55"/>
      <c r="Y85" s="55"/>
      <c r="Z85" s="55"/>
      <c r="AA85" s="611" t="s">
        <v>548</v>
      </c>
      <c r="AB85" s="611"/>
      <c r="AC85" s="611"/>
      <c r="AD85" s="611"/>
      <c r="AE85" s="154">
        <v>68.25</v>
      </c>
      <c r="AF85" s="156"/>
      <c r="AG85" s="615"/>
      <c r="AH85" s="616"/>
      <c r="AI85" s="617"/>
    </row>
    <row r="86" spans="1:35" ht="21.95" customHeight="1" x14ac:dyDescent="0.2">
      <c r="A86" s="1"/>
      <c r="B86" s="129" t="s">
        <v>326</v>
      </c>
      <c r="C86" s="1053" t="s">
        <v>167</v>
      </c>
      <c r="D86" s="156"/>
      <c r="E86" s="156"/>
      <c r="F86" s="612"/>
      <c r="G86" s="156" t="s">
        <v>167</v>
      </c>
      <c r="H86" s="156"/>
      <c r="I86" s="156"/>
      <c r="J86" s="612"/>
      <c r="K86" s="156" t="s">
        <v>167</v>
      </c>
      <c r="L86" s="156"/>
      <c r="M86" s="156"/>
      <c r="N86" s="612"/>
      <c r="O86" s="156" t="s">
        <v>167</v>
      </c>
      <c r="P86" s="156"/>
      <c r="Q86" s="156"/>
      <c r="R86" s="612"/>
      <c r="S86" s="156" t="s">
        <v>167</v>
      </c>
      <c r="T86" s="156"/>
      <c r="U86" s="156"/>
      <c r="V86" s="612"/>
      <c r="W86" s="611"/>
      <c r="X86" s="156"/>
      <c r="Y86" s="156"/>
      <c r="Z86" s="612"/>
      <c r="AA86" s="611"/>
      <c r="AB86" s="156"/>
      <c r="AC86" s="156"/>
      <c r="AD86" s="613"/>
      <c r="AE86" s="614">
        <v>0</v>
      </c>
      <c r="AF86" s="615"/>
      <c r="AG86" s="156"/>
      <c r="AH86" s="613"/>
      <c r="AI86" s="489"/>
    </row>
    <row r="87" spans="1:35" ht="21.95" customHeight="1" x14ac:dyDescent="0.2">
      <c r="A87" s="1"/>
      <c r="B87" s="47"/>
      <c r="C87" s="618"/>
      <c r="D87" s="53"/>
      <c r="E87" s="53"/>
      <c r="F87" s="619"/>
      <c r="G87" s="618"/>
      <c r="H87" s="53"/>
      <c r="I87" s="53"/>
      <c r="J87" s="619"/>
      <c r="K87" s="618"/>
      <c r="L87" s="53"/>
      <c r="M87" s="53"/>
      <c r="N87" s="619"/>
      <c r="O87" s="618"/>
      <c r="P87" s="53"/>
      <c r="Q87" s="53"/>
      <c r="R87" s="619"/>
      <c r="S87" s="618"/>
      <c r="T87" s="53"/>
      <c r="U87" s="53"/>
      <c r="V87" s="619"/>
      <c r="W87" s="53"/>
      <c r="X87" s="53"/>
      <c r="Y87" s="53"/>
      <c r="Z87" s="53"/>
      <c r="AA87" s="53"/>
      <c r="AB87" s="53"/>
      <c r="AC87" s="53"/>
      <c r="AD87" s="53"/>
      <c r="AE87" s="581"/>
      <c r="AF87" s="53"/>
      <c r="AG87" s="53"/>
      <c r="AH87" s="620"/>
      <c r="AI87" s="544"/>
    </row>
    <row r="88" spans="1:35" ht="21.95" customHeight="1" x14ac:dyDescent="0.2">
      <c r="A88" s="621"/>
      <c r="B88" s="1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0"/>
      <c r="X88" s="360"/>
      <c r="Y88" s="360"/>
      <c r="Z88" s="360"/>
      <c r="AA88" s="360"/>
      <c r="AB88" s="360"/>
      <c r="AC88" s="360"/>
      <c r="AD88" s="360"/>
      <c r="AE88" s="360"/>
      <c r="AF88" s="360"/>
      <c r="AG88" s="360"/>
    </row>
    <row r="89" spans="1:35" ht="21.95" customHeight="1" x14ac:dyDescent="0.2">
      <c r="A89" s="585"/>
      <c r="B89" s="296" t="s">
        <v>469</v>
      </c>
      <c r="C89" s="177">
        <v>1</v>
      </c>
      <c r="D89" s="708">
        <v>2</v>
      </c>
      <c r="E89" s="708">
        <v>3</v>
      </c>
      <c r="F89" s="709">
        <v>4</v>
      </c>
      <c r="G89" s="709">
        <v>5</v>
      </c>
      <c r="H89" s="709">
        <v>6</v>
      </c>
      <c r="I89" s="709">
        <v>7</v>
      </c>
      <c r="J89" s="709">
        <v>8</v>
      </c>
      <c r="K89" s="708">
        <v>9</v>
      </c>
      <c r="L89" s="708">
        <v>10</v>
      </c>
      <c r="M89" s="709">
        <v>11</v>
      </c>
      <c r="N89" s="709">
        <v>12</v>
      </c>
      <c r="O89" s="709">
        <v>13</v>
      </c>
      <c r="P89" s="709">
        <v>14</v>
      </c>
      <c r="Q89" s="709">
        <v>15</v>
      </c>
      <c r="R89" s="708">
        <v>16</v>
      </c>
      <c r="S89" s="708">
        <v>17</v>
      </c>
      <c r="T89" s="709">
        <v>18</v>
      </c>
      <c r="U89" s="709">
        <v>19</v>
      </c>
      <c r="V89" s="709">
        <v>20</v>
      </c>
      <c r="W89" s="709">
        <v>21</v>
      </c>
      <c r="X89" s="709">
        <v>22</v>
      </c>
      <c r="Y89" s="708">
        <v>23</v>
      </c>
      <c r="Z89" s="708">
        <v>24</v>
      </c>
      <c r="AA89" s="709">
        <v>25</v>
      </c>
      <c r="AB89" s="709">
        <v>26</v>
      </c>
      <c r="AC89" s="709">
        <v>27</v>
      </c>
      <c r="AD89" s="709">
        <v>28</v>
      </c>
      <c r="AE89" s="709">
        <v>29</v>
      </c>
      <c r="AF89" s="708">
        <v>30</v>
      </c>
      <c r="AG89" s="497">
        <v>31</v>
      </c>
      <c r="AH89" s="499" t="s">
        <v>470</v>
      </c>
      <c r="AI89" s="500" t="s">
        <v>471</v>
      </c>
    </row>
    <row r="90" spans="1:35" ht="21.95" customHeight="1" x14ac:dyDescent="0.2">
      <c r="A90" s="622">
        <v>1</v>
      </c>
      <c r="B90" s="152" t="s">
        <v>549</v>
      </c>
      <c r="C90" s="587" t="s">
        <v>513</v>
      </c>
      <c r="D90" s="1085" t="s">
        <v>550</v>
      </c>
      <c r="E90" s="1085" t="s">
        <v>550</v>
      </c>
      <c r="F90" s="587" t="s">
        <v>475</v>
      </c>
      <c r="G90" s="587" t="s">
        <v>475</v>
      </c>
      <c r="H90" s="587" t="s">
        <v>475</v>
      </c>
      <c r="I90" s="587" t="s">
        <v>475</v>
      </c>
      <c r="J90" s="587" t="s">
        <v>475</v>
      </c>
      <c r="K90" s="587"/>
      <c r="L90" s="587"/>
      <c r="M90" s="587" t="s">
        <v>551</v>
      </c>
      <c r="N90" s="587" t="s">
        <v>551</v>
      </c>
      <c r="O90" s="587" t="s">
        <v>551</v>
      </c>
      <c r="P90" s="587" t="s">
        <v>551</v>
      </c>
      <c r="Q90" s="587" t="s">
        <v>551</v>
      </c>
      <c r="R90" s="587"/>
      <c r="S90" s="587"/>
      <c r="T90" s="587" t="s">
        <v>513</v>
      </c>
      <c r="U90" s="587" t="s">
        <v>513</v>
      </c>
      <c r="V90" s="587" t="s">
        <v>513</v>
      </c>
      <c r="W90" s="587" t="s">
        <v>513</v>
      </c>
      <c r="X90" s="587" t="s">
        <v>513</v>
      </c>
      <c r="Y90" s="587" t="s">
        <v>550</v>
      </c>
      <c r="Z90" s="587" t="s">
        <v>550</v>
      </c>
      <c r="AA90" s="587" t="s">
        <v>475</v>
      </c>
      <c r="AB90" s="587" t="s">
        <v>475</v>
      </c>
      <c r="AC90" s="587" t="s">
        <v>475</v>
      </c>
      <c r="AD90" s="587" t="s">
        <v>475</v>
      </c>
      <c r="AE90" s="587" t="s">
        <v>475</v>
      </c>
      <c r="AF90" s="587"/>
      <c r="AG90" s="587"/>
      <c r="AH90" s="505">
        <v>185</v>
      </c>
      <c r="AI90" s="506">
        <v>37</v>
      </c>
    </row>
    <row r="91" spans="1:35" ht="21.95" customHeight="1" x14ac:dyDescent="0.2">
      <c r="A91" s="622">
        <v>2</v>
      </c>
      <c r="B91" s="318" t="s">
        <v>553</v>
      </c>
      <c r="C91" s="587" t="s">
        <v>475</v>
      </c>
      <c r="D91" s="587"/>
      <c r="E91" s="587"/>
      <c r="F91" s="1060" t="s">
        <v>551</v>
      </c>
      <c r="G91" s="1060" t="s">
        <v>551</v>
      </c>
      <c r="H91" s="1060" t="s">
        <v>551</v>
      </c>
      <c r="I91" s="1060" t="s">
        <v>551</v>
      </c>
      <c r="J91" s="1060" t="s">
        <v>551</v>
      </c>
      <c r="K91" s="1060"/>
      <c r="L91" s="1060"/>
      <c r="M91" s="1060" t="s">
        <v>513</v>
      </c>
      <c r="N91" s="1060" t="s">
        <v>513</v>
      </c>
      <c r="O91" s="1060" t="s">
        <v>513</v>
      </c>
      <c r="P91" s="1060" t="s">
        <v>513</v>
      </c>
      <c r="Q91" s="1060" t="s">
        <v>513</v>
      </c>
      <c r="R91" s="1060" t="s">
        <v>550</v>
      </c>
      <c r="S91" s="1060" t="s">
        <v>550</v>
      </c>
      <c r="T91" s="1060" t="s">
        <v>475</v>
      </c>
      <c r="U91" s="1060" t="s">
        <v>475</v>
      </c>
      <c r="V91" s="1060" t="s">
        <v>475</v>
      </c>
      <c r="W91" s="1060" t="s">
        <v>475</v>
      </c>
      <c r="X91" s="1060" t="s">
        <v>475</v>
      </c>
      <c r="Y91" s="1060"/>
      <c r="Z91" s="1060"/>
      <c r="AA91" s="587" t="s">
        <v>551</v>
      </c>
      <c r="AB91" s="587" t="s">
        <v>552</v>
      </c>
      <c r="AC91" s="587" t="s">
        <v>552</v>
      </c>
      <c r="AD91" s="587" t="s">
        <v>482</v>
      </c>
      <c r="AE91" s="587" t="s">
        <v>482</v>
      </c>
      <c r="AF91" s="587"/>
      <c r="AG91" s="587"/>
      <c r="AH91" s="505">
        <v>185</v>
      </c>
      <c r="AI91" s="506">
        <v>37</v>
      </c>
    </row>
    <row r="92" spans="1:35" ht="21.95" customHeight="1" x14ac:dyDescent="0.2">
      <c r="A92" s="622">
        <v>3</v>
      </c>
      <c r="B92" s="552" t="s">
        <v>554</v>
      </c>
      <c r="C92" s="1439" t="s">
        <v>551</v>
      </c>
      <c r="D92" s="587"/>
      <c r="E92" s="587"/>
      <c r="F92" s="1060" t="s">
        <v>513</v>
      </c>
      <c r="G92" s="1060" t="s">
        <v>513</v>
      </c>
      <c r="H92" s="1060" t="s">
        <v>513</v>
      </c>
      <c r="I92" s="1060" t="s">
        <v>513</v>
      </c>
      <c r="J92" s="1060" t="s">
        <v>513</v>
      </c>
      <c r="K92" s="1060" t="s">
        <v>550</v>
      </c>
      <c r="L92" s="1060" t="s">
        <v>550</v>
      </c>
      <c r="M92" s="1060" t="s">
        <v>475</v>
      </c>
      <c r="N92" s="1060" t="s">
        <v>475</v>
      </c>
      <c r="O92" s="1060" t="s">
        <v>475</v>
      </c>
      <c r="P92" s="1060" t="s">
        <v>475</v>
      </c>
      <c r="Q92" s="1060" t="s">
        <v>475</v>
      </c>
      <c r="R92" s="1060"/>
      <c r="S92" s="1060"/>
      <c r="T92" s="1060" t="s">
        <v>551</v>
      </c>
      <c r="U92" s="1060" t="s">
        <v>551</v>
      </c>
      <c r="V92" s="1060" t="s">
        <v>551</v>
      </c>
      <c r="W92" s="1060" t="s">
        <v>551</v>
      </c>
      <c r="X92" s="1060" t="s">
        <v>551</v>
      </c>
      <c r="Y92" s="1060"/>
      <c r="Z92" s="1060"/>
      <c r="AA92" s="1091" t="s">
        <v>513</v>
      </c>
      <c r="AB92" s="1091" t="s">
        <v>513</v>
      </c>
      <c r="AC92" s="1091" t="s">
        <v>513</v>
      </c>
      <c r="AD92" s="1091" t="s">
        <v>513</v>
      </c>
      <c r="AE92" s="1091" t="s">
        <v>513</v>
      </c>
      <c r="AF92" s="1091" t="s">
        <v>550</v>
      </c>
      <c r="AG92" s="1091" t="s">
        <v>550</v>
      </c>
      <c r="AH92" s="505">
        <v>185</v>
      </c>
      <c r="AI92" s="506">
        <v>37</v>
      </c>
    </row>
    <row r="93" spans="1:35" ht="21.95" customHeight="1" x14ac:dyDescent="0.2"/>
    <row r="94" spans="1:35" ht="21.95" customHeight="1" x14ac:dyDescent="0.2">
      <c r="A94" s="623"/>
      <c r="B94" s="353"/>
      <c r="C94" s="590"/>
      <c r="D94" s="590"/>
      <c r="E94" s="590"/>
      <c r="F94" s="590"/>
      <c r="G94" s="590"/>
      <c r="H94" s="590"/>
      <c r="I94" s="590"/>
      <c r="J94" s="590"/>
      <c r="K94" s="590"/>
      <c r="L94" s="590"/>
      <c r="M94" s="590"/>
      <c r="N94" s="590"/>
      <c r="O94" s="590"/>
      <c r="P94" s="590"/>
      <c r="Q94" s="590"/>
      <c r="R94" s="590"/>
      <c r="S94" s="590"/>
      <c r="T94" s="590"/>
      <c r="U94" s="590"/>
      <c r="V94" s="590"/>
      <c r="W94" s="590"/>
      <c r="X94" s="590"/>
      <c r="Y94" s="590"/>
      <c r="Z94" s="590"/>
      <c r="AA94" s="590"/>
      <c r="AB94" s="590"/>
      <c r="AC94" s="590"/>
      <c r="AD94" s="590"/>
      <c r="AE94" s="590"/>
      <c r="AF94" s="590"/>
      <c r="AH94" s="591"/>
      <c r="AI94" s="591"/>
    </row>
    <row r="95" spans="1:35" ht="21.95" customHeight="1" x14ac:dyDescent="0.2">
      <c r="A95" s="1" t="s">
        <v>555</v>
      </c>
      <c r="D95" s="360"/>
      <c r="E95" s="360"/>
      <c r="F95" s="360"/>
      <c r="G95" s="57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1"/>
      <c r="B96" s="23" t="s">
        <v>556</v>
      </c>
      <c r="C96" s="7"/>
      <c r="D96" s="530" t="s">
        <v>2</v>
      </c>
      <c r="E96" s="51"/>
      <c r="F96" s="573"/>
      <c r="G96" s="7"/>
      <c r="H96" s="530" t="s">
        <v>3</v>
      </c>
      <c r="I96" s="51"/>
      <c r="J96" s="573"/>
      <c r="K96" s="7"/>
      <c r="L96" s="530" t="s">
        <v>4</v>
      </c>
      <c r="M96" s="51"/>
      <c r="N96" s="573"/>
      <c r="O96" s="7"/>
      <c r="P96" s="530" t="s">
        <v>5</v>
      </c>
      <c r="Q96" s="51"/>
      <c r="R96" s="573"/>
      <c r="S96" s="7"/>
      <c r="T96" s="530" t="s">
        <v>6</v>
      </c>
      <c r="U96" s="51"/>
      <c r="V96" s="573"/>
      <c r="W96" s="7"/>
      <c r="X96" s="530" t="s">
        <v>7</v>
      </c>
      <c r="Y96" s="51"/>
      <c r="Z96" s="573"/>
      <c r="AA96" s="7"/>
      <c r="AB96" s="530" t="s">
        <v>8</v>
      </c>
      <c r="AC96" s="51"/>
      <c r="AD96" s="51"/>
      <c r="AE96" s="424" t="s">
        <v>10</v>
      </c>
      <c r="AF96" s="51"/>
      <c r="AG96" s="51"/>
      <c r="AH96" s="51"/>
      <c r="AI96" s="531"/>
    </row>
    <row r="97" spans="1:38" ht="21.95" customHeight="1" x14ac:dyDescent="0.2">
      <c r="A97" s="1"/>
      <c r="B97" s="129" t="s">
        <v>324</v>
      </c>
      <c r="C97" s="611"/>
      <c r="D97" s="156" t="s">
        <v>167</v>
      </c>
      <c r="E97" s="156"/>
      <c r="F97" s="612"/>
      <c r="G97" s="611"/>
      <c r="H97" s="156" t="s">
        <v>167</v>
      </c>
      <c r="I97" s="156"/>
      <c r="J97" s="612"/>
      <c r="K97" s="611" t="s">
        <v>557</v>
      </c>
      <c r="L97" s="156"/>
      <c r="M97" s="156"/>
      <c r="N97" s="612"/>
      <c r="O97" s="611" t="s">
        <v>557</v>
      </c>
      <c r="P97" s="156"/>
      <c r="Q97" s="156"/>
      <c r="R97" s="612"/>
      <c r="S97" s="611" t="s">
        <v>557</v>
      </c>
      <c r="T97" s="156"/>
      <c r="U97" s="156"/>
      <c r="V97" s="612"/>
      <c r="W97" s="611" t="s">
        <v>558</v>
      </c>
      <c r="X97" s="624"/>
      <c r="Y97" s="624"/>
      <c r="Z97" s="625"/>
      <c r="AA97" s="611" t="s">
        <v>559</v>
      </c>
      <c r="AB97" s="156"/>
      <c r="AC97" s="156"/>
      <c r="AD97" s="613"/>
      <c r="AE97" s="128">
        <v>56</v>
      </c>
      <c r="AF97" s="156"/>
      <c r="AG97" s="156" t="s">
        <v>28</v>
      </c>
      <c r="AH97" s="613"/>
      <c r="AI97" s="489"/>
    </row>
    <row r="98" spans="1:38" ht="21.95" customHeight="1" x14ac:dyDescent="0.2">
      <c r="A98" s="1"/>
      <c r="B98" s="129" t="s">
        <v>325</v>
      </c>
      <c r="C98" s="611"/>
      <c r="D98" s="156" t="s">
        <v>167</v>
      </c>
      <c r="E98" s="156"/>
      <c r="F98" s="612"/>
      <c r="G98" s="611"/>
      <c r="H98" s="156" t="s">
        <v>167</v>
      </c>
      <c r="I98" s="156"/>
      <c r="J98" s="612"/>
      <c r="K98" s="611"/>
      <c r="L98" s="156" t="s">
        <v>167</v>
      </c>
      <c r="M98" s="156"/>
      <c r="N98" s="612"/>
      <c r="O98" s="611"/>
      <c r="P98" s="156" t="s">
        <v>167</v>
      </c>
      <c r="Q98" s="156"/>
      <c r="R98" s="612"/>
      <c r="S98" s="611"/>
      <c r="T98" s="156" t="s">
        <v>167</v>
      </c>
      <c r="U98" s="156"/>
      <c r="V98" s="612"/>
      <c r="W98" s="611"/>
      <c r="X98" s="156" t="s">
        <v>167</v>
      </c>
      <c r="Y98" s="156"/>
      <c r="Z98" s="612"/>
      <c r="AA98" s="156" t="s">
        <v>167</v>
      </c>
      <c r="AB98" s="156"/>
      <c r="AC98" s="156"/>
      <c r="AD98" s="613"/>
      <c r="AE98" s="128">
        <v>0</v>
      </c>
      <c r="AF98" s="156"/>
      <c r="AG98" s="156"/>
      <c r="AH98" s="613"/>
      <c r="AI98" s="489"/>
    </row>
    <row r="99" spans="1:38" ht="21.95" customHeight="1" x14ac:dyDescent="0.2">
      <c r="A99" s="1"/>
      <c r="B99" s="129" t="s">
        <v>326</v>
      </c>
      <c r="C99" s="611" t="s">
        <v>557</v>
      </c>
      <c r="D99" s="156"/>
      <c r="E99" s="156"/>
      <c r="F99" s="612"/>
      <c r="G99" s="611" t="s">
        <v>557</v>
      </c>
      <c r="H99" s="156"/>
      <c r="I99" s="156"/>
      <c r="J99" s="612"/>
      <c r="K99" s="121"/>
      <c r="L99" s="156" t="s">
        <v>167</v>
      </c>
      <c r="M99" s="156"/>
      <c r="N99" s="612"/>
      <c r="O99" s="121"/>
      <c r="P99" s="156" t="s">
        <v>167</v>
      </c>
      <c r="Q99" s="156"/>
      <c r="R99" s="612"/>
      <c r="S99" s="121"/>
      <c r="T99" s="156" t="s">
        <v>167</v>
      </c>
      <c r="U99" s="156"/>
      <c r="V99" s="612"/>
      <c r="W99" s="626" t="s">
        <v>560</v>
      </c>
      <c r="X99" s="134"/>
      <c r="Y99" s="134"/>
      <c r="Z99" s="627"/>
      <c r="AA99" s="626" t="s">
        <v>561</v>
      </c>
      <c r="AB99" s="134"/>
      <c r="AC99" s="134"/>
      <c r="AD99" s="628"/>
      <c r="AE99" s="128">
        <v>46</v>
      </c>
      <c r="AF99" s="156"/>
      <c r="AG99" s="156"/>
      <c r="AH99" s="613"/>
      <c r="AI99" s="489"/>
    </row>
    <row r="100" spans="1:38" ht="21.95" customHeight="1" x14ac:dyDescent="0.2">
      <c r="A100" s="1"/>
      <c r="B100" s="16" t="s">
        <v>236</v>
      </c>
      <c r="C100" s="618" t="s">
        <v>420</v>
      </c>
      <c r="D100" s="53"/>
      <c r="E100" s="53"/>
      <c r="F100" s="619"/>
      <c r="G100" s="618" t="s">
        <v>421</v>
      </c>
      <c r="H100" s="53"/>
      <c r="I100" s="53"/>
      <c r="J100" s="619"/>
      <c r="K100" s="618" t="s">
        <v>421</v>
      </c>
      <c r="L100" s="53"/>
      <c r="M100" s="53"/>
      <c r="N100" s="619"/>
      <c r="O100" s="618" t="s">
        <v>421</v>
      </c>
      <c r="P100" s="53"/>
      <c r="Q100" s="53"/>
      <c r="R100" s="619"/>
      <c r="S100" s="618" t="s">
        <v>422</v>
      </c>
      <c r="T100" s="53"/>
      <c r="U100" s="53"/>
      <c r="V100" s="620"/>
      <c r="W100" s="57"/>
      <c r="X100" s="620" t="s">
        <v>167</v>
      </c>
      <c r="Y100" s="53"/>
      <c r="Z100" s="619"/>
      <c r="AA100" s="57"/>
      <c r="AB100" s="620" t="s">
        <v>167</v>
      </c>
      <c r="AC100" s="53"/>
      <c r="AD100" s="619"/>
      <c r="AE100" s="629">
        <v>37.5</v>
      </c>
      <c r="AF100" s="53"/>
      <c r="AG100" s="53"/>
      <c r="AH100" s="620"/>
      <c r="AI100" s="544"/>
    </row>
    <row r="101" spans="1:38" ht="21.95" customHeight="1" x14ac:dyDescent="0.2">
      <c r="A101" s="621"/>
      <c r="B101" s="1"/>
      <c r="C101" s="360"/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60"/>
      <c r="Q101" s="360"/>
      <c r="R101" s="360"/>
      <c r="S101" s="360"/>
      <c r="T101" s="360"/>
      <c r="U101" s="360"/>
      <c r="V101" s="360"/>
      <c r="W101" s="360"/>
      <c r="X101" s="360"/>
      <c r="Y101" s="360"/>
      <c r="Z101" s="360"/>
      <c r="AA101" s="360"/>
      <c r="AB101" s="360"/>
      <c r="AC101" s="360"/>
      <c r="AD101" s="360"/>
      <c r="AE101" s="360"/>
      <c r="AF101" s="360"/>
      <c r="AG101" s="360"/>
    </row>
    <row r="102" spans="1:38" ht="21.95" customHeight="1" x14ac:dyDescent="0.2">
      <c r="A102" s="585"/>
      <c r="B102" s="296" t="s">
        <v>469</v>
      </c>
      <c r="C102" s="177">
        <v>1</v>
      </c>
      <c r="D102" s="708">
        <v>2</v>
      </c>
      <c r="E102" s="708">
        <v>3</v>
      </c>
      <c r="F102" s="709">
        <v>4</v>
      </c>
      <c r="G102" s="709">
        <v>5</v>
      </c>
      <c r="H102" s="709">
        <v>6</v>
      </c>
      <c r="I102" s="709">
        <v>7</v>
      </c>
      <c r="J102" s="709">
        <v>8</v>
      </c>
      <c r="K102" s="708">
        <v>9</v>
      </c>
      <c r="L102" s="708">
        <v>10</v>
      </c>
      <c r="M102" s="709">
        <v>11</v>
      </c>
      <c r="N102" s="709">
        <v>12</v>
      </c>
      <c r="O102" s="709">
        <v>13</v>
      </c>
      <c r="P102" s="709">
        <v>14</v>
      </c>
      <c r="Q102" s="709">
        <v>15</v>
      </c>
      <c r="R102" s="708">
        <v>16</v>
      </c>
      <c r="S102" s="708">
        <v>17</v>
      </c>
      <c r="T102" s="709">
        <v>18</v>
      </c>
      <c r="U102" s="709">
        <v>19</v>
      </c>
      <c r="V102" s="709">
        <v>20</v>
      </c>
      <c r="W102" s="709">
        <v>21</v>
      </c>
      <c r="X102" s="709">
        <v>22</v>
      </c>
      <c r="Y102" s="708">
        <v>23</v>
      </c>
      <c r="Z102" s="708">
        <v>24</v>
      </c>
      <c r="AA102" s="709">
        <v>25</v>
      </c>
      <c r="AB102" s="709">
        <v>26</v>
      </c>
      <c r="AC102" s="709">
        <v>27</v>
      </c>
      <c r="AD102" s="709">
        <v>28</v>
      </c>
      <c r="AE102" s="709">
        <v>29</v>
      </c>
      <c r="AF102" s="708">
        <v>30</v>
      </c>
      <c r="AG102" s="497">
        <v>31</v>
      </c>
      <c r="AH102" s="499" t="s">
        <v>470</v>
      </c>
      <c r="AI102" s="500" t="s">
        <v>471</v>
      </c>
      <c r="AL102" s="828"/>
    </row>
    <row r="103" spans="1:38" ht="21.95" customHeight="1" x14ac:dyDescent="0.2">
      <c r="A103" s="622">
        <v>1</v>
      </c>
      <c r="B103" s="318" t="s">
        <v>562</v>
      </c>
      <c r="C103" s="587" t="s">
        <v>475</v>
      </c>
      <c r="D103" s="587" t="s">
        <v>563</v>
      </c>
      <c r="E103" s="587" t="s">
        <v>564</v>
      </c>
      <c r="F103" s="1342" t="s">
        <v>565</v>
      </c>
      <c r="G103" s="587" t="s">
        <v>566</v>
      </c>
      <c r="H103" s="1085" t="s">
        <v>566</v>
      </c>
      <c r="I103" s="1085" t="s">
        <v>566</v>
      </c>
      <c r="J103" s="1085" t="s">
        <v>567</v>
      </c>
      <c r="K103" s="1341" t="s">
        <v>563</v>
      </c>
      <c r="L103" s="1341" t="s">
        <v>564</v>
      </c>
      <c r="M103" s="587" t="s">
        <v>475</v>
      </c>
      <c r="N103" s="587" t="s">
        <v>475</v>
      </c>
      <c r="O103" s="587" t="s">
        <v>522</v>
      </c>
      <c r="P103" s="587" t="s">
        <v>522</v>
      </c>
      <c r="Q103" s="587" t="s">
        <v>522</v>
      </c>
      <c r="R103" s="587" t="s">
        <v>568</v>
      </c>
      <c r="S103" s="587" t="s">
        <v>569</v>
      </c>
      <c r="T103" s="587" t="s">
        <v>475</v>
      </c>
      <c r="U103" s="587" t="s">
        <v>475</v>
      </c>
      <c r="V103" s="587" t="s">
        <v>475</v>
      </c>
      <c r="W103" s="587" t="s">
        <v>475</v>
      </c>
      <c r="X103" s="587" t="s">
        <v>475</v>
      </c>
      <c r="Y103" s="587" t="s">
        <v>475</v>
      </c>
      <c r="Z103" s="587" t="s">
        <v>475</v>
      </c>
      <c r="AA103" s="587" t="s">
        <v>522</v>
      </c>
      <c r="AB103" s="587" t="s">
        <v>522</v>
      </c>
      <c r="AC103" s="587" t="s">
        <v>475</v>
      </c>
      <c r="AD103" s="587" t="s">
        <v>475</v>
      </c>
      <c r="AE103" s="587" t="s">
        <v>475</v>
      </c>
      <c r="AF103" s="587" t="s">
        <v>563</v>
      </c>
      <c r="AG103" s="587" t="s">
        <v>564</v>
      </c>
      <c r="AH103" s="505">
        <v>139</v>
      </c>
      <c r="AI103" s="506">
        <v>37</v>
      </c>
    </row>
    <row r="104" spans="1:38" ht="21.95" customHeight="1" x14ac:dyDescent="0.2">
      <c r="A104" s="622">
        <v>2</v>
      </c>
      <c r="B104" s="318" t="s">
        <v>570</v>
      </c>
      <c r="C104" s="1083" t="s">
        <v>567</v>
      </c>
      <c r="D104" s="553" t="s">
        <v>475</v>
      </c>
      <c r="E104" s="587" t="s">
        <v>475</v>
      </c>
      <c r="F104" s="587" t="s">
        <v>475</v>
      </c>
      <c r="G104" s="587" t="s">
        <v>475</v>
      </c>
      <c r="H104" s="587" t="s">
        <v>522</v>
      </c>
      <c r="I104" s="587" t="s">
        <v>522</v>
      </c>
      <c r="J104" s="587" t="s">
        <v>522</v>
      </c>
      <c r="K104" s="587" t="s">
        <v>568</v>
      </c>
      <c r="L104" s="587" t="s">
        <v>569</v>
      </c>
      <c r="M104" s="587" t="s">
        <v>475</v>
      </c>
      <c r="N104" s="587" t="s">
        <v>475</v>
      </c>
      <c r="O104" s="587" t="s">
        <v>475</v>
      </c>
      <c r="P104" s="553" t="s">
        <v>475</v>
      </c>
      <c r="Q104" s="553" t="s">
        <v>475</v>
      </c>
      <c r="R104" s="553" t="s">
        <v>475</v>
      </c>
      <c r="S104" s="553" t="s">
        <v>475</v>
      </c>
      <c r="T104" s="553" t="s">
        <v>522</v>
      </c>
      <c r="U104" s="587" t="s">
        <v>522</v>
      </c>
      <c r="V104" s="588" t="s">
        <v>475</v>
      </c>
      <c r="W104" s="587" t="s">
        <v>475</v>
      </c>
      <c r="X104" s="587" t="s">
        <v>475</v>
      </c>
      <c r="Y104" s="587" t="s">
        <v>563</v>
      </c>
      <c r="Z104" s="587" t="s">
        <v>564</v>
      </c>
      <c r="AA104" s="565">
        <v>10</v>
      </c>
      <c r="AB104" s="610">
        <v>10</v>
      </c>
      <c r="AC104" s="610">
        <v>10</v>
      </c>
      <c r="AD104" s="1436">
        <v>10</v>
      </c>
      <c r="AE104" s="610">
        <v>10</v>
      </c>
      <c r="AF104" s="553" t="s">
        <v>475</v>
      </c>
      <c r="AG104" s="587" t="s">
        <v>475</v>
      </c>
      <c r="AH104" s="505">
        <v>185</v>
      </c>
      <c r="AI104" s="506">
        <v>37</v>
      </c>
    </row>
    <row r="105" spans="1:38" ht="21.95" customHeight="1" x14ac:dyDescent="0.2">
      <c r="A105" s="622">
        <v>3</v>
      </c>
      <c r="B105" s="552" t="s">
        <v>572</v>
      </c>
      <c r="C105" s="587" t="s">
        <v>475</v>
      </c>
      <c r="D105" s="587" t="s">
        <v>475</v>
      </c>
      <c r="E105" s="587" t="s">
        <v>475</v>
      </c>
      <c r="F105" s="1060" t="s">
        <v>522</v>
      </c>
      <c r="G105" s="1060" t="s">
        <v>522</v>
      </c>
      <c r="H105" s="1075" t="s">
        <v>475</v>
      </c>
      <c r="I105" s="1060" t="s">
        <v>475</v>
      </c>
      <c r="J105" s="1060" t="s">
        <v>475</v>
      </c>
      <c r="K105" s="1060" t="s">
        <v>563</v>
      </c>
      <c r="L105" s="1060" t="s">
        <v>564</v>
      </c>
      <c r="M105" s="1075" t="s">
        <v>565</v>
      </c>
      <c r="N105" s="1060" t="s">
        <v>566</v>
      </c>
      <c r="O105" s="1060" t="s">
        <v>566</v>
      </c>
      <c r="P105" s="1060" t="s">
        <v>566</v>
      </c>
      <c r="Q105" s="1060" t="s">
        <v>567</v>
      </c>
      <c r="R105" s="1060" t="s">
        <v>475</v>
      </c>
      <c r="S105" s="1060" t="s">
        <v>475</v>
      </c>
      <c r="T105" s="1075" t="s">
        <v>475</v>
      </c>
      <c r="U105" s="1060" t="s">
        <v>475</v>
      </c>
      <c r="V105" s="1060" t="s">
        <v>522</v>
      </c>
      <c r="W105" s="1075" t="s">
        <v>522</v>
      </c>
      <c r="X105" s="1060" t="s">
        <v>522</v>
      </c>
      <c r="Y105" s="1060" t="s">
        <v>568</v>
      </c>
      <c r="Z105" s="1060" t="s">
        <v>569</v>
      </c>
      <c r="AA105" s="1462" t="s">
        <v>475</v>
      </c>
      <c r="AB105" s="1462" t="s">
        <v>475</v>
      </c>
      <c r="AC105" s="1462" t="s">
        <v>475</v>
      </c>
      <c r="AD105" s="1341" t="s">
        <v>686</v>
      </c>
      <c r="AE105" s="1341" t="s">
        <v>686</v>
      </c>
      <c r="AF105" s="587" t="s">
        <v>475</v>
      </c>
      <c r="AG105" s="587" t="s">
        <v>475</v>
      </c>
      <c r="AH105" s="651">
        <v>46</v>
      </c>
      <c r="AI105" s="523">
        <v>37</v>
      </c>
    </row>
    <row r="106" spans="1:38" ht="21.95" customHeight="1" x14ac:dyDescent="0.2">
      <c r="A106" s="622">
        <v>4</v>
      </c>
      <c r="B106" s="552" t="s">
        <v>573</v>
      </c>
      <c r="C106" s="587" t="s">
        <v>522</v>
      </c>
      <c r="D106" s="587" t="s">
        <v>568</v>
      </c>
      <c r="E106" s="587" t="s">
        <v>569</v>
      </c>
      <c r="F106" s="587" t="s">
        <v>475</v>
      </c>
      <c r="G106" s="587" t="s">
        <v>475</v>
      </c>
      <c r="H106" s="587" t="s">
        <v>475</v>
      </c>
      <c r="I106" s="587" t="s">
        <v>475</v>
      </c>
      <c r="J106" s="587" t="s">
        <v>475</v>
      </c>
      <c r="K106" s="587" t="s">
        <v>475</v>
      </c>
      <c r="L106" s="587" t="s">
        <v>475</v>
      </c>
      <c r="M106" s="587" t="s">
        <v>522</v>
      </c>
      <c r="N106" s="587" t="s">
        <v>522</v>
      </c>
      <c r="O106" s="588" t="s">
        <v>475</v>
      </c>
      <c r="P106" s="587" t="s">
        <v>475</v>
      </c>
      <c r="Q106" s="587" t="s">
        <v>475</v>
      </c>
      <c r="R106" s="587" t="s">
        <v>563</v>
      </c>
      <c r="S106" s="587" t="s">
        <v>564</v>
      </c>
      <c r="T106" s="1086" t="s">
        <v>565</v>
      </c>
      <c r="U106" s="1085" t="s">
        <v>566</v>
      </c>
      <c r="V106" s="587" t="s">
        <v>522</v>
      </c>
      <c r="W106" s="587" t="s">
        <v>522</v>
      </c>
      <c r="X106" s="587" t="s">
        <v>522</v>
      </c>
      <c r="Y106" s="587" t="s">
        <v>568</v>
      </c>
      <c r="Z106" s="587" t="s">
        <v>569</v>
      </c>
      <c r="AA106" s="588" t="s">
        <v>475</v>
      </c>
      <c r="AB106" s="587" t="s">
        <v>475</v>
      </c>
      <c r="AC106" s="587" t="s">
        <v>522</v>
      </c>
      <c r="AD106" s="588" t="s">
        <v>522</v>
      </c>
      <c r="AE106" s="587" t="s">
        <v>522</v>
      </c>
      <c r="AF106" s="587" t="s">
        <v>568</v>
      </c>
      <c r="AG106" s="587" t="s">
        <v>569</v>
      </c>
      <c r="AH106" s="651">
        <v>185</v>
      </c>
      <c r="AI106" s="523">
        <v>37</v>
      </c>
    </row>
    <row r="107" spans="1:38" ht="21.95" customHeight="1" x14ac:dyDescent="0.2">
      <c r="A107" s="623"/>
      <c r="B107" s="630"/>
      <c r="C107" s="590"/>
      <c r="D107" s="590"/>
      <c r="E107" s="590"/>
      <c r="F107" s="590"/>
      <c r="G107" s="590"/>
      <c r="H107" s="590"/>
      <c r="I107" s="590"/>
      <c r="J107" s="590"/>
      <c r="K107" s="590"/>
      <c r="L107" s="590"/>
      <c r="M107" s="590"/>
      <c r="N107" s="590"/>
      <c r="O107" s="590"/>
      <c r="P107" s="590"/>
      <c r="Q107" s="590"/>
      <c r="R107" s="590"/>
      <c r="S107" s="590"/>
      <c r="T107" s="590"/>
      <c r="U107" s="590"/>
      <c r="V107" s="590"/>
      <c r="W107" s="590"/>
      <c r="X107" s="590"/>
      <c r="Y107" s="590"/>
      <c r="Z107" s="590"/>
      <c r="AA107" s="590"/>
      <c r="AB107" s="590"/>
      <c r="AC107" s="590"/>
      <c r="AD107" s="590"/>
      <c r="AE107" s="590"/>
      <c r="AF107" s="590"/>
      <c r="AG107" s="590"/>
      <c r="AH107" s="591"/>
      <c r="AI107" s="591"/>
    </row>
    <row r="108" spans="1:38" ht="21.95" customHeight="1" x14ac:dyDescent="0.2">
      <c r="A108" s="311" t="s">
        <v>585</v>
      </c>
      <c r="C108" s="590"/>
      <c r="D108" s="590"/>
      <c r="E108" s="590"/>
      <c r="F108" s="590"/>
      <c r="G108" s="590"/>
      <c r="H108" s="590"/>
      <c r="I108" s="590"/>
      <c r="J108" s="590"/>
      <c r="K108" s="590"/>
      <c r="L108" s="590"/>
      <c r="M108" s="590"/>
      <c r="N108" s="590"/>
      <c r="O108" s="590"/>
      <c r="P108" s="590"/>
      <c r="Q108" s="590"/>
      <c r="R108" s="590"/>
      <c r="S108" s="590"/>
      <c r="T108" s="590"/>
      <c r="U108" s="590"/>
      <c r="V108" s="590"/>
      <c r="W108" s="590"/>
      <c r="X108" s="590"/>
      <c r="Y108" s="590"/>
      <c r="Z108" s="590"/>
      <c r="AA108" s="590"/>
      <c r="AB108" s="590"/>
      <c r="AC108" s="590"/>
      <c r="AD108" s="590"/>
      <c r="AE108" s="590"/>
      <c r="AF108" s="590"/>
      <c r="AG108" s="590"/>
      <c r="AH108" s="591"/>
      <c r="AI108" s="591"/>
      <c r="AJ108" s="360"/>
    </row>
    <row r="109" spans="1:38" ht="21.95" customHeight="1" x14ac:dyDescent="0.2">
      <c r="A109" s="298" t="s">
        <v>468</v>
      </c>
      <c r="B109" s="298"/>
      <c r="C109" s="152"/>
      <c r="D109" s="298" t="s">
        <v>2</v>
      </c>
      <c r="E109" s="185"/>
      <c r="F109" s="152"/>
      <c r="G109" s="298" t="s">
        <v>3</v>
      </c>
      <c r="H109" s="185"/>
      <c r="I109" s="152"/>
      <c r="J109" s="298" t="s">
        <v>4</v>
      </c>
      <c r="K109" s="185"/>
      <c r="L109" s="152"/>
      <c r="M109" s="298" t="s">
        <v>5</v>
      </c>
      <c r="N109" s="185"/>
      <c r="O109" s="152"/>
      <c r="P109" s="298" t="s">
        <v>6</v>
      </c>
      <c r="Q109" s="185"/>
      <c r="R109" s="133"/>
      <c r="S109" s="198" t="s">
        <v>7</v>
      </c>
      <c r="T109" s="185"/>
      <c r="U109" s="152"/>
      <c r="V109" s="298" t="s">
        <v>8</v>
      </c>
      <c r="W109" s="185"/>
      <c r="X109" s="632" t="s">
        <v>10</v>
      </c>
      <c r="Y109" s="185"/>
      <c r="Z109" s="185"/>
      <c r="AA109" s="598"/>
      <c r="AB109" s="482"/>
      <c r="AC109" s="482"/>
      <c r="AD109" s="482"/>
      <c r="AE109" s="482"/>
      <c r="AF109" s="482"/>
      <c r="AG109" s="483"/>
      <c r="AH109" s="360"/>
      <c r="AI109" s="360"/>
      <c r="AJ109" s="360"/>
    </row>
    <row r="110" spans="1:38" ht="21.95" customHeight="1" x14ac:dyDescent="0.2">
      <c r="A110" s="1786">
        <v>8517</v>
      </c>
      <c r="B110" s="501" t="s">
        <v>586</v>
      </c>
      <c r="C110" s="631" t="s">
        <v>124</v>
      </c>
      <c r="D110" s="628"/>
      <c r="E110" s="633"/>
      <c r="F110" s="631" t="s">
        <v>124</v>
      </c>
      <c r="G110" s="634"/>
      <c r="H110" s="633"/>
      <c r="I110" s="121" t="s">
        <v>124</v>
      </c>
      <c r="J110" s="613"/>
      <c r="K110" s="635"/>
      <c r="L110" s="121" t="s">
        <v>124</v>
      </c>
      <c r="M110" s="613"/>
      <c r="N110" s="635"/>
      <c r="O110" s="121" t="s">
        <v>125</v>
      </c>
      <c r="P110" s="613"/>
      <c r="Q110" s="476"/>
      <c r="R110" s="636" t="s">
        <v>28</v>
      </c>
      <c r="S110" s="613"/>
      <c r="T110" s="635"/>
      <c r="U110" s="613" t="s">
        <v>28</v>
      </c>
      <c r="V110" s="613"/>
      <c r="W110" s="476"/>
      <c r="X110" s="144" t="s">
        <v>28</v>
      </c>
      <c r="Y110" s="360"/>
      <c r="Z110" s="360"/>
      <c r="AA110" s="360"/>
      <c r="AB110" s="360"/>
      <c r="AC110" s="360"/>
      <c r="AD110" s="360"/>
      <c r="AE110" s="360"/>
      <c r="AF110" s="360"/>
      <c r="AG110" s="637"/>
      <c r="AH110" s="360"/>
      <c r="AI110" s="360"/>
      <c r="AJ110" s="360"/>
    </row>
    <row r="111" spans="1:38" ht="21.95" customHeight="1" x14ac:dyDescent="0.2">
      <c r="A111" s="638">
        <v>8502</v>
      </c>
      <c r="B111" s="639" t="s">
        <v>587</v>
      </c>
      <c r="C111" s="121" t="s">
        <v>11</v>
      </c>
      <c r="D111" s="613"/>
      <c r="E111" s="476"/>
      <c r="F111" s="121" t="s">
        <v>11</v>
      </c>
      <c r="G111" s="613"/>
      <c r="H111" s="635"/>
      <c r="I111" s="121" t="s">
        <v>11</v>
      </c>
      <c r="J111" s="613"/>
      <c r="K111" s="635"/>
      <c r="L111" s="121" t="s">
        <v>11</v>
      </c>
      <c r="M111" s="613"/>
      <c r="N111" s="635"/>
      <c r="O111" s="121" t="s">
        <v>12</v>
      </c>
      <c r="P111" s="613"/>
      <c r="Q111" s="476"/>
      <c r="R111" s="640"/>
      <c r="S111" s="641"/>
      <c r="T111" s="635"/>
      <c r="U111" s="613"/>
      <c r="V111" s="613"/>
      <c r="W111" s="476"/>
      <c r="X111" s="475"/>
      <c r="Y111" s="482"/>
      <c r="Z111" s="482"/>
      <c r="AA111" s="482"/>
      <c r="AB111" s="482"/>
      <c r="AC111" s="482"/>
      <c r="AD111" s="482"/>
      <c r="AE111" s="482"/>
      <c r="AF111" s="482"/>
      <c r="AG111" s="483"/>
      <c r="AH111" s="360"/>
      <c r="AI111" s="360"/>
      <c r="AJ111" s="360"/>
    </row>
    <row r="112" spans="1:38" ht="21.95" customHeight="1" x14ac:dyDescent="0.2">
      <c r="A112" s="273"/>
      <c r="B112" s="524"/>
      <c r="C112" s="353"/>
      <c r="D112" s="353"/>
      <c r="E112" s="73"/>
      <c r="F112" s="353"/>
      <c r="G112" s="353"/>
      <c r="H112" s="73"/>
      <c r="I112" s="353"/>
      <c r="J112" s="353"/>
      <c r="K112" s="73"/>
      <c r="L112" s="353"/>
      <c r="M112" s="353"/>
      <c r="N112" s="73"/>
      <c r="O112" s="353"/>
      <c r="P112" s="353"/>
      <c r="Q112" s="73"/>
      <c r="R112" s="167"/>
      <c r="S112" s="353"/>
      <c r="T112" s="73"/>
      <c r="U112" s="353"/>
      <c r="V112" s="353"/>
      <c r="W112" s="73"/>
      <c r="X112" s="73"/>
      <c r="Y112" s="360"/>
      <c r="Z112" s="360"/>
      <c r="AA112" s="360"/>
      <c r="AB112" s="360"/>
      <c r="AC112" s="360"/>
      <c r="AD112" s="360"/>
      <c r="AE112" s="360"/>
      <c r="AF112" s="360"/>
      <c r="AG112" s="360"/>
      <c r="AH112" s="360"/>
      <c r="AI112" s="360"/>
    </row>
    <row r="113" spans="1:35" ht="21.95" customHeight="1" x14ac:dyDescent="0.2">
      <c r="A113" s="642"/>
      <c r="B113" s="181" t="s">
        <v>469</v>
      </c>
      <c r="C113" s="177">
        <v>1</v>
      </c>
      <c r="D113" s="708">
        <v>2</v>
      </c>
      <c r="E113" s="708">
        <v>3</v>
      </c>
      <c r="F113" s="709">
        <v>4</v>
      </c>
      <c r="G113" s="709">
        <v>5</v>
      </c>
      <c r="H113" s="709">
        <v>6</v>
      </c>
      <c r="I113" s="709">
        <v>7</v>
      </c>
      <c r="J113" s="709">
        <v>8</v>
      </c>
      <c r="K113" s="708">
        <v>9</v>
      </c>
      <c r="L113" s="708">
        <v>10</v>
      </c>
      <c r="M113" s="709">
        <v>11</v>
      </c>
      <c r="N113" s="709">
        <v>12</v>
      </c>
      <c r="O113" s="709">
        <v>13</v>
      </c>
      <c r="P113" s="709">
        <v>14</v>
      </c>
      <c r="Q113" s="709">
        <v>15</v>
      </c>
      <c r="R113" s="708">
        <v>16</v>
      </c>
      <c r="S113" s="708">
        <v>17</v>
      </c>
      <c r="T113" s="709">
        <v>18</v>
      </c>
      <c r="U113" s="709">
        <v>19</v>
      </c>
      <c r="V113" s="709">
        <v>20</v>
      </c>
      <c r="W113" s="709">
        <v>21</v>
      </c>
      <c r="X113" s="709">
        <v>22</v>
      </c>
      <c r="Y113" s="708">
        <v>23</v>
      </c>
      <c r="Z113" s="708">
        <v>24</v>
      </c>
      <c r="AA113" s="709">
        <v>25</v>
      </c>
      <c r="AB113" s="709">
        <v>26</v>
      </c>
      <c r="AC113" s="709">
        <v>27</v>
      </c>
      <c r="AD113" s="709">
        <v>28</v>
      </c>
      <c r="AE113" s="709">
        <v>29</v>
      </c>
      <c r="AF113" s="708">
        <v>30</v>
      </c>
      <c r="AG113" s="497">
        <v>31</v>
      </c>
      <c r="AH113" s="643" t="s">
        <v>470</v>
      </c>
      <c r="AI113" s="644" t="s">
        <v>471</v>
      </c>
    </row>
    <row r="114" spans="1:35" ht="21.95" customHeight="1" x14ac:dyDescent="0.2">
      <c r="A114" s="645">
        <v>1</v>
      </c>
      <c r="B114" s="552" t="s">
        <v>588</v>
      </c>
      <c r="C114" s="1088" t="s">
        <v>482</v>
      </c>
      <c r="D114" s="1088"/>
      <c r="E114" s="1088"/>
      <c r="F114" s="1088" t="s">
        <v>482</v>
      </c>
      <c r="G114" s="1088" t="s">
        <v>482</v>
      </c>
      <c r="H114" s="1088" t="s">
        <v>482</v>
      </c>
      <c r="I114" s="1088" t="s">
        <v>482</v>
      </c>
      <c r="J114" s="1088" t="s">
        <v>482</v>
      </c>
      <c r="K114" s="1088"/>
      <c r="L114" s="1088"/>
      <c r="M114" s="1088" t="s">
        <v>482</v>
      </c>
      <c r="N114" s="1088" t="s">
        <v>482</v>
      </c>
      <c r="O114" s="1088" t="s">
        <v>482</v>
      </c>
      <c r="P114" s="1088" t="s">
        <v>482</v>
      </c>
      <c r="Q114" s="1088" t="s">
        <v>482</v>
      </c>
      <c r="R114" s="1088"/>
      <c r="S114" s="1088"/>
      <c r="T114" s="1088" t="s">
        <v>482</v>
      </c>
      <c r="U114" s="1088" t="s">
        <v>482</v>
      </c>
      <c r="V114" s="1088" t="s">
        <v>482</v>
      </c>
      <c r="W114" s="1088" t="s">
        <v>482</v>
      </c>
      <c r="X114" s="1088" t="s">
        <v>482</v>
      </c>
      <c r="Y114" s="1088"/>
      <c r="Z114" s="1088"/>
      <c r="AA114" s="1088" t="s">
        <v>482</v>
      </c>
      <c r="AB114" s="1088" t="s">
        <v>482</v>
      </c>
      <c r="AC114" s="1088" t="s">
        <v>482</v>
      </c>
      <c r="AD114" s="1088" t="s">
        <v>482</v>
      </c>
      <c r="AE114" s="1088" t="s">
        <v>482</v>
      </c>
      <c r="AF114" s="1088"/>
      <c r="AG114" s="1088"/>
      <c r="AH114" s="646">
        <v>185</v>
      </c>
      <c r="AI114" s="647">
        <v>37</v>
      </c>
    </row>
    <row r="115" spans="1:35" ht="21.95" customHeight="1" x14ac:dyDescent="0.2">
      <c r="A115" s="645">
        <v>2</v>
      </c>
      <c r="B115" s="552" t="s">
        <v>589</v>
      </c>
      <c r="C115" s="1066" t="s">
        <v>475</v>
      </c>
      <c r="D115" s="1066" t="s">
        <v>505</v>
      </c>
      <c r="E115" s="1066" t="s">
        <v>505</v>
      </c>
      <c r="F115" s="514">
        <v>7</v>
      </c>
      <c r="G115" s="514">
        <v>7</v>
      </c>
      <c r="H115" s="514">
        <v>7</v>
      </c>
      <c r="I115" s="514">
        <v>7</v>
      </c>
      <c r="J115" s="514">
        <v>7</v>
      </c>
      <c r="K115" s="514"/>
      <c r="L115" s="514"/>
      <c r="M115" s="514">
        <v>4</v>
      </c>
      <c r="N115" s="514">
        <v>4</v>
      </c>
      <c r="O115" s="514">
        <v>4</v>
      </c>
      <c r="P115" s="514">
        <v>4</v>
      </c>
      <c r="Q115" s="1459">
        <v>4</v>
      </c>
      <c r="R115" s="1460" t="s">
        <v>550</v>
      </c>
      <c r="S115" s="1459" t="s">
        <v>687</v>
      </c>
      <c r="T115" s="514">
        <v>3</v>
      </c>
      <c r="U115" s="514">
        <v>3</v>
      </c>
      <c r="V115" s="514">
        <v>3</v>
      </c>
      <c r="W115" s="514">
        <v>3</v>
      </c>
      <c r="X115" s="514">
        <v>3</v>
      </c>
      <c r="Y115" s="514"/>
      <c r="Z115" s="514"/>
      <c r="AA115" s="514">
        <v>11</v>
      </c>
      <c r="AB115" s="514">
        <v>11</v>
      </c>
      <c r="AC115" s="514">
        <v>11</v>
      </c>
      <c r="AD115" s="514">
        <v>11</v>
      </c>
      <c r="AE115" s="514">
        <v>11</v>
      </c>
      <c r="AF115" s="514" t="s">
        <v>503</v>
      </c>
      <c r="AG115" s="564" t="s">
        <v>503</v>
      </c>
      <c r="AH115" s="505">
        <v>83</v>
      </c>
      <c r="AI115" s="506">
        <v>37</v>
      </c>
    </row>
    <row r="116" spans="1:35" ht="21.95" customHeight="1" x14ac:dyDescent="0.2">
      <c r="A116" s="645">
        <v>3</v>
      </c>
      <c r="B116" s="552" t="s">
        <v>590</v>
      </c>
      <c r="C116" s="587" t="s">
        <v>529</v>
      </c>
      <c r="D116" s="587"/>
      <c r="E116" s="587"/>
      <c r="F116" s="587" t="s">
        <v>513</v>
      </c>
      <c r="G116" s="587" t="s">
        <v>513</v>
      </c>
      <c r="H116" s="587" t="s">
        <v>513</v>
      </c>
      <c r="I116" s="587" t="s">
        <v>513</v>
      </c>
      <c r="J116" s="587" t="s">
        <v>513</v>
      </c>
      <c r="K116" s="587" t="s">
        <v>550</v>
      </c>
      <c r="L116" s="587" t="s">
        <v>550</v>
      </c>
      <c r="M116" s="587" t="s">
        <v>475</v>
      </c>
      <c r="N116" s="587" t="s">
        <v>475</v>
      </c>
      <c r="O116" s="587" t="s">
        <v>475</v>
      </c>
      <c r="P116" s="587" t="s">
        <v>475</v>
      </c>
      <c r="Q116" s="587" t="s">
        <v>475</v>
      </c>
      <c r="R116" s="587"/>
      <c r="S116" s="587"/>
      <c r="T116" s="553">
        <v>4</v>
      </c>
      <c r="U116" s="553">
        <v>4</v>
      </c>
      <c r="V116" s="553">
        <v>4</v>
      </c>
      <c r="W116" s="553">
        <v>4</v>
      </c>
      <c r="X116" s="553">
        <v>4</v>
      </c>
      <c r="Y116" s="587"/>
      <c r="Z116" s="587"/>
      <c r="AA116" s="587" t="s">
        <v>513</v>
      </c>
      <c r="AB116" s="587" t="s">
        <v>513</v>
      </c>
      <c r="AC116" s="587" t="s">
        <v>513</v>
      </c>
      <c r="AD116" s="587" t="s">
        <v>513</v>
      </c>
      <c r="AE116" s="587" t="s">
        <v>513</v>
      </c>
      <c r="AF116" s="587" t="s">
        <v>550</v>
      </c>
      <c r="AG116" s="587" t="s">
        <v>550</v>
      </c>
      <c r="AH116" s="505">
        <v>80</v>
      </c>
      <c r="AI116" s="506">
        <v>37</v>
      </c>
    </row>
    <row r="117" spans="1:35" ht="21.95" customHeight="1" x14ac:dyDescent="0.2">
      <c r="A117" s="645">
        <v>4</v>
      </c>
      <c r="B117" s="152" t="s">
        <v>591</v>
      </c>
      <c r="C117" s="1093" t="s">
        <v>482</v>
      </c>
      <c r="D117" s="1093"/>
      <c r="E117" s="1093"/>
      <c r="F117" s="1093" t="s">
        <v>482</v>
      </c>
      <c r="G117" s="1093" t="s">
        <v>482</v>
      </c>
      <c r="H117" s="1093" t="s">
        <v>482</v>
      </c>
      <c r="I117" s="1093" t="s">
        <v>482</v>
      </c>
      <c r="J117" s="1093" t="s">
        <v>482</v>
      </c>
      <c r="K117" s="1093"/>
      <c r="L117" s="1093"/>
      <c r="M117" s="1093" t="s">
        <v>482</v>
      </c>
      <c r="N117" s="1093" t="s">
        <v>482</v>
      </c>
      <c r="O117" s="1093" t="s">
        <v>482</v>
      </c>
      <c r="P117" s="1093" t="s">
        <v>482</v>
      </c>
      <c r="Q117" s="1093" t="s">
        <v>482</v>
      </c>
      <c r="R117" s="1093"/>
      <c r="S117" s="1093"/>
      <c r="T117" s="1093" t="s">
        <v>482</v>
      </c>
      <c r="U117" s="1093" t="s">
        <v>482</v>
      </c>
      <c r="V117" s="1093" t="s">
        <v>482</v>
      </c>
      <c r="W117" s="1093" t="s">
        <v>482</v>
      </c>
      <c r="X117" s="1093" t="s">
        <v>482</v>
      </c>
      <c r="Y117" s="1093"/>
      <c r="Z117" s="1093"/>
      <c r="AA117" s="1101" t="s">
        <v>482</v>
      </c>
      <c r="AB117" s="1093" t="s">
        <v>482</v>
      </c>
      <c r="AC117" s="1093" t="s">
        <v>482</v>
      </c>
      <c r="AD117" s="1093" t="s">
        <v>482</v>
      </c>
      <c r="AE117" s="1093" t="s">
        <v>482</v>
      </c>
      <c r="AF117" s="1093"/>
      <c r="AG117" s="1093"/>
      <c r="AH117" s="505">
        <v>185</v>
      </c>
      <c r="AI117" s="506">
        <v>37</v>
      </c>
    </row>
    <row r="118" spans="1:35" ht="21.95" customHeight="1" x14ac:dyDescent="0.2">
      <c r="A118" s="645">
        <v>5</v>
      </c>
      <c r="B118" s="152" t="s">
        <v>592</v>
      </c>
      <c r="C118" s="503" t="s">
        <v>540</v>
      </c>
      <c r="D118" s="503"/>
      <c r="E118" s="503"/>
      <c r="F118" s="503" t="s">
        <v>551</v>
      </c>
      <c r="G118" s="503" t="s">
        <v>551</v>
      </c>
      <c r="H118" s="503" t="s">
        <v>551</v>
      </c>
      <c r="I118" s="503" t="s">
        <v>551</v>
      </c>
      <c r="J118" s="503" t="s">
        <v>551</v>
      </c>
      <c r="K118" s="503"/>
      <c r="L118" s="503"/>
      <c r="M118" s="503" t="s">
        <v>513</v>
      </c>
      <c r="N118" s="503" t="s">
        <v>513</v>
      </c>
      <c r="O118" s="503" t="s">
        <v>513</v>
      </c>
      <c r="P118" s="503" t="s">
        <v>513</v>
      </c>
      <c r="Q118" s="503" t="s">
        <v>513</v>
      </c>
      <c r="R118" s="1058" t="s">
        <v>550</v>
      </c>
      <c r="S118" s="1058" t="s">
        <v>550</v>
      </c>
      <c r="T118" s="1452" t="s">
        <v>475</v>
      </c>
      <c r="U118" s="1452" t="s">
        <v>475</v>
      </c>
      <c r="V118" s="1452" t="s">
        <v>475</v>
      </c>
      <c r="W118" s="1452" t="s">
        <v>475</v>
      </c>
      <c r="X118" s="1452" t="s">
        <v>475</v>
      </c>
      <c r="Y118" s="503"/>
      <c r="Z118" s="503"/>
      <c r="AA118" s="1104" t="s">
        <v>688</v>
      </c>
      <c r="AB118" s="503">
        <v>7</v>
      </c>
      <c r="AC118" s="1058">
        <v>7</v>
      </c>
      <c r="AD118" s="503">
        <v>7</v>
      </c>
      <c r="AE118" s="503">
        <v>7</v>
      </c>
      <c r="AF118" s="503"/>
      <c r="AG118" s="503"/>
      <c r="AH118" s="505">
        <v>185</v>
      </c>
      <c r="AI118" s="506">
        <v>37</v>
      </c>
    </row>
    <row r="119" spans="1:35" ht="21.95" customHeight="1" x14ac:dyDescent="0.2">
      <c r="A119" s="645">
        <v>6</v>
      </c>
      <c r="B119" s="552" t="s">
        <v>689</v>
      </c>
      <c r="C119" s="503">
        <v>4</v>
      </c>
      <c r="D119" s="503"/>
      <c r="E119" s="503"/>
      <c r="F119" s="503">
        <v>3</v>
      </c>
      <c r="G119" s="503" t="s">
        <v>540</v>
      </c>
      <c r="H119" s="503" t="s">
        <v>540</v>
      </c>
      <c r="I119" s="503" t="s">
        <v>540</v>
      </c>
      <c r="J119" s="503" t="s">
        <v>540</v>
      </c>
      <c r="K119" s="503"/>
      <c r="L119" s="503"/>
      <c r="M119" s="503">
        <v>9</v>
      </c>
      <c r="N119" s="503">
        <v>9</v>
      </c>
      <c r="O119" s="503">
        <v>9</v>
      </c>
      <c r="P119" s="503">
        <v>9</v>
      </c>
      <c r="Q119" s="503">
        <v>9</v>
      </c>
      <c r="R119" s="503" t="s">
        <v>484</v>
      </c>
      <c r="S119" s="503" t="s">
        <v>484</v>
      </c>
      <c r="T119" s="503">
        <v>10</v>
      </c>
      <c r="U119" s="503">
        <v>10</v>
      </c>
      <c r="V119" s="503">
        <v>10</v>
      </c>
      <c r="W119" s="503">
        <v>10</v>
      </c>
      <c r="X119" s="503">
        <v>10</v>
      </c>
      <c r="Y119" s="503" t="s">
        <v>507</v>
      </c>
      <c r="Z119" s="503" t="s">
        <v>507</v>
      </c>
      <c r="AA119" s="503" t="s">
        <v>475</v>
      </c>
      <c r="AB119" s="503" t="s">
        <v>475</v>
      </c>
      <c r="AC119" s="503" t="s">
        <v>475</v>
      </c>
      <c r="AD119" s="503" t="s">
        <v>475</v>
      </c>
      <c r="AE119" s="503" t="s">
        <v>475</v>
      </c>
      <c r="AF119" s="503"/>
      <c r="AG119" s="503"/>
      <c r="AH119" s="505">
        <v>74</v>
      </c>
      <c r="AI119" s="506">
        <v>37</v>
      </c>
    </row>
    <row r="120" spans="1:35" ht="21.95" customHeight="1" x14ac:dyDescent="0.2">
      <c r="A120" s="645">
        <v>7</v>
      </c>
      <c r="B120" s="552" t="s">
        <v>690</v>
      </c>
      <c r="C120" s="1059"/>
      <c r="D120" s="1059"/>
      <c r="E120" s="1059"/>
      <c r="F120" s="1059" t="s">
        <v>552</v>
      </c>
      <c r="G120" s="1059" t="s">
        <v>552</v>
      </c>
      <c r="H120" s="1059" t="s">
        <v>552</v>
      </c>
      <c r="I120" s="1059" t="s">
        <v>552</v>
      </c>
      <c r="J120" s="1059" t="s">
        <v>552</v>
      </c>
      <c r="K120" s="1104" t="s">
        <v>563</v>
      </c>
      <c r="L120" s="1104" t="s">
        <v>691</v>
      </c>
      <c r="M120" s="503">
        <v>7</v>
      </c>
      <c r="N120" s="503">
        <v>7</v>
      </c>
      <c r="O120" s="503">
        <v>7</v>
      </c>
      <c r="P120" s="503">
        <v>7</v>
      </c>
      <c r="Q120" s="503">
        <v>7</v>
      </c>
      <c r="R120" s="503"/>
      <c r="S120" s="503"/>
      <c r="T120" s="503">
        <v>7</v>
      </c>
      <c r="U120" s="503">
        <v>7</v>
      </c>
      <c r="V120" s="503">
        <v>7</v>
      </c>
      <c r="W120" s="503">
        <v>7</v>
      </c>
      <c r="X120" s="503">
        <v>7</v>
      </c>
      <c r="Y120" s="503"/>
      <c r="Z120" s="503" t="s">
        <v>504</v>
      </c>
      <c r="AA120" s="503">
        <v>4</v>
      </c>
      <c r="AB120" s="503">
        <v>4</v>
      </c>
      <c r="AC120" s="503">
        <v>4</v>
      </c>
      <c r="AD120" s="503">
        <v>4</v>
      </c>
      <c r="AE120" s="503">
        <v>4</v>
      </c>
      <c r="AF120" s="503"/>
      <c r="AG120" s="503"/>
      <c r="AH120" s="505">
        <v>111</v>
      </c>
      <c r="AI120" s="506">
        <v>37</v>
      </c>
    </row>
    <row r="121" spans="1:35" ht="21.95" customHeight="1" x14ac:dyDescent="0.2">
      <c r="A121" s="645">
        <v>8</v>
      </c>
      <c r="B121" s="152" t="s">
        <v>692</v>
      </c>
      <c r="C121" s="503">
        <v>10</v>
      </c>
      <c r="D121" s="503" t="s">
        <v>507</v>
      </c>
      <c r="E121" s="503" t="s">
        <v>507</v>
      </c>
      <c r="F121" s="503" t="s">
        <v>475</v>
      </c>
      <c r="G121" s="503" t="s">
        <v>475</v>
      </c>
      <c r="H121" s="503" t="s">
        <v>475</v>
      </c>
      <c r="I121" s="503" t="s">
        <v>475</v>
      </c>
      <c r="J121" s="503" t="s">
        <v>475</v>
      </c>
      <c r="K121" s="503"/>
      <c r="L121" s="503"/>
      <c r="M121" s="1059" t="s">
        <v>552</v>
      </c>
      <c r="N121" s="1059" t="s">
        <v>552</v>
      </c>
      <c r="O121" s="1059" t="s">
        <v>552</v>
      </c>
      <c r="P121" s="1059" t="s">
        <v>552</v>
      </c>
      <c r="Q121" s="1059" t="s">
        <v>552</v>
      </c>
      <c r="R121" s="1059"/>
      <c r="S121" s="1059"/>
      <c r="T121" s="1059" t="s">
        <v>552</v>
      </c>
      <c r="U121" s="1059" t="s">
        <v>552</v>
      </c>
      <c r="V121" s="1059" t="s">
        <v>552</v>
      </c>
      <c r="W121" s="1059" t="s">
        <v>552</v>
      </c>
      <c r="X121" s="1059" t="s">
        <v>552</v>
      </c>
      <c r="Y121" s="503"/>
      <c r="Z121" s="503"/>
      <c r="AA121" s="1058" t="s">
        <v>552</v>
      </c>
      <c r="AB121" s="1058" t="s">
        <v>552</v>
      </c>
      <c r="AC121" s="1058" t="s">
        <v>552</v>
      </c>
      <c r="AD121" s="1058" t="s">
        <v>552</v>
      </c>
      <c r="AE121" s="1058" t="s">
        <v>552</v>
      </c>
      <c r="AF121" s="503"/>
      <c r="AG121" s="503"/>
      <c r="AH121" s="648">
        <v>185</v>
      </c>
      <c r="AI121" s="649">
        <v>37</v>
      </c>
    </row>
    <row r="122" spans="1:35" ht="21.95" customHeight="1" x14ac:dyDescent="0.2">
      <c r="A122" s="645">
        <v>9</v>
      </c>
      <c r="B122" s="1719" t="s">
        <v>677</v>
      </c>
      <c r="C122" s="1443" t="s">
        <v>513</v>
      </c>
      <c r="D122" s="1442"/>
      <c r="E122" s="1442"/>
      <c r="F122" s="1443" t="s">
        <v>540</v>
      </c>
      <c r="G122" s="1443">
        <v>9</v>
      </c>
      <c r="H122" s="1443">
        <v>9</v>
      </c>
      <c r="I122" s="1443">
        <v>9</v>
      </c>
      <c r="J122" s="1443">
        <v>9</v>
      </c>
      <c r="K122" s="1442"/>
      <c r="L122" s="1442"/>
      <c r="M122" s="1443" t="s">
        <v>596</v>
      </c>
      <c r="N122" s="1443" t="s">
        <v>596</v>
      </c>
      <c r="O122" s="1458" t="s">
        <v>693</v>
      </c>
      <c r="P122" s="1443" t="s">
        <v>596</v>
      </c>
      <c r="Q122" s="1443" t="s">
        <v>596</v>
      </c>
      <c r="R122" s="1442"/>
      <c r="S122" s="1442"/>
      <c r="T122" s="1442" t="s">
        <v>596</v>
      </c>
      <c r="U122" s="1442" t="s">
        <v>596</v>
      </c>
      <c r="V122" s="1442" t="s">
        <v>596</v>
      </c>
      <c r="W122" s="1442" t="s">
        <v>596</v>
      </c>
      <c r="X122" s="1442" t="s">
        <v>596</v>
      </c>
      <c r="Y122" s="1442"/>
      <c r="Z122" s="1442"/>
      <c r="AA122" s="1442" t="s">
        <v>596</v>
      </c>
      <c r="AB122" s="1442" t="s">
        <v>596</v>
      </c>
      <c r="AC122" s="1442" t="s">
        <v>596</v>
      </c>
      <c r="AD122" s="1442" t="s">
        <v>596</v>
      </c>
      <c r="AE122" s="1442" t="s">
        <v>596</v>
      </c>
      <c r="AF122" s="1109"/>
      <c r="AG122" s="1109"/>
      <c r="AH122" s="648">
        <v>185</v>
      </c>
      <c r="AI122" s="649">
        <v>37</v>
      </c>
    </row>
    <row r="123" spans="1:35" ht="21.95" customHeight="1" x14ac:dyDescent="0.2">
      <c r="A123" s="652">
        <v>10</v>
      </c>
      <c r="B123" s="1719"/>
      <c r="C123" s="1442"/>
      <c r="D123" s="1442"/>
      <c r="E123" s="1442"/>
      <c r="F123" s="1442"/>
      <c r="G123" s="1442"/>
      <c r="H123" s="1442"/>
      <c r="I123" s="1442"/>
      <c r="J123" s="1442"/>
      <c r="K123" s="1442"/>
      <c r="L123" s="1442"/>
      <c r="M123" s="1442"/>
      <c r="N123" s="1442"/>
      <c r="O123" s="1442"/>
      <c r="P123" s="1442"/>
      <c r="Q123" s="1442"/>
      <c r="R123" s="1442"/>
      <c r="S123" s="1442"/>
      <c r="T123" s="1442"/>
      <c r="U123" s="1442"/>
      <c r="V123" s="1442"/>
      <c r="W123" s="1442"/>
      <c r="X123" s="1442"/>
      <c r="Y123" s="1442"/>
      <c r="Z123" s="1442"/>
      <c r="AA123" s="1442"/>
      <c r="AB123" s="1442"/>
      <c r="AC123" s="1442"/>
      <c r="AD123" s="1442"/>
      <c r="AE123" s="1442"/>
      <c r="AF123" s="1442"/>
      <c r="AG123" s="1442"/>
      <c r="AH123" s="1113"/>
      <c r="AI123" s="1113"/>
    </row>
    <row r="124" spans="1:35" ht="21" customHeight="1" x14ac:dyDescent="0.25">
      <c r="A124" s="653"/>
    </row>
    <row r="125" spans="1:35" ht="21" customHeight="1" x14ac:dyDescent="0.25">
      <c r="A125" s="654"/>
    </row>
    <row r="126" spans="1:35" ht="21" customHeight="1" x14ac:dyDescent="0.2">
      <c r="B126" s="1" t="s">
        <v>678</v>
      </c>
    </row>
    <row r="127" spans="1:35" ht="21" customHeight="1" x14ac:dyDescent="0.2">
      <c r="A127" s="585"/>
      <c r="B127" s="296" t="s">
        <v>469</v>
      </c>
      <c r="C127" s="177">
        <v>1</v>
      </c>
      <c r="D127" s="708">
        <v>2</v>
      </c>
      <c r="E127" s="708">
        <v>3</v>
      </c>
      <c r="F127" s="709">
        <v>4</v>
      </c>
      <c r="G127" s="709">
        <v>5</v>
      </c>
      <c r="H127" s="709">
        <v>6</v>
      </c>
      <c r="I127" s="709">
        <v>7</v>
      </c>
      <c r="J127" s="709">
        <v>8</v>
      </c>
      <c r="K127" s="708">
        <v>9</v>
      </c>
      <c r="L127" s="708">
        <v>10</v>
      </c>
      <c r="M127" s="709">
        <v>11</v>
      </c>
      <c r="N127" s="709">
        <v>12</v>
      </c>
      <c r="O127" s="709">
        <v>13</v>
      </c>
      <c r="P127" s="709">
        <v>14</v>
      </c>
      <c r="Q127" s="709">
        <v>15</v>
      </c>
      <c r="R127" s="708">
        <v>16</v>
      </c>
      <c r="S127" s="708">
        <v>17</v>
      </c>
      <c r="T127" s="709">
        <v>18</v>
      </c>
      <c r="U127" s="709">
        <v>19</v>
      </c>
      <c r="V127" s="709">
        <v>20</v>
      </c>
      <c r="W127" s="709">
        <v>21</v>
      </c>
      <c r="X127" s="709">
        <v>22</v>
      </c>
      <c r="Y127" s="708">
        <v>23</v>
      </c>
      <c r="Z127" s="708">
        <v>24</v>
      </c>
      <c r="AA127" s="709">
        <v>25</v>
      </c>
      <c r="AB127" s="709">
        <v>26</v>
      </c>
      <c r="AC127" s="709">
        <v>27</v>
      </c>
      <c r="AD127" s="709">
        <v>28</v>
      </c>
      <c r="AE127" s="709">
        <v>29</v>
      </c>
      <c r="AF127" s="708">
        <v>30</v>
      </c>
      <c r="AG127" s="497">
        <v>31</v>
      </c>
      <c r="AH127" s="655"/>
    </row>
    <row r="128" spans="1:35" ht="21" customHeight="1" x14ac:dyDescent="0.2">
      <c r="A128" s="585">
        <v>1</v>
      </c>
      <c r="B128" s="318" t="s">
        <v>679</v>
      </c>
      <c r="C128" s="553" t="s">
        <v>475</v>
      </c>
      <c r="D128" s="553" t="s">
        <v>505</v>
      </c>
      <c r="E128" s="553" t="s">
        <v>505</v>
      </c>
      <c r="F128" s="553" t="s">
        <v>644</v>
      </c>
      <c r="G128" s="553" t="s">
        <v>644</v>
      </c>
      <c r="H128" s="553" t="s">
        <v>644</v>
      </c>
      <c r="I128" s="553" t="s">
        <v>644</v>
      </c>
      <c r="J128" s="553" t="s">
        <v>644</v>
      </c>
      <c r="K128" s="553"/>
      <c r="L128" s="553"/>
      <c r="M128" s="553" t="s">
        <v>643</v>
      </c>
      <c r="N128" s="610" t="s">
        <v>643</v>
      </c>
      <c r="O128" s="553" t="s">
        <v>643</v>
      </c>
      <c r="P128" s="553" t="s">
        <v>643</v>
      </c>
      <c r="Q128" s="553" t="s">
        <v>643</v>
      </c>
      <c r="R128" s="553" t="s">
        <v>550</v>
      </c>
      <c r="S128" s="553"/>
      <c r="T128" s="553" t="s">
        <v>538</v>
      </c>
      <c r="U128" s="553" t="s">
        <v>538</v>
      </c>
      <c r="V128" s="553" t="s">
        <v>538</v>
      </c>
      <c r="W128" s="553" t="s">
        <v>538</v>
      </c>
      <c r="X128" s="553" t="s">
        <v>538</v>
      </c>
      <c r="Y128" s="553"/>
      <c r="Z128" s="553"/>
      <c r="AA128" s="1715" t="s">
        <v>596</v>
      </c>
      <c r="AB128" s="1715" t="s">
        <v>596</v>
      </c>
      <c r="AC128" s="1715" t="s">
        <v>596</v>
      </c>
      <c r="AD128" s="1715" t="s">
        <v>596</v>
      </c>
      <c r="AE128" s="1715" t="s">
        <v>596</v>
      </c>
      <c r="AF128" s="553" t="s">
        <v>507</v>
      </c>
      <c r="AG128" s="553" t="s">
        <v>507</v>
      </c>
      <c r="AH128" s="655"/>
    </row>
    <row r="129" spans="1:36" ht="21" customHeight="1" x14ac:dyDescent="0.2">
      <c r="A129" s="585">
        <v>2</v>
      </c>
      <c r="B129" s="657" t="s">
        <v>680</v>
      </c>
      <c r="C129" s="171" t="s">
        <v>552</v>
      </c>
      <c r="D129" s="553" t="s">
        <v>550</v>
      </c>
      <c r="E129" s="553" t="s">
        <v>550</v>
      </c>
      <c r="F129" s="553" t="s">
        <v>475</v>
      </c>
      <c r="G129" s="553">
        <v>3</v>
      </c>
      <c r="H129" s="553">
        <v>3</v>
      </c>
      <c r="I129" s="553" t="s">
        <v>475</v>
      </c>
      <c r="J129" s="553" t="s">
        <v>475</v>
      </c>
      <c r="K129" s="553"/>
      <c r="L129" s="553"/>
      <c r="M129" s="553" t="s">
        <v>694</v>
      </c>
      <c r="N129" s="553" t="s">
        <v>694</v>
      </c>
      <c r="O129" s="553" t="s">
        <v>694</v>
      </c>
      <c r="P129" s="553" t="s">
        <v>694</v>
      </c>
      <c r="Q129" s="553" t="s">
        <v>694</v>
      </c>
      <c r="R129" s="553"/>
      <c r="S129" s="553"/>
      <c r="T129" s="553" t="s">
        <v>484</v>
      </c>
      <c r="U129" s="553" t="s">
        <v>484</v>
      </c>
      <c r="V129" s="553" t="s">
        <v>484</v>
      </c>
      <c r="W129" s="553" t="s">
        <v>484</v>
      </c>
      <c r="X129" s="553" t="s">
        <v>484</v>
      </c>
      <c r="Y129" s="553"/>
      <c r="Z129" s="553"/>
      <c r="AA129" s="553" t="s">
        <v>484</v>
      </c>
      <c r="AB129" s="553" t="s">
        <v>484</v>
      </c>
      <c r="AC129" s="553" t="s">
        <v>484</v>
      </c>
      <c r="AD129" s="553" t="s">
        <v>484</v>
      </c>
      <c r="AE129" s="553" t="s">
        <v>484</v>
      </c>
      <c r="AF129" s="553"/>
      <c r="AG129" s="553"/>
      <c r="AH129" s="655"/>
    </row>
    <row r="130" spans="1:36" ht="21" customHeight="1" x14ac:dyDescent="0.2">
      <c r="A130" s="585">
        <v>3</v>
      </c>
      <c r="B130" s="1450" t="s">
        <v>695</v>
      </c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656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655"/>
    </row>
    <row r="131" spans="1:36" ht="21" customHeight="1" x14ac:dyDescent="0.2">
      <c r="A131" s="585">
        <v>4</v>
      </c>
      <c r="B131" s="552" t="s">
        <v>696</v>
      </c>
      <c r="C131" s="171"/>
      <c r="D131" s="171"/>
      <c r="E131" s="171"/>
      <c r="F131" s="1082">
        <v>8</v>
      </c>
      <c r="G131" s="1116">
        <v>8</v>
      </c>
      <c r="H131" s="1082">
        <v>8</v>
      </c>
      <c r="I131" s="1082">
        <v>8</v>
      </c>
      <c r="J131" s="1082">
        <v>8</v>
      </c>
      <c r="K131" s="1082" t="s">
        <v>504</v>
      </c>
      <c r="L131" s="1082" t="s">
        <v>504</v>
      </c>
      <c r="M131" s="553" t="s">
        <v>475</v>
      </c>
      <c r="N131" s="553" t="s">
        <v>475</v>
      </c>
      <c r="O131" s="553" t="s">
        <v>475</v>
      </c>
      <c r="P131" s="553" t="s">
        <v>475</v>
      </c>
      <c r="Q131" s="565" t="s">
        <v>475</v>
      </c>
      <c r="R131" s="553"/>
      <c r="S131" s="566"/>
      <c r="T131" s="1082">
        <v>1</v>
      </c>
      <c r="U131" s="1082">
        <v>1</v>
      </c>
      <c r="V131" s="1082">
        <v>1</v>
      </c>
      <c r="W131" s="1082">
        <v>1</v>
      </c>
      <c r="X131" s="1082">
        <v>1</v>
      </c>
      <c r="Y131" s="553"/>
      <c r="Z131" s="553"/>
      <c r="AA131" s="1082">
        <v>9</v>
      </c>
      <c r="AB131" s="1082">
        <v>9</v>
      </c>
      <c r="AC131" s="1082">
        <v>9</v>
      </c>
      <c r="AD131" s="1082">
        <v>9</v>
      </c>
      <c r="AE131" s="1082">
        <v>9</v>
      </c>
      <c r="AF131" s="1437"/>
      <c r="AG131" s="1468"/>
      <c r="AH131" s="655"/>
    </row>
    <row r="132" spans="1:36" ht="21" customHeight="1" x14ac:dyDescent="0.2">
      <c r="A132" s="585">
        <v>5</v>
      </c>
      <c r="B132" s="552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655"/>
      <c r="AJ132" s="1720"/>
    </row>
    <row r="133" spans="1:36" ht="21" customHeight="1" x14ac:dyDescent="0.2">
      <c r="A133" s="585"/>
      <c r="B133" s="152" t="s">
        <v>597</v>
      </c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656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655"/>
    </row>
    <row r="134" spans="1:36" ht="21.95" customHeight="1" x14ac:dyDescent="0.2">
      <c r="A134" s="1" t="s">
        <v>603</v>
      </c>
      <c r="B134" s="273"/>
      <c r="C134" s="138"/>
      <c r="D134" s="138"/>
      <c r="E134" s="138"/>
      <c r="F134" s="138"/>
      <c r="G134" s="138"/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Y134" s="138"/>
      <c r="Z134" s="138"/>
      <c r="AA134" s="138"/>
      <c r="AB134" s="138"/>
      <c r="AC134" s="138"/>
      <c r="AD134" s="138"/>
      <c r="AE134" s="138"/>
      <c r="AF134" s="138"/>
      <c r="AG134" s="138"/>
    </row>
    <row r="135" spans="1:36" ht="21.95" customHeight="1" x14ac:dyDescent="0.2">
      <c r="A135" s="1"/>
      <c r="B135" s="200" t="s">
        <v>604</v>
      </c>
      <c r="C135" s="7"/>
      <c r="D135" s="530" t="s">
        <v>2</v>
      </c>
      <c r="E135" s="51"/>
      <c r="F135" s="573"/>
      <c r="G135" s="7"/>
      <c r="H135" s="530" t="s">
        <v>3</v>
      </c>
      <c r="I135" s="51"/>
      <c r="J135" s="573"/>
      <c r="K135" s="7"/>
      <c r="L135" s="530" t="s">
        <v>4</v>
      </c>
      <c r="M135" s="51"/>
      <c r="N135" s="573"/>
      <c r="O135" s="7"/>
      <c r="P135" s="530" t="s">
        <v>5</v>
      </c>
      <c r="Q135" s="51"/>
      <c r="R135" s="573"/>
      <c r="S135" s="7"/>
      <c r="T135" s="530" t="s">
        <v>6</v>
      </c>
      <c r="U135" s="51"/>
      <c r="V135" s="573"/>
      <c r="W135" s="7"/>
      <c r="X135" s="530" t="s">
        <v>7</v>
      </c>
      <c r="Y135" s="51"/>
      <c r="Z135" s="573"/>
      <c r="AA135" s="7"/>
      <c r="AB135" s="530" t="s">
        <v>8</v>
      </c>
      <c r="AC135" s="51"/>
      <c r="AD135" s="51"/>
      <c r="AE135" s="424" t="s">
        <v>10</v>
      </c>
      <c r="AF135" s="51"/>
      <c r="AG135" s="51"/>
      <c r="AH135" s="51"/>
      <c r="AI135" s="531"/>
    </row>
    <row r="136" spans="1:36" ht="21.95" customHeight="1" x14ac:dyDescent="0.2">
      <c r="A136" s="1"/>
      <c r="B136" s="305">
        <v>3701</v>
      </c>
      <c r="C136" s="641" t="s">
        <v>124</v>
      </c>
      <c r="D136" s="658"/>
      <c r="E136" s="55"/>
      <c r="F136" s="580"/>
      <c r="G136" s="641" t="s">
        <v>124</v>
      </c>
      <c r="H136" s="659"/>
      <c r="I136" s="55"/>
      <c r="J136" s="580"/>
      <c r="K136" s="641" t="s">
        <v>124</v>
      </c>
      <c r="L136" s="659"/>
      <c r="M136" s="55"/>
      <c r="N136" s="580"/>
      <c r="O136" s="641" t="s">
        <v>124</v>
      </c>
      <c r="P136" s="659"/>
      <c r="Q136" s="55"/>
      <c r="R136" s="580"/>
      <c r="S136" s="14" t="s">
        <v>125</v>
      </c>
      <c r="T136" s="659"/>
      <c r="U136" s="55"/>
      <c r="V136" s="580"/>
      <c r="W136" s="14"/>
      <c r="X136" s="659"/>
      <c r="Y136" s="55"/>
      <c r="Z136" s="580"/>
      <c r="AA136" s="14"/>
      <c r="AB136" s="659"/>
      <c r="AC136" s="55"/>
      <c r="AD136" s="55"/>
      <c r="AE136" s="660"/>
      <c r="AF136" s="55"/>
      <c r="AG136" s="55"/>
      <c r="AH136" s="55"/>
      <c r="AI136" s="661"/>
    </row>
    <row r="137" spans="1:36" ht="21.95" customHeight="1" x14ac:dyDescent="0.2">
      <c r="B137" s="662">
        <v>3700</v>
      </c>
      <c r="C137" s="121" t="s">
        <v>534</v>
      </c>
      <c r="D137" s="156"/>
      <c r="E137" s="156"/>
      <c r="F137" s="612"/>
      <c r="G137" s="121" t="s">
        <v>534</v>
      </c>
      <c r="H137" s="156"/>
      <c r="I137" s="156"/>
      <c r="J137" s="612"/>
      <c r="K137" s="121" t="s">
        <v>534</v>
      </c>
      <c r="L137" s="156"/>
      <c r="M137" s="156"/>
      <c r="N137" s="612"/>
      <c r="O137" s="121" t="s">
        <v>534</v>
      </c>
      <c r="P137" s="156"/>
      <c r="Q137" s="156"/>
      <c r="R137" s="612"/>
      <c r="S137" s="121" t="s">
        <v>116</v>
      </c>
      <c r="T137" s="156"/>
      <c r="U137" s="156"/>
      <c r="V137" s="612"/>
      <c r="W137" s="121"/>
      <c r="X137" s="156"/>
      <c r="Y137" s="156"/>
      <c r="Z137" s="612"/>
      <c r="AA137" s="611"/>
      <c r="AB137" s="156"/>
      <c r="AC137" s="156"/>
      <c r="AD137" s="613"/>
      <c r="AE137" s="663"/>
      <c r="AF137" s="156"/>
      <c r="AG137" s="156" t="s">
        <v>28</v>
      </c>
      <c r="AH137" s="613"/>
      <c r="AI137" s="489"/>
    </row>
    <row r="138" spans="1:36" ht="21.95" customHeight="1" x14ac:dyDescent="0.2">
      <c r="A138" s="1"/>
      <c r="B138" s="129" t="s">
        <v>605</v>
      </c>
      <c r="C138" s="611" t="s">
        <v>606</v>
      </c>
      <c r="D138" s="156"/>
      <c r="E138" s="156"/>
      <c r="F138" s="612"/>
      <c r="G138" s="611" t="s">
        <v>606</v>
      </c>
      <c r="H138" s="156"/>
      <c r="I138" s="156"/>
      <c r="J138" s="612"/>
      <c r="K138" s="611" t="s">
        <v>606</v>
      </c>
      <c r="L138" s="156"/>
      <c r="M138" s="156"/>
      <c r="N138" s="612"/>
      <c r="O138" s="611" t="s">
        <v>606</v>
      </c>
      <c r="P138" s="156"/>
      <c r="Q138" s="156"/>
      <c r="R138" s="612"/>
      <c r="S138" s="611" t="s">
        <v>607</v>
      </c>
      <c r="T138" s="156"/>
      <c r="U138" s="156"/>
      <c r="V138" s="612"/>
      <c r="W138" s="121"/>
      <c r="X138" s="156"/>
      <c r="Y138" s="156"/>
      <c r="Z138" s="612"/>
      <c r="AA138" s="121"/>
      <c r="AB138" s="156"/>
      <c r="AC138" s="156"/>
      <c r="AD138" s="613"/>
      <c r="AE138" s="121"/>
      <c r="AF138" s="156"/>
      <c r="AG138" s="156"/>
      <c r="AH138" s="613"/>
      <c r="AI138" s="489"/>
    </row>
    <row r="139" spans="1:36" ht="21.95" customHeight="1" x14ac:dyDescent="0.2">
      <c r="A139" s="1"/>
      <c r="B139" s="664">
        <v>8500</v>
      </c>
      <c r="C139" s="665" t="s">
        <v>264</v>
      </c>
      <c r="D139" s="55"/>
      <c r="E139" s="55"/>
      <c r="F139" s="666"/>
      <c r="G139" s="665" t="s">
        <v>264</v>
      </c>
      <c r="H139" s="55"/>
      <c r="I139" s="55"/>
      <c r="J139" s="666"/>
      <c r="K139" s="665" t="s">
        <v>264</v>
      </c>
      <c r="L139" s="55"/>
      <c r="M139" s="55"/>
      <c r="N139" s="666"/>
      <c r="O139" s="665" t="s">
        <v>264</v>
      </c>
      <c r="P139" s="55"/>
      <c r="Q139" s="55"/>
      <c r="R139" s="666"/>
      <c r="S139" s="665" t="s">
        <v>265</v>
      </c>
      <c r="T139" s="55"/>
      <c r="U139" s="55"/>
      <c r="V139" s="666"/>
      <c r="W139" s="665"/>
      <c r="X139" s="55"/>
      <c r="Y139" s="55"/>
      <c r="Z139" s="666"/>
      <c r="AA139" s="665"/>
      <c r="AB139" s="55"/>
      <c r="AC139" s="55"/>
      <c r="AD139" s="666"/>
      <c r="AE139" s="665"/>
      <c r="AF139" s="55"/>
      <c r="AG139" s="55"/>
      <c r="AH139" s="641"/>
      <c r="AI139" s="661"/>
    </row>
    <row r="140" spans="1:36" ht="21.95" customHeight="1" x14ac:dyDescent="0.2">
      <c r="A140" s="1"/>
      <c r="B140" s="9">
        <v>8514</v>
      </c>
      <c r="C140" s="667" t="s">
        <v>264</v>
      </c>
      <c r="D140" s="668"/>
      <c r="E140" s="669"/>
      <c r="F140" s="670"/>
      <c r="G140" s="667" t="s">
        <v>264</v>
      </c>
      <c r="H140" s="668"/>
      <c r="I140" s="669"/>
      <c r="J140" s="670"/>
      <c r="K140" s="667" t="s">
        <v>264</v>
      </c>
      <c r="L140" s="668"/>
      <c r="M140" s="669"/>
      <c r="N140" s="670"/>
      <c r="O140" s="667" t="s">
        <v>682</v>
      </c>
      <c r="P140" s="668"/>
      <c r="Q140" s="669"/>
      <c r="R140" s="670"/>
      <c r="S140" s="667" t="s">
        <v>265</v>
      </c>
      <c r="T140" s="668"/>
      <c r="U140" s="669"/>
      <c r="V140" s="670"/>
      <c r="W140" s="14"/>
      <c r="X140" s="659"/>
      <c r="Y140" s="55"/>
      <c r="Z140" s="580"/>
      <c r="AA140" s="14"/>
      <c r="AB140" s="659"/>
      <c r="AC140" s="55"/>
      <c r="AD140" s="55"/>
      <c r="AE140" s="660"/>
      <c r="AF140" s="55"/>
      <c r="AG140" s="55"/>
      <c r="AH140" s="55"/>
      <c r="AI140" s="661"/>
    </row>
    <row r="141" spans="1:36" ht="21.95" customHeight="1" x14ac:dyDescent="0.2">
      <c r="A141" s="1"/>
      <c r="B141" s="671">
        <v>8521</v>
      </c>
      <c r="C141" s="57" t="s">
        <v>534</v>
      </c>
      <c r="D141" s="53"/>
      <c r="E141" s="53"/>
      <c r="F141" s="619"/>
      <c r="G141" s="57" t="s">
        <v>534</v>
      </c>
      <c r="H141" s="53"/>
      <c r="I141" s="53"/>
      <c r="J141" s="619"/>
      <c r="K141" s="57" t="s">
        <v>534</v>
      </c>
      <c r="L141" s="53"/>
      <c r="M141" s="53"/>
      <c r="N141" s="619"/>
      <c r="O141" s="57" t="s">
        <v>534</v>
      </c>
      <c r="P141" s="53"/>
      <c r="Q141" s="53"/>
      <c r="R141" s="619"/>
      <c r="S141" s="57" t="s">
        <v>116</v>
      </c>
      <c r="T141" s="53"/>
      <c r="U141" s="53"/>
      <c r="V141" s="619"/>
      <c r="W141" s="57"/>
      <c r="X141" s="53"/>
      <c r="Y141" s="53"/>
      <c r="Z141" s="619"/>
      <c r="AA141" s="618"/>
      <c r="AB141" s="53"/>
      <c r="AC141" s="53"/>
      <c r="AD141" s="620"/>
      <c r="AE141" s="672"/>
      <c r="AF141" s="53"/>
      <c r="AG141" s="53" t="s">
        <v>28</v>
      </c>
      <c r="AH141" s="620"/>
      <c r="AI141" s="544"/>
    </row>
    <row r="142" spans="1:36" ht="21.95" customHeight="1" x14ac:dyDescent="0.2">
      <c r="A142" s="1"/>
      <c r="B142" s="72"/>
      <c r="C142" s="311"/>
      <c r="F142" s="353"/>
      <c r="G142" s="311"/>
      <c r="J142" s="353"/>
      <c r="K142" s="311"/>
      <c r="N142" s="353"/>
      <c r="O142" s="311"/>
      <c r="R142" s="353"/>
      <c r="S142" s="311"/>
      <c r="V142" s="353"/>
      <c r="W142" s="353"/>
      <c r="Z142" s="353"/>
      <c r="AA142" s="353"/>
      <c r="AD142" s="353"/>
      <c r="AE142" s="353"/>
      <c r="AH142" s="353"/>
    </row>
    <row r="143" spans="1:36" ht="21.95" customHeight="1" x14ac:dyDescent="0.2">
      <c r="A143" s="1" t="s">
        <v>659</v>
      </c>
      <c r="B143" s="72"/>
      <c r="C143" s="311"/>
      <c r="F143" s="353"/>
      <c r="G143" s="311"/>
      <c r="J143" s="353"/>
      <c r="K143" s="311"/>
      <c r="N143" s="353"/>
      <c r="O143" s="311"/>
      <c r="R143" s="353"/>
      <c r="S143" s="311"/>
      <c r="V143" s="353"/>
      <c r="W143" s="353"/>
      <c r="Z143" s="353"/>
      <c r="AA143" s="353"/>
      <c r="AD143" s="353"/>
      <c r="AE143" s="353"/>
      <c r="AH143" s="353"/>
    </row>
    <row r="144" spans="1:36" ht="21.95" customHeight="1" x14ac:dyDescent="0.2">
      <c r="A144" s="585"/>
      <c r="B144" s="296" t="s">
        <v>469</v>
      </c>
      <c r="C144" s="177">
        <v>1</v>
      </c>
      <c r="D144" s="708">
        <v>2</v>
      </c>
      <c r="E144" s="708">
        <v>3</v>
      </c>
      <c r="F144" s="709">
        <v>4</v>
      </c>
      <c r="G144" s="709">
        <v>5</v>
      </c>
      <c r="H144" s="709">
        <v>6</v>
      </c>
      <c r="I144" s="709">
        <v>7</v>
      </c>
      <c r="J144" s="709">
        <v>8</v>
      </c>
      <c r="K144" s="708">
        <v>9</v>
      </c>
      <c r="L144" s="708">
        <v>10</v>
      </c>
      <c r="M144" s="709">
        <v>11</v>
      </c>
      <c r="N144" s="709">
        <v>12</v>
      </c>
      <c r="O144" s="709">
        <v>13</v>
      </c>
      <c r="P144" s="709">
        <v>14</v>
      </c>
      <c r="Q144" s="709">
        <v>15</v>
      </c>
      <c r="R144" s="708">
        <v>16</v>
      </c>
      <c r="S144" s="708">
        <v>17</v>
      </c>
      <c r="T144" s="709">
        <v>18</v>
      </c>
      <c r="U144" s="709">
        <v>19</v>
      </c>
      <c r="V144" s="709">
        <v>20</v>
      </c>
      <c r="W144" s="709">
        <v>21</v>
      </c>
      <c r="X144" s="709">
        <v>22</v>
      </c>
      <c r="Y144" s="708">
        <v>23</v>
      </c>
      <c r="Z144" s="708">
        <v>24</v>
      </c>
      <c r="AA144" s="709">
        <v>25</v>
      </c>
      <c r="AB144" s="709">
        <v>26</v>
      </c>
      <c r="AC144" s="709">
        <v>27</v>
      </c>
      <c r="AD144" s="709">
        <v>28</v>
      </c>
      <c r="AE144" s="709">
        <v>29</v>
      </c>
      <c r="AF144" s="708">
        <v>30</v>
      </c>
      <c r="AG144" s="497">
        <v>31</v>
      </c>
      <c r="AH144" s="499" t="s">
        <v>470</v>
      </c>
      <c r="AI144" s="500" t="s">
        <v>471</v>
      </c>
    </row>
    <row r="145" spans="1:35" ht="21.95" customHeight="1" x14ac:dyDescent="0.2">
      <c r="A145" s="585"/>
      <c r="B145" s="673" t="s">
        <v>610</v>
      </c>
      <c r="C145" s="503" t="s">
        <v>482</v>
      </c>
      <c r="D145" s="521"/>
      <c r="E145" s="521"/>
      <c r="F145" s="521" t="s">
        <v>482</v>
      </c>
      <c r="G145" s="521" t="s">
        <v>482</v>
      </c>
      <c r="H145" s="521" t="s">
        <v>482</v>
      </c>
      <c r="I145" s="521" t="s">
        <v>482</v>
      </c>
      <c r="J145" s="521" t="s">
        <v>482</v>
      </c>
      <c r="K145" s="521"/>
      <c r="L145" s="521"/>
      <c r="M145" s="1470" t="s">
        <v>482</v>
      </c>
      <c r="N145" s="1470" t="s">
        <v>482</v>
      </c>
      <c r="O145" s="1470" t="s">
        <v>482</v>
      </c>
      <c r="P145" s="1470" t="s">
        <v>482</v>
      </c>
      <c r="Q145" s="1470" t="s">
        <v>482</v>
      </c>
      <c r="R145" s="521"/>
      <c r="S145" s="521"/>
      <c r="T145" s="1073" t="s">
        <v>482</v>
      </c>
      <c r="U145" s="1073" t="s">
        <v>482</v>
      </c>
      <c r="V145" s="1073" t="s">
        <v>482</v>
      </c>
      <c r="W145" s="1073" t="s">
        <v>482</v>
      </c>
      <c r="X145" s="1073" t="s">
        <v>482</v>
      </c>
      <c r="Y145" s="1073"/>
      <c r="Z145" s="1073"/>
      <c r="AA145" s="1073" t="s">
        <v>482</v>
      </c>
      <c r="AB145" s="1073" t="s">
        <v>482</v>
      </c>
      <c r="AC145" s="1073" t="s">
        <v>482</v>
      </c>
      <c r="AD145" s="1073" t="s">
        <v>482</v>
      </c>
      <c r="AE145" s="1073" t="s">
        <v>482</v>
      </c>
      <c r="AF145" s="503"/>
      <c r="AG145" s="521"/>
      <c r="AH145" s="703">
        <v>74</v>
      </c>
      <c r="AI145" s="704">
        <v>37</v>
      </c>
    </row>
    <row r="146" spans="1:35" ht="21.95" customHeight="1" x14ac:dyDescent="0.2">
      <c r="A146" s="674">
        <v>8500</v>
      </c>
      <c r="B146" s="675" t="s">
        <v>156</v>
      </c>
      <c r="C146" s="503" t="s">
        <v>482</v>
      </c>
      <c r="D146" s="503"/>
      <c r="E146" s="503"/>
      <c r="F146" s="1059" t="s">
        <v>482</v>
      </c>
      <c r="G146" s="1059" t="s">
        <v>482</v>
      </c>
      <c r="H146" s="1059" t="s">
        <v>482</v>
      </c>
      <c r="I146" s="1059" t="s">
        <v>482</v>
      </c>
      <c r="J146" s="1059" t="s">
        <v>482</v>
      </c>
      <c r="K146" s="1059"/>
      <c r="L146" s="1059"/>
      <c r="M146" s="1059" t="s">
        <v>482</v>
      </c>
      <c r="N146" s="1059" t="s">
        <v>482</v>
      </c>
      <c r="O146" s="1059" t="s">
        <v>482</v>
      </c>
      <c r="P146" s="1059" t="s">
        <v>482</v>
      </c>
      <c r="Q146" s="1059" t="s">
        <v>482</v>
      </c>
      <c r="R146" s="1059"/>
      <c r="S146" s="1059"/>
      <c r="T146" s="1059" t="s">
        <v>482</v>
      </c>
      <c r="U146" s="1059" t="s">
        <v>482</v>
      </c>
      <c r="V146" s="1059" t="s">
        <v>482</v>
      </c>
      <c r="W146" s="1059" t="s">
        <v>482</v>
      </c>
      <c r="X146" s="1059" t="s">
        <v>482</v>
      </c>
      <c r="Y146" s="1059"/>
      <c r="Z146" s="1073"/>
      <c r="AA146" s="1073" t="s">
        <v>482</v>
      </c>
      <c r="AB146" s="1073" t="s">
        <v>482</v>
      </c>
      <c r="AC146" s="1073" t="s">
        <v>482</v>
      </c>
      <c r="AD146" s="1073" t="s">
        <v>482</v>
      </c>
      <c r="AE146" s="1073" t="s">
        <v>482</v>
      </c>
      <c r="AF146" s="503"/>
      <c r="AG146" s="521"/>
      <c r="AH146" s="648">
        <v>37</v>
      </c>
      <c r="AI146" s="649">
        <v>37</v>
      </c>
    </row>
    <row r="147" spans="1:35" ht="21" customHeight="1" x14ac:dyDescent="0.2">
      <c r="A147" s="441"/>
      <c r="B147" s="673" t="s">
        <v>611</v>
      </c>
      <c r="C147" s="503" t="s">
        <v>482</v>
      </c>
      <c r="D147" s="503"/>
      <c r="E147" s="503"/>
      <c r="F147" s="503" t="s">
        <v>482</v>
      </c>
      <c r="G147" s="503" t="s">
        <v>482</v>
      </c>
      <c r="H147" s="503" t="s">
        <v>482</v>
      </c>
      <c r="I147" s="503" t="s">
        <v>482</v>
      </c>
      <c r="J147" s="503" t="s">
        <v>482</v>
      </c>
      <c r="K147" s="503"/>
      <c r="L147" s="503"/>
      <c r="M147" s="503" t="s">
        <v>482</v>
      </c>
      <c r="N147" s="503" t="s">
        <v>482</v>
      </c>
      <c r="O147" s="503" t="s">
        <v>482</v>
      </c>
      <c r="P147" s="503" t="s">
        <v>482</v>
      </c>
      <c r="Q147" s="503" t="s">
        <v>482</v>
      </c>
      <c r="R147" s="503"/>
      <c r="S147" s="503"/>
      <c r="T147" s="1059" t="s">
        <v>482</v>
      </c>
      <c r="U147" s="1059" t="s">
        <v>482</v>
      </c>
      <c r="V147" s="1059" t="s">
        <v>482</v>
      </c>
      <c r="W147" s="1059" t="s">
        <v>482</v>
      </c>
      <c r="X147" s="1059" t="s">
        <v>482</v>
      </c>
      <c r="Y147" s="1059"/>
      <c r="Z147" s="1073"/>
      <c r="AA147" s="1073" t="s">
        <v>482</v>
      </c>
      <c r="AB147" s="1073" t="s">
        <v>482</v>
      </c>
      <c r="AC147" s="1073" t="s">
        <v>482</v>
      </c>
      <c r="AD147" s="1073" t="s">
        <v>482</v>
      </c>
      <c r="AE147" s="1073" t="s">
        <v>482</v>
      </c>
      <c r="AF147" s="1059"/>
      <c r="AG147" s="1073"/>
      <c r="AH147" s="648">
        <v>140</v>
      </c>
      <c r="AI147" s="649">
        <v>37</v>
      </c>
    </row>
    <row r="148" spans="1:35" ht="21" customHeight="1" x14ac:dyDescent="0.2">
      <c r="A148" s="441"/>
      <c r="B148" s="673" t="s">
        <v>613</v>
      </c>
      <c r="C148" s="1059" t="s">
        <v>482</v>
      </c>
      <c r="D148" s="1059"/>
      <c r="E148" s="1059"/>
      <c r="F148" s="1059" t="s">
        <v>482</v>
      </c>
      <c r="G148" s="1059" t="s">
        <v>482</v>
      </c>
      <c r="H148" s="1059" t="s">
        <v>482</v>
      </c>
      <c r="I148" s="1059" t="s">
        <v>482</v>
      </c>
      <c r="J148" s="1059" t="s">
        <v>482</v>
      </c>
      <c r="K148" s="1059"/>
      <c r="L148" s="1059"/>
      <c r="M148" s="1059" t="s">
        <v>482</v>
      </c>
      <c r="N148" s="1059" t="s">
        <v>482</v>
      </c>
      <c r="O148" s="1059" t="s">
        <v>482</v>
      </c>
      <c r="P148" s="1059" t="s">
        <v>482</v>
      </c>
      <c r="Q148" s="1059" t="s">
        <v>482</v>
      </c>
      <c r="R148" s="1059"/>
      <c r="S148" s="1059"/>
      <c r="T148" s="1059" t="s">
        <v>482</v>
      </c>
      <c r="U148" s="1059" t="s">
        <v>482</v>
      </c>
      <c r="V148" s="1059" t="s">
        <v>482</v>
      </c>
      <c r="W148" s="1059" t="s">
        <v>482</v>
      </c>
      <c r="X148" s="1059" t="s">
        <v>482</v>
      </c>
      <c r="Y148" s="1059"/>
      <c r="Z148" s="1073"/>
      <c r="AA148" s="521" t="s">
        <v>482</v>
      </c>
      <c r="AB148" s="521" t="s">
        <v>482</v>
      </c>
      <c r="AC148" s="521" t="s">
        <v>482</v>
      </c>
      <c r="AD148" s="521" t="s">
        <v>482</v>
      </c>
      <c r="AE148" s="521" t="s">
        <v>482</v>
      </c>
      <c r="AF148" s="503"/>
      <c r="AG148" s="521"/>
      <c r="AH148" s="648">
        <v>37</v>
      </c>
      <c r="AI148" s="649">
        <v>37</v>
      </c>
    </row>
    <row r="149" spans="1:35" ht="21" customHeight="1" x14ac:dyDescent="0.2">
      <c r="A149" s="441">
        <v>8521</v>
      </c>
      <c r="B149" s="673" t="s">
        <v>614</v>
      </c>
      <c r="C149" s="503" t="s">
        <v>482</v>
      </c>
      <c r="D149" s="503"/>
      <c r="E149" s="503"/>
      <c r="F149" s="503" t="s">
        <v>482</v>
      </c>
      <c r="G149" s="503" t="s">
        <v>482</v>
      </c>
      <c r="H149" s="503" t="s">
        <v>482</v>
      </c>
      <c r="I149" s="503" t="s">
        <v>482</v>
      </c>
      <c r="J149" s="503" t="s">
        <v>482</v>
      </c>
      <c r="K149" s="503"/>
      <c r="L149" s="503"/>
      <c r="M149" s="503" t="s">
        <v>482</v>
      </c>
      <c r="N149" s="503" t="s">
        <v>482</v>
      </c>
      <c r="O149" s="503" t="s">
        <v>482</v>
      </c>
      <c r="P149" s="503" t="s">
        <v>482</v>
      </c>
      <c r="Q149" s="503" t="s">
        <v>482</v>
      </c>
      <c r="R149" s="503"/>
      <c r="S149" s="503"/>
      <c r="T149" s="503" t="s">
        <v>482</v>
      </c>
      <c r="U149" s="503" t="s">
        <v>482</v>
      </c>
      <c r="V149" s="503" t="s">
        <v>482</v>
      </c>
      <c r="W149" s="503" t="s">
        <v>482</v>
      </c>
      <c r="X149" s="503" t="s">
        <v>482</v>
      </c>
      <c r="Y149" s="503"/>
      <c r="Z149" s="521"/>
      <c r="AA149" s="1073" t="s">
        <v>482</v>
      </c>
      <c r="AB149" s="1059" t="s">
        <v>482</v>
      </c>
      <c r="AC149" s="1059" t="s">
        <v>482</v>
      </c>
      <c r="AD149" s="1073" t="s">
        <v>482</v>
      </c>
      <c r="AE149" s="1073" t="s">
        <v>482</v>
      </c>
      <c r="AF149" s="1059"/>
      <c r="AG149" s="1073"/>
      <c r="AH149" s="648">
        <v>148</v>
      </c>
      <c r="AI149" s="649">
        <v>37</v>
      </c>
    </row>
    <row r="150" spans="1:35" ht="21" customHeight="1" x14ac:dyDescent="0.2">
      <c r="A150" s="441"/>
      <c r="B150" s="676" t="s">
        <v>615</v>
      </c>
      <c r="C150" s="503" t="s">
        <v>482</v>
      </c>
      <c r="D150" s="503"/>
      <c r="E150" s="503"/>
      <c r="F150" s="503" t="s">
        <v>482</v>
      </c>
      <c r="G150" s="503" t="s">
        <v>482</v>
      </c>
      <c r="H150" s="503" t="s">
        <v>482</v>
      </c>
      <c r="I150" s="503" t="s">
        <v>482</v>
      </c>
      <c r="J150" s="1715" t="s">
        <v>482</v>
      </c>
      <c r="K150" s="503"/>
      <c r="L150" s="503"/>
      <c r="M150" s="1059" t="s">
        <v>482</v>
      </c>
      <c r="N150" s="1059" t="s">
        <v>482</v>
      </c>
      <c r="O150" s="1059" t="s">
        <v>482</v>
      </c>
      <c r="P150" s="1059" t="s">
        <v>482</v>
      </c>
      <c r="Q150" s="1059" t="s">
        <v>482</v>
      </c>
      <c r="R150" s="1059"/>
      <c r="S150" s="1059"/>
      <c r="T150" s="1059" t="s">
        <v>482</v>
      </c>
      <c r="U150" s="1059" t="s">
        <v>482</v>
      </c>
      <c r="V150" s="1059" t="s">
        <v>482</v>
      </c>
      <c r="W150" s="1059" t="s">
        <v>482</v>
      </c>
      <c r="X150" s="1059" t="s">
        <v>482</v>
      </c>
      <c r="Y150" s="1059"/>
      <c r="Z150" s="1073"/>
      <c r="AA150" s="1073" t="s">
        <v>482</v>
      </c>
      <c r="AB150" s="1073" t="s">
        <v>482</v>
      </c>
      <c r="AC150" s="1073" t="s">
        <v>482</v>
      </c>
      <c r="AD150" s="1073" t="s">
        <v>482</v>
      </c>
      <c r="AE150" s="1073" t="s">
        <v>482</v>
      </c>
      <c r="AF150" s="1059"/>
      <c r="AG150" s="1073"/>
      <c r="AH150" s="648">
        <v>74</v>
      </c>
      <c r="AI150" s="649">
        <v>37</v>
      </c>
    </row>
    <row r="151" spans="1:35" ht="21" customHeight="1" x14ac:dyDescent="0.2">
      <c r="A151" s="441">
        <v>8514</v>
      </c>
      <c r="B151" s="673" t="s">
        <v>433</v>
      </c>
      <c r="C151" s="503" t="s">
        <v>482</v>
      </c>
      <c r="D151" s="503"/>
      <c r="E151" s="503"/>
      <c r="F151" s="1059" t="s">
        <v>482</v>
      </c>
      <c r="G151" s="1059" t="s">
        <v>482</v>
      </c>
      <c r="H151" s="1059" t="s">
        <v>482</v>
      </c>
      <c r="I151" s="1059" t="s">
        <v>482</v>
      </c>
      <c r="J151" s="1059" t="s">
        <v>482</v>
      </c>
      <c r="K151" s="1059"/>
      <c r="L151" s="1059"/>
      <c r="M151" s="1059" t="s">
        <v>482</v>
      </c>
      <c r="N151" s="1059" t="s">
        <v>482</v>
      </c>
      <c r="O151" s="1059" t="s">
        <v>482</v>
      </c>
      <c r="P151" s="1059" t="s">
        <v>482</v>
      </c>
      <c r="Q151" s="1059" t="s">
        <v>482</v>
      </c>
      <c r="R151" s="1059"/>
      <c r="S151" s="1059"/>
      <c r="T151" s="1059" t="s">
        <v>482</v>
      </c>
      <c r="U151" s="1059" t="s">
        <v>482</v>
      </c>
      <c r="V151" s="1059" t="s">
        <v>482</v>
      </c>
      <c r="W151" s="1059" t="s">
        <v>482</v>
      </c>
      <c r="X151" s="1059" t="s">
        <v>482</v>
      </c>
      <c r="Y151" s="1059"/>
      <c r="Z151" s="1073"/>
      <c r="AA151" s="1073" t="s">
        <v>482</v>
      </c>
      <c r="AB151" s="1073" t="s">
        <v>482</v>
      </c>
      <c r="AC151" s="1073" t="s">
        <v>482</v>
      </c>
      <c r="AD151" s="1073" t="s">
        <v>482</v>
      </c>
      <c r="AE151" s="1073" t="s">
        <v>482</v>
      </c>
      <c r="AF151" s="1059"/>
      <c r="AG151" s="1073"/>
      <c r="AH151" s="648">
        <v>37</v>
      </c>
      <c r="AI151" s="649">
        <v>37</v>
      </c>
    </row>
    <row r="152" spans="1:35" ht="21.95" customHeight="1" x14ac:dyDescent="0.2">
      <c r="A152" s="441">
        <v>3701</v>
      </c>
      <c r="B152" s="673" t="s">
        <v>431</v>
      </c>
      <c r="C152" s="503" t="s">
        <v>482</v>
      </c>
      <c r="D152" s="503"/>
      <c r="E152" s="503"/>
      <c r="F152" s="503" t="s">
        <v>482</v>
      </c>
      <c r="G152" s="503" t="s">
        <v>482</v>
      </c>
      <c r="H152" s="503" t="s">
        <v>482</v>
      </c>
      <c r="I152" s="503" t="s">
        <v>482</v>
      </c>
      <c r="J152" s="503" t="s">
        <v>482</v>
      </c>
      <c r="K152" s="503"/>
      <c r="L152" s="503"/>
      <c r="M152" s="503" t="s">
        <v>482</v>
      </c>
      <c r="N152" s="503" t="s">
        <v>482</v>
      </c>
      <c r="O152" s="503" t="s">
        <v>482</v>
      </c>
      <c r="P152" s="503" t="s">
        <v>482</v>
      </c>
      <c r="Q152" s="503" t="s">
        <v>482</v>
      </c>
      <c r="R152" s="503"/>
      <c r="S152" s="503"/>
      <c r="T152" s="1058" t="s">
        <v>482</v>
      </c>
      <c r="U152" s="1058" t="s">
        <v>482</v>
      </c>
      <c r="V152" s="503" t="s">
        <v>482</v>
      </c>
      <c r="W152" s="503" t="s">
        <v>482</v>
      </c>
      <c r="X152" s="1466" t="s">
        <v>482</v>
      </c>
      <c r="Y152" s="503"/>
      <c r="Z152" s="503"/>
      <c r="AA152" s="1059" t="s">
        <v>482</v>
      </c>
      <c r="AB152" s="1059" t="s">
        <v>482</v>
      </c>
      <c r="AC152" s="1059" t="s">
        <v>482</v>
      </c>
      <c r="AD152" s="1059" t="s">
        <v>482</v>
      </c>
      <c r="AE152" s="1059" t="s">
        <v>482</v>
      </c>
      <c r="AF152" s="1059"/>
      <c r="AG152" s="1059"/>
      <c r="AH152" s="648">
        <v>148</v>
      </c>
      <c r="AI152" s="649">
        <v>37</v>
      </c>
    </row>
    <row r="153" spans="1:35" ht="21.95" customHeight="1" x14ac:dyDescent="0.2">
      <c r="A153" s="441">
        <v>3701</v>
      </c>
      <c r="B153" s="673" t="s">
        <v>434</v>
      </c>
      <c r="C153" s="503" t="s">
        <v>482</v>
      </c>
      <c r="D153" s="503"/>
      <c r="E153" s="503"/>
      <c r="F153" s="1059" t="s">
        <v>482</v>
      </c>
      <c r="G153" s="1059" t="s">
        <v>482</v>
      </c>
      <c r="H153" s="1059" t="s">
        <v>482</v>
      </c>
      <c r="I153" s="1059" t="s">
        <v>482</v>
      </c>
      <c r="J153" s="1059" t="s">
        <v>482</v>
      </c>
      <c r="K153" s="1059"/>
      <c r="L153" s="1059"/>
      <c r="M153" s="1059">
        <v>19</v>
      </c>
      <c r="N153" s="1059">
        <v>19</v>
      </c>
      <c r="O153" s="1059">
        <v>19</v>
      </c>
      <c r="P153" s="1059">
        <v>19</v>
      </c>
      <c r="Q153" s="1059">
        <v>17</v>
      </c>
      <c r="R153" s="1059"/>
      <c r="S153" s="1059"/>
      <c r="T153" s="1059" t="s">
        <v>482</v>
      </c>
      <c r="U153" s="1059" t="s">
        <v>482</v>
      </c>
      <c r="V153" s="1059" t="s">
        <v>482</v>
      </c>
      <c r="W153" s="1059" t="s">
        <v>482</v>
      </c>
      <c r="X153" s="1059" t="s">
        <v>482</v>
      </c>
      <c r="Y153" s="1059"/>
      <c r="Z153" s="1059"/>
      <c r="AA153" s="1059"/>
      <c r="AB153" s="1059"/>
      <c r="AC153" s="1059"/>
      <c r="AD153" s="1059"/>
      <c r="AE153" s="1059"/>
      <c r="AF153" s="1059"/>
      <c r="AG153" s="1059"/>
      <c r="AH153" s="648">
        <v>37</v>
      </c>
      <c r="AI153" s="649">
        <v>37</v>
      </c>
    </row>
    <row r="154" spans="1:35" ht="21.95" customHeight="1" x14ac:dyDescent="0.2">
      <c r="A154" s="441">
        <v>3701</v>
      </c>
      <c r="B154" s="673" t="s">
        <v>436</v>
      </c>
      <c r="C154" s="1058" t="s">
        <v>482</v>
      </c>
      <c r="D154" s="503"/>
      <c r="E154" s="503"/>
      <c r="F154" s="503" t="s">
        <v>552</v>
      </c>
      <c r="G154" s="503" t="s">
        <v>552</v>
      </c>
      <c r="H154" s="503" t="s">
        <v>552</v>
      </c>
      <c r="I154" s="503" t="s">
        <v>552</v>
      </c>
      <c r="J154" s="503" t="s">
        <v>552</v>
      </c>
      <c r="K154" s="503"/>
      <c r="L154" s="503"/>
      <c r="M154" s="503" t="s">
        <v>482</v>
      </c>
      <c r="N154" s="503" t="s">
        <v>482</v>
      </c>
      <c r="O154" s="503" t="s">
        <v>482</v>
      </c>
      <c r="P154" s="503" t="s">
        <v>482</v>
      </c>
      <c r="Q154" s="503" t="s">
        <v>482</v>
      </c>
      <c r="R154" s="503"/>
      <c r="S154" s="503"/>
      <c r="T154" s="503" t="s">
        <v>482</v>
      </c>
      <c r="U154" s="503" t="s">
        <v>482</v>
      </c>
      <c r="V154" s="1058" t="s">
        <v>482</v>
      </c>
      <c r="W154" s="503" t="s">
        <v>482</v>
      </c>
      <c r="X154" s="1058" t="s">
        <v>482</v>
      </c>
      <c r="Y154" s="503"/>
      <c r="Z154" s="503"/>
      <c r="AA154" s="503" t="s">
        <v>482</v>
      </c>
      <c r="AB154" s="503" t="s">
        <v>482</v>
      </c>
      <c r="AC154" s="503" t="s">
        <v>482</v>
      </c>
      <c r="AD154" s="503" t="s">
        <v>482</v>
      </c>
      <c r="AE154" s="503" t="s">
        <v>482</v>
      </c>
      <c r="AF154" s="503"/>
      <c r="AG154" s="503"/>
      <c r="AH154" s="648">
        <v>148</v>
      </c>
      <c r="AI154" s="649">
        <v>37</v>
      </c>
    </row>
    <row r="155" spans="1:35" ht="21.95" customHeight="1" x14ac:dyDescent="0.2">
      <c r="A155" s="441">
        <v>3701</v>
      </c>
      <c r="B155" s="673" t="s">
        <v>437</v>
      </c>
      <c r="C155" s="503" t="s">
        <v>482</v>
      </c>
      <c r="D155" s="503"/>
      <c r="E155" s="503"/>
      <c r="F155" s="503">
        <v>19</v>
      </c>
      <c r="G155" s="503">
        <v>19</v>
      </c>
      <c r="H155" s="503">
        <v>19</v>
      </c>
      <c r="I155" s="503">
        <v>19</v>
      </c>
      <c r="J155" s="503">
        <v>17</v>
      </c>
      <c r="K155" s="503"/>
      <c r="L155" s="503"/>
      <c r="M155" s="503" t="s">
        <v>482</v>
      </c>
      <c r="N155" s="503" t="s">
        <v>482</v>
      </c>
      <c r="O155" s="503" t="s">
        <v>482</v>
      </c>
      <c r="P155" s="503" t="s">
        <v>482</v>
      </c>
      <c r="Q155" s="503" t="s">
        <v>482</v>
      </c>
      <c r="R155" s="503"/>
      <c r="S155" s="503"/>
      <c r="T155" s="1059"/>
      <c r="U155" s="1059"/>
      <c r="V155" s="1059"/>
      <c r="W155" s="1059"/>
      <c r="X155" s="1059"/>
      <c r="Y155" s="1059"/>
      <c r="Z155" s="1059"/>
      <c r="AA155" s="1059" t="s">
        <v>482</v>
      </c>
      <c r="AB155" s="1059" t="s">
        <v>482</v>
      </c>
      <c r="AC155" s="1059" t="s">
        <v>482</v>
      </c>
      <c r="AD155" s="1059" t="s">
        <v>482</v>
      </c>
      <c r="AE155" s="1059" t="s">
        <v>482</v>
      </c>
      <c r="AF155" s="1059"/>
      <c r="AG155" s="1059"/>
      <c r="AH155" s="648">
        <v>74</v>
      </c>
      <c r="AI155" s="649">
        <v>37</v>
      </c>
    </row>
    <row r="156" spans="1:35" ht="21.95" customHeight="1" x14ac:dyDescent="0.2">
      <c r="A156" s="441">
        <v>3701</v>
      </c>
      <c r="B156" s="673" t="s">
        <v>618</v>
      </c>
      <c r="C156" s="503" t="s">
        <v>482</v>
      </c>
      <c r="D156" s="503"/>
      <c r="E156" s="503"/>
      <c r="F156" s="1059" t="s">
        <v>482</v>
      </c>
      <c r="G156" s="1059" t="s">
        <v>482</v>
      </c>
      <c r="H156" s="1059" t="s">
        <v>482</v>
      </c>
      <c r="I156" s="1059" t="s">
        <v>482</v>
      </c>
      <c r="J156" s="1059" t="s">
        <v>482</v>
      </c>
      <c r="K156" s="1059"/>
      <c r="L156" s="1059"/>
      <c r="M156" s="1059" t="s">
        <v>482</v>
      </c>
      <c r="N156" s="1059" t="s">
        <v>482</v>
      </c>
      <c r="O156" s="1059" t="s">
        <v>482</v>
      </c>
      <c r="P156" s="1059" t="s">
        <v>482</v>
      </c>
      <c r="Q156" s="1059" t="s">
        <v>482</v>
      </c>
      <c r="R156" s="1059"/>
      <c r="S156" s="1059"/>
      <c r="T156" s="1059">
        <v>19</v>
      </c>
      <c r="U156" s="1059">
        <v>19</v>
      </c>
      <c r="V156" s="1059">
        <v>19</v>
      </c>
      <c r="W156" s="1059">
        <v>19</v>
      </c>
      <c r="X156" s="1059">
        <v>17</v>
      </c>
      <c r="Y156" s="1059"/>
      <c r="Z156" s="1059"/>
      <c r="AA156" s="1059" t="s">
        <v>482</v>
      </c>
      <c r="AB156" s="1059" t="s">
        <v>482</v>
      </c>
      <c r="AC156" s="1059" t="s">
        <v>482</v>
      </c>
      <c r="AD156" s="1059" t="s">
        <v>482</v>
      </c>
      <c r="AE156" s="1059" t="s">
        <v>482</v>
      </c>
      <c r="AF156" s="1059"/>
      <c r="AG156" s="1059"/>
      <c r="AH156" s="648">
        <v>37</v>
      </c>
      <c r="AI156" s="649">
        <v>37</v>
      </c>
    </row>
    <row r="157" spans="1:35" ht="21.95" customHeight="1" x14ac:dyDescent="0.2">
      <c r="A157" s="441">
        <v>3701</v>
      </c>
      <c r="B157" s="552" t="s">
        <v>619</v>
      </c>
      <c r="C157" s="503">
        <v>17</v>
      </c>
      <c r="D157" s="503"/>
      <c r="E157" s="503"/>
      <c r="F157" s="1059" t="s">
        <v>482</v>
      </c>
      <c r="G157" s="1059" t="s">
        <v>482</v>
      </c>
      <c r="H157" s="1059" t="s">
        <v>482</v>
      </c>
      <c r="I157" s="1059" t="s">
        <v>482</v>
      </c>
      <c r="J157" s="1059" t="s">
        <v>482</v>
      </c>
      <c r="K157" s="1059"/>
      <c r="L157" s="1059"/>
      <c r="M157" s="1059"/>
      <c r="N157" s="1059"/>
      <c r="O157" s="1059"/>
      <c r="P157" s="1059"/>
      <c r="Q157" s="1059"/>
      <c r="R157" s="1059"/>
      <c r="S157" s="1059"/>
      <c r="T157" s="1059" t="s">
        <v>482</v>
      </c>
      <c r="U157" s="1059" t="s">
        <v>482</v>
      </c>
      <c r="V157" s="1059" t="s">
        <v>482</v>
      </c>
      <c r="W157" s="1059" t="s">
        <v>482</v>
      </c>
      <c r="X157" s="1059" t="s">
        <v>482</v>
      </c>
      <c r="Y157" s="1059"/>
      <c r="Z157" s="1059"/>
      <c r="AA157" s="1059"/>
      <c r="AB157" s="1059"/>
      <c r="AC157" s="1059"/>
      <c r="AD157" s="1059"/>
      <c r="AE157" s="1059"/>
      <c r="AF157" s="503"/>
      <c r="AG157" s="503"/>
      <c r="AH157" s="648">
        <v>37</v>
      </c>
      <c r="AI157" s="649">
        <v>37</v>
      </c>
    </row>
    <row r="158" spans="1:35" ht="21.95" customHeight="1" x14ac:dyDescent="0.2">
      <c r="A158" s="441">
        <v>3701</v>
      </c>
      <c r="B158" s="1434" t="s">
        <v>620</v>
      </c>
      <c r="C158" s="503" t="s">
        <v>552</v>
      </c>
      <c r="D158" s="503"/>
      <c r="E158" s="503"/>
      <c r="F158" s="503" t="s">
        <v>552</v>
      </c>
      <c r="G158" s="503" t="s">
        <v>552</v>
      </c>
      <c r="H158" s="503" t="s">
        <v>552</v>
      </c>
      <c r="I158" s="503" t="s">
        <v>552</v>
      </c>
      <c r="J158" s="503" t="s">
        <v>552</v>
      </c>
      <c r="K158" s="503"/>
      <c r="L158" s="503"/>
      <c r="M158" s="503" t="s">
        <v>552</v>
      </c>
      <c r="N158" s="503" t="s">
        <v>552</v>
      </c>
      <c r="O158" s="503" t="s">
        <v>552</v>
      </c>
      <c r="P158" s="503" t="s">
        <v>552</v>
      </c>
      <c r="Q158" s="503" t="s">
        <v>552</v>
      </c>
      <c r="R158" s="503"/>
      <c r="S158" s="503"/>
      <c r="T158" s="503" t="s">
        <v>552</v>
      </c>
      <c r="U158" s="503" t="s">
        <v>552</v>
      </c>
      <c r="V158" s="1058" t="s">
        <v>552</v>
      </c>
      <c r="W158" s="503" t="s">
        <v>552</v>
      </c>
      <c r="X158" s="1058" t="s">
        <v>552</v>
      </c>
      <c r="Y158" s="503"/>
      <c r="Z158" s="503"/>
      <c r="AA158" s="503" t="s">
        <v>552</v>
      </c>
      <c r="AB158" s="503" t="s">
        <v>552</v>
      </c>
      <c r="AC158" s="503" t="s">
        <v>552</v>
      </c>
      <c r="AD158" s="503" t="s">
        <v>552</v>
      </c>
      <c r="AE158" s="503" t="s">
        <v>552</v>
      </c>
      <c r="AF158" s="503"/>
      <c r="AG158" s="503"/>
      <c r="AH158" s="648">
        <v>185</v>
      </c>
      <c r="AI158" s="649">
        <v>37</v>
      </c>
    </row>
    <row r="159" spans="1:35" ht="21.95" customHeight="1" x14ac:dyDescent="0.2">
      <c r="A159" s="1433">
        <v>3701</v>
      </c>
      <c r="B159" s="552" t="s">
        <v>621</v>
      </c>
      <c r="C159" s="503" t="s">
        <v>482</v>
      </c>
      <c r="D159" s="503"/>
      <c r="E159" s="503"/>
      <c r="F159" s="503" t="s">
        <v>482</v>
      </c>
      <c r="G159" s="503" t="s">
        <v>482</v>
      </c>
      <c r="H159" s="503" t="s">
        <v>482</v>
      </c>
      <c r="I159" s="503" t="s">
        <v>482</v>
      </c>
      <c r="J159" s="503" t="s">
        <v>482</v>
      </c>
      <c r="K159" s="503"/>
      <c r="L159" s="503"/>
      <c r="M159" s="503" t="s">
        <v>482</v>
      </c>
      <c r="N159" s="503" t="s">
        <v>482</v>
      </c>
      <c r="O159" s="503" t="s">
        <v>482</v>
      </c>
      <c r="P159" s="503" t="s">
        <v>482</v>
      </c>
      <c r="Q159" s="503" t="s">
        <v>482</v>
      </c>
      <c r="R159" s="503"/>
      <c r="S159" s="503"/>
      <c r="T159" s="1059" t="s">
        <v>482</v>
      </c>
      <c r="U159" s="1059" t="s">
        <v>482</v>
      </c>
      <c r="V159" s="1059" t="s">
        <v>482</v>
      </c>
      <c r="W159" s="1059" t="s">
        <v>482</v>
      </c>
      <c r="X159" s="1059" t="s">
        <v>482</v>
      </c>
      <c r="Y159" s="1059"/>
      <c r="Z159" s="1059"/>
      <c r="AA159" s="1059" t="s">
        <v>482</v>
      </c>
      <c r="AB159" s="1059" t="s">
        <v>482</v>
      </c>
      <c r="AC159" s="1059" t="s">
        <v>482</v>
      </c>
      <c r="AD159" s="1059" t="s">
        <v>482</v>
      </c>
      <c r="AE159" s="1059" t="s">
        <v>482</v>
      </c>
      <c r="AF159" s="1059"/>
      <c r="AG159" s="1059"/>
      <c r="AH159" s="648">
        <v>111</v>
      </c>
      <c r="AI159" s="649">
        <v>37</v>
      </c>
    </row>
    <row r="160" spans="1:35" ht="21.95" customHeight="1" x14ac:dyDescent="0.2">
      <c r="A160" s="441">
        <v>3701</v>
      </c>
      <c r="B160" s="673" t="s">
        <v>622</v>
      </c>
      <c r="C160" s="1059" t="s">
        <v>482</v>
      </c>
      <c r="D160" s="1059"/>
      <c r="E160" s="1059"/>
      <c r="F160" s="1059" t="s">
        <v>482</v>
      </c>
      <c r="G160" s="1059" t="s">
        <v>482</v>
      </c>
      <c r="H160" s="1059" t="s">
        <v>482</v>
      </c>
      <c r="I160" s="1059" t="s">
        <v>482</v>
      </c>
      <c r="J160" s="1059" t="s">
        <v>482</v>
      </c>
      <c r="K160" s="1059"/>
      <c r="L160" s="1059"/>
      <c r="M160" s="1059" t="s">
        <v>482</v>
      </c>
      <c r="N160" s="1059" t="s">
        <v>482</v>
      </c>
      <c r="O160" s="1059" t="s">
        <v>482</v>
      </c>
      <c r="P160" s="1059" t="s">
        <v>482</v>
      </c>
      <c r="Q160" s="1059" t="s">
        <v>482</v>
      </c>
      <c r="R160" s="1059"/>
      <c r="S160" s="1059"/>
      <c r="T160" s="503" t="s">
        <v>482</v>
      </c>
      <c r="U160" s="503" t="s">
        <v>482</v>
      </c>
      <c r="V160" s="503" t="s">
        <v>482</v>
      </c>
      <c r="W160" s="503" t="s">
        <v>482</v>
      </c>
      <c r="X160" s="503" t="s">
        <v>482</v>
      </c>
      <c r="Y160" s="503"/>
      <c r="Z160" s="503"/>
      <c r="AA160" s="503" t="s">
        <v>482</v>
      </c>
      <c r="AB160" s="503" t="s">
        <v>482</v>
      </c>
      <c r="AC160" s="503" t="s">
        <v>482</v>
      </c>
      <c r="AD160" s="503" t="s">
        <v>482</v>
      </c>
      <c r="AE160" s="503" t="s">
        <v>482</v>
      </c>
      <c r="AF160" s="503"/>
      <c r="AG160" s="503"/>
      <c r="AH160" s="648">
        <v>119</v>
      </c>
      <c r="AI160" s="649">
        <v>37</v>
      </c>
    </row>
    <row r="161" spans="1:35" ht="21.95" customHeight="1" x14ac:dyDescent="0.2">
      <c r="A161" s="441">
        <v>3701</v>
      </c>
      <c r="B161" s="673" t="s">
        <v>623</v>
      </c>
      <c r="C161" s="503" t="s">
        <v>482</v>
      </c>
      <c r="D161" s="503"/>
      <c r="E161" s="503"/>
      <c r="F161" s="503" t="s">
        <v>482</v>
      </c>
      <c r="G161" s="503" t="s">
        <v>482</v>
      </c>
      <c r="H161" s="503" t="s">
        <v>482</v>
      </c>
      <c r="I161" s="503" t="s">
        <v>482</v>
      </c>
      <c r="J161" s="503" t="s">
        <v>482</v>
      </c>
      <c r="K161" s="503"/>
      <c r="L161" s="503"/>
      <c r="M161" s="1059" t="s">
        <v>482</v>
      </c>
      <c r="N161" s="1059" t="s">
        <v>482</v>
      </c>
      <c r="O161" s="1059" t="s">
        <v>482</v>
      </c>
      <c r="P161" s="1059" t="s">
        <v>482</v>
      </c>
      <c r="Q161" s="1059" t="s">
        <v>482</v>
      </c>
      <c r="R161" s="1059"/>
      <c r="S161" s="1059"/>
      <c r="T161" s="1059" t="s">
        <v>482</v>
      </c>
      <c r="U161" s="1059" t="s">
        <v>482</v>
      </c>
      <c r="V161" s="1059" t="s">
        <v>482</v>
      </c>
      <c r="W161" s="1059" t="s">
        <v>482</v>
      </c>
      <c r="X161" s="1059" t="s">
        <v>482</v>
      </c>
      <c r="Y161" s="1059"/>
      <c r="Z161" s="1059"/>
      <c r="AA161" s="1059" t="s">
        <v>482</v>
      </c>
      <c r="AB161" s="1059" t="s">
        <v>482</v>
      </c>
      <c r="AC161" s="1059" t="s">
        <v>482</v>
      </c>
      <c r="AD161" s="1059" t="s">
        <v>482</v>
      </c>
      <c r="AE161" s="1059" t="s">
        <v>482</v>
      </c>
      <c r="AF161" s="1059"/>
      <c r="AG161" s="1059"/>
      <c r="AH161" s="648">
        <v>74</v>
      </c>
      <c r="AI161" s="649">
        <v>37</v>
      </c>
    </row>
    <row r="162" spans="1:35" ht="21.95" customHeight="1" x14ac:dyDescent="0.2">
      <c r="A162" s="441">
        <v>3701</v>
      </c>
      <c r="B162" s="673"/>
      <c r="C162" s="503"/>
      <c r="D162" s="503"/>
      <c r="E162" s="503"/>
      <c r="F162" s="503"/>
      <c r="G162" s="503"/>
      <c r="H162" s="503"/>
      <c r="I162" s="503"/>
      <c r="J162" s="503"/>
      <c r="K162" s="503"/>
      <c r="L162" s="503"/>
      <c r="M162" s="503"/>
      <c r="N162" s="503"/>
      <c r="O162" s="503"/>
      <c r="P162" s="503"/>
      <c r="Q162" s="503"/>
      <c r="R162" s="503"/>
      <c r="S162" s="503"/>
      <c r="T162" s="503"/>
      <c r="U162" s="503"/>
      <c r="V162" s="503"/>
      <c r="W162" s="503"/>
      <c r="X162" s="503"/>
      <c r="Y162" s="503"/>
      <c r="Z162" s="503"/>
      <c r="AA162" s="503"/>
      <c r="AB162" s="503"/>
      <c r="AC162" s="503"/>
      <c r="AD162" s="503"/>
      <c r="AE162" s="503"/>
      <c r="AF162" s="503"/>
      <c r="AG162" s="503"/>
      <c r="AH162" s="648"/>
      <c r="AI162" s="649"/>
    </row>
    <row r="163" spans="1:35" ht="21.95" customHeight="1" x14ac:dyDescent="0.2">
      <c r="A163" s="441">
        <v>3701</v>
      </c>
      <c r="B163" s="673"/>
      <c r="C163" s="587"/>
      <c r="D163" s="587"/>
      <c r="E163" s="587"/>
      <c r="F163" s="587"/>
      <c r="G163" s="587"/>
      <c r="H163" s="587"/>
      <c r="I163" s="587"/>
      <c r="J163" s="503"/>
      <c r="K163" s="587"/>
      <c r="L163" s="587"/>
      <c r="M163" s="587"/>
      <c r="N163" s="587"/>
      <c r="O163" s="553"/>
      <c r="P163" s="553"/>
      <c r="Q163" s="553"/>
      <c r="R163" s="587"/>
      <c r="S163" s="587"/>
      <c r="T163" s="587"/>
      <c r="U163" s="587"/>
      <c r="V163" s="587"/>
      <c r="W163" s="587"/>
      <c r="X163" s="587"/>
      <c r="Y163" s="587"/>
      <c r="Z163" s="587"/>
      <c r="AA163" s="587"/>
      <c r="AB163" s="587"/>
      <c r="AC163" s="587"/>
      <c r="AD163" s="587"/>
      <c r="AE163" s="587"/>
      <c r="AF163" s="503"/>
      <c r="AG163" s="588"/>
      <c r="AH163" s="648"/>
      <c r="AI163" s="649"/>
    </row>
    <row r="164" spans="1:35" ht="21.95" customHeight="1" x14ac:dyDescent="0.2">
      <c r="A164" s="621"/>
      <c r="B164" s="677"/>
      <c r="C164" s="590"/>
      <c r="D164" s="590"/>
      <c r="E164" s="590"/>
      <c r="F164" s="590"/>
      <c r="G164" s="590"/>
      <c r="H164" s="590"/>
      <c r="I164" s="590"/>
      <c r="J164" s="590"/>
      <c r="K164" s="525"/>
      <c r="L164" s="590"/>
      <c r="M164" s="590"/>
      <c r="N164" s="590"/>
      <c r="O164" s="590"/>
      <c r="P164" s="546"/>
      <c r="Q164" s="546"/>
      <c r="R164" s="546"/>
      <c r="S164" s="590"/>
      <c r="T164" s="590"/>
      <c r="U164" s="590"/>
      <c r="V164" s="590"/>
      <c r="W164" s="590"/>
      <c r="X164" s="590"/>
      <c r="Y164" s="590"/>
      <c r="Z164" s="590"/>
      <c r="AA164" s="590"/>
      <c r="AB164" s="590"/>
      <c r="AC164" s="590"/>
      <c r="AD164" s="590"/>
      <c r="AE164" s="590"/>
      <c r="AF164" s="590"/>
      <c r="AG164" s="590"/>
      <c r="AH164" s="591"/>
      <c r="AI164" s="591"/>
    </row>
    <row r="165" spans="1:35" ht="21.95" customHeight="1" x14ac:dyDescent="0.2">
      <c r="A165" s="1" t="s">
        <v>574</v>
      </c>
      <c r="D165" s="360"/>
      <c r="E165" s="360"/>
      <c r="F165" s="360"/>
      <c r="G165" s="570"/>
      <c r="H165" s="360"/>
      <c r="I165" s="360"/>
      <c r="J165" s="360"/>
      <c r="K165" s="360"/>
      <c r="L165" s="360"/>
      <c r="M165" s="360"/>
      <c r="N165" s="360"/>
      <c r="O165" s="360"/>
      <c r="P165" s="360"/>
      <c r="Q165" s="360"/>
      <c r="R165" s="360"/>
      <c r="S165" s="360"/>
      <c r="T165" s="360"/>
      <c r="U165" s="360"/>
      <c r="V165" s="360"/>
      <c r="W165" s="360"/>
      <c r="X165" s="360"/>
      <c r="Y165" s="360"/>
      <c r="Z165" s="360"/>
      <c r="AA165" s="360"/>
      <c r="AB165" s="360"/>
      <c r="AC165" s="360"/>
      <c r="AD165" s="360"/>
      <c r="AE165" s="360"/>
      <c r="AF165" s="360"/>
      <c r="AG165" s="360"/>
    </row>
    <row r="166" spans="1:35" ht="21.95" customHeight="1" x14ac:dyDescent="0.2">
      <c r="A166" s="1"/>
      <c r="B166" s="23" t="s">
        <v>556</v>
      </c>
      <c r="C166" s="7"/>
      <c r="D166" s="530" t="s">
        <v>2</v>
      </c>
      <c r="E166" s="51"/>
      <c r="F166" s="573"/>
      <c r="G166" s="7"/>
      <c r="H166" s="530" t="s">
        <v>3</v>
      </c>
      <c r="I166" s="51"/>
      <c r="J166" s="573"/>
      <c r="K166" s="7"/>
      <c r="L166" s="530" t="s">
        <v>4</v>
      </c>
      <c r="M166" s="51"/>
      <c r="N166" s="573"/>
      <c r="O166" s="7"/>
      <c r="P166" s="530" t="s">
        <v>5</v>
      </c>
      <c r="Q166" s="51"/>
      <c r="R166" s="573"/>
      <c r="S166" s="7"/>
      <c r="T166" s="530" t="s">
        <v>6</v>
      </c>
      <c r="U166" s="51"/>
      <c r="V166" s="573"/>
      <c r="W166" s="7"/>
      <c r="X166" s="530" t="s">
        <v>7</v>
      </c>
      <c r="Y166" s="51"/>
      <c r="Z166" s="573"/>
      <c r="AA166" s="7"/>
      <c r="AB166" s="530" t="s">
        <v>8</v>
      </c>
      <c r="AC166" s="51"/>
      <c r="AD166" s="51"/>
      <c r="AE166" s="424" t="s">
        <v>10</v>
      </c>
      <c r="AF166" s="51"/>
      <c r="AG166" s="51"/>
      <c r="AH166" s="51"/>
      <c r="AI166" s="531"/>
    </row>
    <row r="167" spans="1:35" ht="21.95" customHeight="1" x14ac:dyDescent="0.2">
      <c r="A167" s="1"/>
      <c r="B167" s="129" t="s">
        <v>324</v>
      </c>
      <c r="C167" s="121" t="s">
        <v>697</v>
      </c>
      <c r="D167" s="156"/>
      <c r="E167" s="156"/>
      <c r="F167" s="612"/>
      <c r="G167" s="121" t="s">
        <v>697</v>
      </c>
      <c r="H167" s="156"/>
      <c r="I167" s="156"/>
      <c r="J167" s="612"/>
      <c r="K167" s="121" t="s">
        <v>697</v>
      </c>
      <c r="L167" s="156"/>
      <c r="M167" s="156"/>
      <c r="N167" s="612"/>
      <c r="O167" s="121" t="s">
        <v>697</v>
      </c>
      <c r="P167" s="156"/>
      <c r="Q167" s="156"/>
      <c r="R167" s="612"/>
      <c r="S167" s="121" t="s">
        <v>698</v>
      </c>
      <c r="T167" s="156"/>
      <c r="U167" s="156"/>
      <c r="V167" s="612"/>
      <c r="W167" s="121"/>
      <c r="X167" s="156"/>
      <c r="Y167" s="156"/>
      <c r="Z167" s="612"/>
      <c r="AA167" s="611"/>
      <c r="AB167" s="156"/>
      <c r="AC167" s="156"/>
      <c r="AD167" s="613"/>
      <c r="AE167" s="128"/>
      <c r="AF167" s="156"/>
      <c r="AG167" s="156" t="s">
        <v>28</v>
      </c>
      <c r="AH167" s="613">
        <v>37</v>
      </c>
      <c r="AI167" s="489"/>
    </row>
    <row r="168" spans="1:35" ht="21.95" customHeight="1" x14ac:dyDescent="0.2">
      <c r="A168" s="1"/>
      <c r="B168" s="129" t="s">
        <v>325</v>
      </c>
      <c r="C168" s="121" t="s">
        <v>699</v>
      </c>
      <c r="D168" s="156"/>
      <c r="E168" s="156"/>
      <c r="F168" s="612"/>
      <c r="G168" s="121" t="s">
        <v>699</v>
      </c>
      <c r="H168" s="156"/>
      <c r="I168" s="156"/>
      <c r="J168" s="612"/>
      <c r="K168" s="121" t="s">
        <v>699</v>
      </c>
      <c r="L168" s="156"/>
      <c r="M168" s="156"/>
      <c r="N168" s="612"/>
      <c r="O168" s="121" t="s">
        <v>699</v>
      </c>
      <c r="P168" s="156"/>
      <c r="Q168" s="156"/>
      <c r="R168" s="612"/>
      <c r="S168" s="121" t="s">
        <v>700</v>
      </c>
      <c r="T168" s="156"/>
      <c r="U168" s="156"/>
      <c r="V168" s="612"/>
      <c r="W168" s="121" t="s">
        <v>701</v>
      </c>
      <c r="X168" s="156"/>
      <c r="Y168" s="156"/>
      <c r="Z168" s="612"/>
      <c r="AA168" s="156"/>
      <c r="AB168" s="156"/>
      <c r="AC168" s="156"/>
      <c r="AD168" s="613"/>
      <c r="AE168" s="128"/>
      <c r="AF168" s="156"/>
      <c r="AG168" s="156"/>
      <c r="AH168" s="613">
        <v>37</v>
      </c>
      <c r="AI168" s="489"/>
    </row>
    <row r="169" spans="1:35" ht="21.95" customHeight="1" x14ac:dyDescent="0.2">
      <c r="A169" s="1"/>
      <c r="B169" s="129" t="s">
        <v>326</v>
      </c>
      <c r="C169" s="121" t="s">
        <v>295</v>
      </c>
      <c r="D169" s="156"/>
      <c r="E169" s="156"/>
      <c r="F169" s="612"/>
      <c r="G169" s="121" t="s">
        <v>295</v>
      </c>
      <c r="H169" s="156"/>
      <c r="I169" s="156"/>
      <c r="J169" s="612"/>
      <c r="K169" s="121" t="s">
        <v>295</v>
      </c>
      <c r="L169" s="156"/>
      <c r="M169" s="156"/>
      <c r="N169" s="612"/>
      <c r="O169" s="121" t="s">
        <v>295</v>
      </c>
      <c r="P169" s="156"/>
      <c r="Q169" s="156"/>
      <c r="R169" s="612"/>
      <c r="S169" s="121" t="s">
        <v>296</v>
      </c>
      <c r="T169" s="156"/>
      <c r="U169" s="156"/>
      <c r="V169" s="612"/>
      <c r="W169" s="631" t="s">
        <v>702</v>
      </c>
      <c r="X169" s="134"/>
      <c r="Y169" s="134"/>
      <c r="Z169" s="627"/>
      <c r="AA169" s="626"/>
      <c r="AB169" s="134"/>
      <c r="AC169" s="134"/>
      <c r="AD169" s="628"/>
      <c r="AE169" s="128"/>
      <c r="AF169" s="156"/>
      <c r="AG169" s="156"/>
      <c r="AH169" s="613">
        <v>37</v>
      </c>
      <c r="AI169" s="489"/>
    </row>
    <row r="170" spans="1:35" ht="21.95" customHeight="1" x14ac:dyDescent="0.2">
      <c r="A170" s="1"/>
      <c r="B170" s="16" t="s">
        <v>236</v>
      </c>
      <c r="C170" s="57" t="s">
        <v>295</v>
      </c>
      <c r="D170" s="53"/>
      <c r="E170" s="53"/>
      <c r="F170" s="619"/>
      <c r="G170" s="57" t="s">
        <v>295</v>
      </c>
      <c r="H170" s="53"/>
      <c r="I170" s="53"/>
      <c r="J170" s="619"/>
      <c r="K170" s="57" t="s">
        <v>295</v>
      </c>
      <c r="L170" s="53"/>
      <c r="M170" s="53"/>
      <c r="N170" s="619"/>
      <c r="O170" s="57" t="s">
        <v>295</v>
      </c>
      <c r="P170" s="53"/>
      <c r="Q170" s="53"/>
      <c r="R170" s="619"/>
      <c r="S170" s="57" t="s">
        <v>67</v>
      </c>
      <c r="T170" s="53"/>
      <c r="U170" s="53"/>
      <c r="V170" s="620"/>
      <c r="W170" s="57"/>
      <c r="X170" s="620"/>
      <c r="Y170" s="53"/>
      <c r="Z170" s="619"/>
      <c r="AA170" s="57"/>
      <c r="AB170" s="620"/>
      <c r="AC170" s="53"/>
      <c r="AD170" s="619"/>
      <c r="AE170" s="629"/>
      <c r="AF170" s="53"/>
      <c r="AG170" s="53"/>
      <c r="AH170" s="620">
        <v>37</v>
      </c>
      <c r="AI170" s="544"/>
    </row>
    <row r="171" spans="1:35" ht="21.95" customHeight="1" x14ac:dyDescent="0.2">
      <c r="A171" s="621"/>
      <c r="B171" s="1"/>
      <c r="C171" s="360"/>
      <c r="D171" s="360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360"/>
      <c r="Q171" s="360"/>
      <c r="R171" s="360"/>
      <c r="S171" s="360"/>
      <c r="T171" s="360"/>
      <c r="U171" s="360"/>
      <c r="V171" s="360"/>
      <c r="W171" s="360"/>
      <c r="X171" s="360"/>
      <c r="Y171" s="360"/>
      <c r="Z171" s="360"/>
      <c r="AA171" s="360"/>
      <c r="AB171" s="360"/>
      <c r="AC171" s="360"/>
      <c r="AD171" s="360"/>
      <c r="AE171" s="360"/>
      <c r="AF171" s="360"/>
      <c r="AG171" s="360"/>
    </row>
    <row r="172" spans="1:35" ht="21.95" customHeight="1" x14ac:dyDescent="0.2">
      <c r="A172" s="585"/>
      <c r="B172" s="296" t="s">
        <v>469</v>
      </c>
      <c r="C172" s="177">
        <v>1</v>
      </c>
      <c r="D172" s="708">
        <v>2</v>
      </c>
      <c r="E172" s="708">
        <v>3</v>
      </c>
      <c r="F172" s="709">
        <v>4</v>
      </c>
      <c r="G172" s="709">
        <v>5</v>
      </c>
      <c r="H172" s="709">
        <v>6</v>
      </c>
      <c r="I172" s="709">
        <v>7</v>
      </c>
      <c r="J172" s="709">
        <v>8</v>
      </c>
      <c r="K172" s="708">
        <v>9</v>
      </c>
      <c r="L172" s="708">
        <v>10</v>
      </c>
      <c r="M172" s="709">
        <v>11</v>
      </c>
      <c r="N172" s="709">
        <v>12</v>
      </c>
      <c r="O172" s="709">
        <v>13</v>
      </c>
      <c r="P172" s="709">
        <v>14</v>
      </c>
      <c r="Q172" s="709">
        <v>15</v>
      </c>
      <c r="R172" s="708">
        <v>16</v>
      </c>
      <c r="S172" s="708">
        <v>17</v>
      </c>
      <c r="T172" s="709">
        <v>18</v>
      </c>
      <c r="U172" s="709">
        <v>19</v>
      </c>
      <c r="V172" s="709">
        <v>20</v>
      </c>
      <c r="W172" s="709">
        <v>21</v>
      </c>
      <c r="X172" s="709">
        <v>22</v>
      </c>
      <c r="Y172" s="708">
        <v>23</v>
      </c>
      <c r="Z172" s="708">
        <v>24</v>
      </c>
      <c r="AA172" s="709">
        <v>25</v>
      </c>
      <c r="AB172" s="709">
        <v>26</v>
      </c>
      <c r="AC172" s="709">
        <v>27</v>
      </c>
      <c r="AD172" s="709">
        <v>28</v>
      </c>
      <c r="AE172" s="709">
        <v>29</v>
      </c>
      <c r="AF172" s="708">
        <v>30</v>
      </c>
      <c r="AG172" s="497">
        <v>31</v>
      </c>
      <c r="AH172" s="499" t="s">
        <v>470</v>
      </c>
      <c r="AI172" s="500" t="s">
        <v>471</v>
      </c>
    </row>
    <row r="173" spans="1:35" ht="21.95" customHeight="1" x14ac:dyDescent="0.2">
      <c r="A173" s="622">
        <v>1</v>
      </c>
      <c r="B173" s="552" t="s">
        <v>530</v>
      </c>
      <c r="C173" s="553">
        <v>2</v>
      </c>
      <c r="D173" s="553">
        <v>2</v>
      </c>
      <c r="E173" s="553"/>
      <c r="F173" s="553">
        <v>1</v>
      </c>
      <c r="G173" s="553">
        <v>1</v>
      </c>
      <c r="H173" s="553">
        <v>1</v>
      </c>
      <c r="I173" s="553">
        <v>1</v>
      </c>
      <c r="J173" s="553">
        <v>1</v>
      </c>
      <c r="K173" s="553"/>
      <c r="L173" s="553"/>
      <c r="M173" s="553">
        <v>2</v>
      </c>
      <c r="N173" s="553">
        <v>2</v>
      </c>
      <c r="O173" s="553">
        <v>2</v>
      </c>
      <c r="P173" s="553">
        <v>2</v>
      </c>
      <c r="Q173" s="553">
        <v>2</v>
      </c>
      <c r="R173" s="553">
        <v>2</v>
      </c>
      <c r="S173" s="553"/>
      <c r="T173" s="553">
        <v>1</v>
      </c>
      <c r="U173" s="553">
        <v>1</v>
      </c>
      <c r="V173" s="553">
        <v>1</v>
      </c>
      <c r="W173" s="553">
        <v>1</v>
      </c>
      <c r="X173" s="1083">
        <v>1</v>
      </c>
      <c r="Y173" s="553"/>
      <c r="Z173" s="553"/>
      <c r="AA173" s="553">
        <v>2</v>
      </c>
      <c r="AB173" s="553">
        <v>2</v>
      </c>
      <c r="AC173" s="553">
        <v>2</v>
      </c>
      <c r="AD173" s="553">
        <v>2</v>
      </c>
      <c r="AE173" s="553">
        <v>2</v>
      </c>
      <c r="AF173" s="553">
        <v>2</v>
      </c>
      <c r="AG173" s="553"/>
      <c r="AH173" s="505">
        <v>185</v>
      </c>
      <c r="AI173" s="506">
        <v>37</v>
      </c>
    </row>
    <row r="174" spans="1:35" ht="21.95" customHeight="1" x14ac:dyDescent="0.2">
      <c r="A174" s="622">
        <v>2</v>
      </c>
      <c r="B174" s="318" t="s">
        <v>583</v>
      </c>
      <c r="C174" s="553">
        <v>1</v>
      </c>
      <c r="D174" s="553"/>
      <c r="E174" s="553"/>
      <c r="F174" s="1116">
        <v>2</v>
      </c>
      <c r="G174" s="1116">
        <v>2</v>
      </c>
      <c r="H174" s="1116">
        <v>2</v>
      </c>
      <c r="I174" s="1116">
        <v>2</v>
      </c>
      <c r="J174" s="1116">
        <v>2</v>
      </c>
      <c r="K174" s="1116">
        <v>2</v>
      </c>
      <c r="L174" s="1116"/>
      <c r="M174" s="1116">
        <v>1</v>
      </c>
      <c r="N174" s="1116">
        <v>1</v>
      </c>
      <c r="O174" s="1116">
        <v>1</v>
      </c>
      <c r="P174" s="1116">
        <v>1</v>
      </c>
      <c r="Q174" s="1116">
        <v>1</v>
      </c>
      <c r="R174" s="1116"/>
      <c r="S174" s="1116"/>
      <c r="T174" s="1116" t="s">
        <v>703</v>
      </c>
      <c r="U174" s="553">
        <v>2</v>
      </c>
      <c r="V174" s="553">
        <v>2</v>
      </c>
      <c r="W174" s="553">
        <v>2</v>
      </c>
      <c r="X174" s="553">
        <v>2</v>
      </c>
      <c r="Y174" s="553">
        <v>2</v>
      </c>
      <c r="Z174" s="553"/>
      <c r="AA174" s="553">
        <v>1</v>
      </c>
      <c r="AB174" s="553">
        <v>1</v>
      </c>
      <c r="AC174" s="553">
        <v>1</v>
      </c>
      <c r="AD174" s="553">
        <v>1</v>
      </c>
      <c r="AE174" s="553">
        <v>1</v>
      </c>
      <c r="AF174" s="553"/>
      <c r="AG174" s="553"/>
      <c r="AH174" s="505">
        <v>148</v>
      </c>
      <c r="AI174" s="506">
        <v>37</v>
      </c>
    </row>
    <row r="175" spans="1:35" ht="21.95" customHeight="1" x14ac:dyDescent="0.2">
      <c r="A175" s="622">
        <v>3</v>
      </c>
      <c r="B175" s="552" t="s">
        <v>289</v>
      </c>
      <c r="C175" s="1083">
        <v>4</v>
      </c>
      <c r="D175" s="553"/>
      <c r="E175" s="553"/>
      <c r="F175" s="1064">
        <v>3</v>
      </c>
      <c r="G175" s="1064">
        <v>3</v>
      </c>
      <c r="H175" s="1064">
        <v>3</v>
      </c>
      <c r="I175" s="1064">
        <v>3</v>
      </c>
      <c r="J175" s="1064">
        <v>3</v>
      </c>
      <c r="K175" s="1064">
        <v>3</v>
      </c>
      <c r="L175" s="1064"/>
      <c r="M175" s="1064">
        <v>4</v>
      </c>
      <c r="N175" s="1064">
        <v>4</v>
      </c>
      <c r="O175" s="1064">
        <v>4</v>
      </c>
      <c r="P175" s="1064">
        <v>4</v>
      </c>
      <c r="Q175" s="1064">
        <v>4</v>
      </c>
      <c r="R175" s="1064"/>
      <c r="S175" s="1064"/>
      <c r="T175" s="1064">
        <v>3</v>
      </c>
      <c r="U175" s="1064">
        <v>3</v>
      </c>
      <c r="V175" s="1064">
        <v>3</v>
      </c>
      <c r="W175" s="1064">
        <v>3</v>
      </c>
      <c r="X175" s="1064">
        <v>3</v>
      </c>
      <c r="Y175" s="1064">
        <v>3</v>
      </c>
      <c r="Z175" s="1064"/>
      <c r="AA175" s="553">
        <v>4</v>
      </c>
      <c r="AB175" s="553">
        <v>4</v>
      </c>
      <c r="AC175" s="553">
        <v>4</v>
      </c>
      <c r="AD175" s="553">
        <v>4</v>
      </c>
      <c r="AE175" s="553">
        <v>4</v>
      </c>
      <c r="AF175" s="553"/>
      <c r="AG175" s="553"/>
      <c r="AH175" s="651">
        <v>74</v>
      </c>
      <c r="AI175" s="523">
        <v>37</v>
      </c>
    </row>
    <row r="176" spans="1:35" ht="21.95" customHeight="1" x14ac:dyDescent="0.2">
      <c r="A176" s="622">
        <v>4</v>
      </c>
      <c r="B176" s="552" t="s">
        <v>584</v>
      </c>
      <c r="C176" s="553">
        <v>3</v>
      </c>
      <c r="D176" s="553">
        <v>3</v>
      </c>
      <c r="E176" s="553"/>
      <c r="F176" s="553">
        <v>4</v>
      </c>
      <c r="G176" s="553">
        <v>4</v>
      </c>
      <c r="H176" s="553">
        <v>4</v>
      </c>
      <c r="I176" s="553">
        <v>4</v>
      </c>
      <c r="J176" s="553">
        <v>4</v>
      </c>
      <c r="K176" s="553"/>
      <c r="L176" s="553"/>
      <c r="M176" s="553">
        <v>3</v>
      </c>
      <c r="N176" s="553">
        <v>3</v>
      </c>
      <c r="O176" s="553">
        <v>3</v>
      </c>
      <c r="P176" s="553">
        <v>3</v>
      </c>
      <c r="Q176" s="553">
        <v>3</v>
      </c>
      <c r="R176" s="553">
        <v>3</v>
      </c>
      <c r="S176" s="553"/>
      <c r="T176" s="553">
        <v>4</v>
      </c>
      <c r="U176" s="553">
        <v>4</v>
      </c>
      <c r="V176" s="1083">
        <v>4</v>
      </c>
      <c r="W176" s="553">
        <v>4</v>
      </c>
      <c r="X176" s="553">
        <v>4</v>
      </c>
      <c r="Y176" s="553"/>
      <c r="Z176" s="553"/>
      <c r="AA176" s="1064">
        <v>3</v>
      </c>
      <c r="AB176" s="1064">
        <v>3</v>
      </c>
      <c r="AC176" s="1064">
        <v>3</v>
      </c>
      <c r="AD176" s="1064">
        <v>3</v>
      </c>
      <c r="AE176" s="1064">
        <v>3</v>
      </c>
      <c r="AF176" s="1064">
        <v>3</v>
      </c>
      <c r="AG176" s="1064"/>
      <c r="AH176" s="651">
        <v>159</v>
      </c>
      <c r="AI176" s="523">
        <v>37</v>
      </c>
    </row>
    <row r="177" spans="1:35" ht="21.95" customHeight="1" x14ac:dyDescent="0.2">
      <c r="A177" s="621"/>
      <c r="B177" s="677"/>
      <c r="C177" s="590"/>
      <c r="D177" s="590"/>
      <c r="E177" s="590"/>
      <c r="F177" s="590"/>
      <c r="G177" s="590"/>
      <c r="H177" s="590"/>
      <c r="I177" s="590"/>
      <c r="J177" s="590"/>
      <c r="K177" s="525"/>
      <c r="L177" s="590"/>
      <c r="M177" s="590"/>
      <c r="N177" s="590"/>
      <c r="O177" s="590"/>
      <c r="P177" s="546"/>
      <c r="Q177" s="546"/>
      <c r="R177" s="546"/>
      <c r="S177" s="590"/>
      <c r="T177" s="590"/>
      <c r="U177" s="590"/>
      <c r="V177" s="590"/>
      <c r="W177" s="590"/>
      <c r="X177" s="590"/>
      <c r="Y177" s="590"/>
      <c r="Z177" s="590"/>
      <c r="AA177" s="590"/>
      <c r="AB177" s="590"/>
      <c r="AC177" s="590"/>
      <c r="AD177" s="590"/>
      <c r="AE177" s="590"/>
      <c r="AF177" s="590"/>
      <c r="AG177" s="590"/>
      <c r="AH177" s="591"/>
      <c r="AI177" s="591"/>
    </row>
    <row r="178" spans="1:35" ht="21" customHeight="1" x14ac:dyDescent="0.2">
      <c r="A178" s="1" t="s">
        <v>624</v>
      </c>
    </row>
    <row r="179" spans="1:35" ht="21" customHeight="1" x14ac:dyDescent="0.2">
      <c r="B179" s="200" t="s">
        <v>604</v>
      </c>
      <c r="C179" s="7"/>
      <c r="D179" s="530" t="s">
        <v>2</v>
      </c>
      <c r="E179" s="51"/>
      <c r="F179" s="573"/>
      <c r="G179" s="7"/>
      <c r="H179" s="530" t="s">
        <v>3</v>
      </c>
      <c r="I179" s="51"/>
      <c r="J179" s="573"/>
      <c r="K179" s="7"/>
      <c r="L179" s="530" t="s">
        <v>4</v>
      </c>
      <c r="M179" s="51"/>
      <c r="N179" s="573"/>
      <c r="O179" s="7"/>
      <c r="P179" s="530" t="s">
        <v>5</v>
      </c>
      <c r="Q179" s="51"/>
      <c r="R179" s="573"/>
      <c r="S179" s="7"/>
      <c r="T179" s="530" t="s">
        <v>6</v>
      </c>
      <c r="U179" s="51"/>
      <c r="V179" s="573"/>
      <c r="W179" s="7"/>
      <c r="X179" s="530" t="s">
        <v>7</v>
      </c>
      <c r="Y179" s="51"/>
      <c r="Z179" s="573"/>
      <c r="AA179" s="7"/>
      <c r="AB179" s="530" t="s">
        <v>8</v>
      </c>
      <c r="AC179" s="51"/>
      <c r="AD179" s="51"/>
      <c r="AE179" s="424" t="s">
        <v>10</v>
      </c>
      <c r="AF179" s="51"/>
      <c r="AG179" s="51"/>
      <c r="AH179" s="51"/>
      <c r="AI179" s="531"/>
    </row>
    <row r="180" spans="1:35" ht="21" customHeight="1" x14ac:dyDescent="0.2">
      <c r="B180" s="9">
        <v>8502</v>
      </c>
      <c r="C180" s="14" t="s">
        <v>11</v>
      </c>
      <c r="D180" s="659"/>
      <c r="E180" s="55"/>
      <c r="F180" s="580"/>
      <c r="G180" s="14" t="s">
        <v>11</v>
      </c>
      <c r="H180" s="659"/>
      <c r="I180" s="55"/>
      <c r="J180" s="580"/>
      <c r="K180" s="14" t="s">
        <v>11</v>
      </c>
      <c r="L180" s="659"/>
      <c r="M180" s="55"/>
      <c r="N180" s="580"/>
      <c r="O180" s="14" t="s">
        <v>11</v>
      </c>
      <c r="P180" s="659"/>
      <c r="Q180" s="55"/>
      <c r="R180" s="580"/>
      <c r="S180" s="14" t="s">
        <v>12</v>
      </c>
      <c r="T180" s="659"/>
      <c r="U180" s="55"/>
      <c r="V180" s="580"/>
      <c r="W180" s="14"/>
      <c r="X180" s="659"/>
      <c r="Y180" s="55"/>
      <c r="Z180" s="580"/>
      <c r="AA180" s="14"/>
      <c r="AB180" s="659"/>
      <c r="AC180" s="55"/>
      <c r="AD180" s="55"/>
      <c r="AE180" s="660"/>
      <c r="AF180" s="55"/>
      <c r="AG180" s="55"/>
      <c r="AH180" s="55"/>
      <c r="AI180" s="661"/>
    </row>
    <row r="181" spans="1:35" ht="21" customHeight="1" x14ac:dyDescent="0.2">
      <c r="B181" s="662">
        <v>3701</v>
      </c>
      <c r="C181" s="121" t="s">
        <v>11</v>
      </c>
      <c r="D181" s="130"/>
      <c r="E181" s="55"/>
      <c r="F181" s="580"/>
      <c r="G181" s="121" t="s">
        <v>11</v>
      </c>
      <c r="H181" s="659"/>
      <c r="I181" s="55"/>
      <c r="J181" s="580"/>
      <c r="K181" s="121" t="s">
        <v>11</v>
      </c>
      <c r="L181" s="659"/>
      <c r="M181" s="55"/>
      <c r="N181" s="580"/>
      <c r="O181" s="121" t="s">
        <v>11</v>
      </c>
      <c r="P181" s="659"/>
      <c r="Q181" s="55"/>
      <c r="R181" s="580"/>
      <c r="S181" s="14" t="s">
        <v>12</v>
      </c>
      <c r="T181" s="659"/>
      <c r="U181" s="55"/>
      <c r="V181" s="580"/>
      <c r="W181" s="14"/>
      <c r="X181" s="659"/>
      <c r="Y181" s="55"/>
      <c r="Z181" s="580"/>
      <c r="AA181" s="14"/>
      <c r="AB181" s="659"/>
      <c r="AC181" s="55"/>
      <c r="AD181" s="55"/>
      <c r="AE181" s="660"/>
      <c r="AF181" s="55"/>
      <c r="AG181" s="55"/>
      <c r="AH181" s="55"/>
      <c r="AI181" s="661"/>
    </row>
    <row r="182" spans="1:35" ht="21" customHeight="1" x14ac:dyDescent="0.2">
      <c r="B182" s="662">
        <v>3705</v>
      </c>
      <c r="C182" s="121" t="s">
        <v>147</v>
      </c>
      <c r="D182" s="130"/>
      <c r="E182" s="55"/>
      <c r="F182" s="580"/>
      <c r="G182" s="121" t="s">
        <v>147</v>
      </c>
      <c r="H182" s="659"/>
      <c r="I182" s="55"/>
      <c r="J182" s="580"/>
      <c r="K182" s="121" t="s">
        <v>147</v>
      </c>
      <c r="L182" s="659"/>
      <c r="M182" s="55"/>
      <c r="N182" s="580"/>
      <c r="O182" s="121" t="s">
        <v>147</v>
      </c>
      <c r="P182" s="659"/>
      <c r="Q182" s="55"/>
      <c r="R182" s="580"/>
      <c r="S182" s="121" t="s">
        <v>536</v>
      </c>
      <c r="T182" s="659"/>
      <c r="U182" s="55"/>
      <c r="V182" s="580"/>
      <c r="W182" s="14"/>
      <c r="X182" s="659"/>
      <c r="Y182" s="55"/>
      <c r="Z182" s="580"/>
      <c r="AA182" s="14"/>
      <c r="AB182" s="659"/>
      <c r="AC182" s="55"/>
      <c r="AD182" s="55"/>
      <c r="AE182" s="660"/>
      <c r="AF182" s="55"/>
      <c r="AG182" s="55"/>
      <c r="AH182" s="55"/>
      <c r="AI182" s="661"/>
    </row>
    <row r="183" spans="1:35" ht="21" customHeight="1" x14ac:dyDescent="0.2">
      <c r="B183" s="662" t="s">
        <v>625</v>
      </c>
      <c r="C183" s="611" t="s">
        <v>626</v>
      </c>
      <c r="D183" s="130"/>
      <c r="E183" s="55"/>
      <c r="F183" s="580"/>
      <c r="G183" s="611" t="s">
        <v>626</v>
      </c>
      <c r="H183" s="659"/>
      <c r="I183" s="55"/>
      <c r="J183" s="580"/>
      <c r="K183" s="611" t="s">
        <v>626</v>
      </c>
      <c r="L183" s="659"/>
      <c r="M183" s="55"/>
      <c r="N183" s="580"/>
      <c r="O183" s="611" t="s">
        <v>626</v>
      </c>
      <c r="P183" s="659"/>
      <c r="Q183" s="55"/>
      <c r="R183" s="580"/>
      <c r="S183" s="611" t="s">
        <v>626</v>
      </c>
      <c r="T183" s="659"/>
      <c r="U183" s="55"/>
      <c r="V183" s="580"/>
      <c r="W183" s="14"/>
      <c r="X183" s="659"/>
      <c r="Y183" s="55"/>
      <c r="Z183" s="580"/>
      <c r="AA183" s="14"/>
      <c r="AB183" s="659"/>
      <c r="AC183" s="55"/>
      <c r="AD183" s="55"/>
      <c r="AE183" s="660"/>
      <c r="AF183" s="55"/>
      <c r="AG183" s="55"/>
      <c r="AH183" s="55">
        <v>35</v>
      </c>
      <c r="AI183" s="661"/>
    </row>
    <row r="184" spans="1:35" ht="21" customHeight="1" x14ac:dyDescent="0.2">
      <c r="B184" s="662" t="s">
        <v>627</v>
      </c>
      <c r="C184" s="611" t="s">
        <v>628</v>
      </c>
      <c r="D184" s="130"/>
      <c r="E184" s="55"/>
      <c r="F184" s="580"/>
      <c r="G184" s="659" t="s">
        <v>629</v>
      </c>
      <c r="H184" s="659"/>
      <c r="I184" s="55"/>
      <c r="J184" s="580"/>
      <c r="K184" s="659" t="s">
        <v>630</v>
      </c>
      <c r="L184" s="659"/>
      <c r="M184" s="55"/>
      <c r="N184" s="580"/>
      <c r="O184" s="659" t="s">
        <v>630</v>
      </c>
      <c r="P184" s="659"/>
      <c r="Q184" s="55"/>
      <c r="R184" s="580"/>
      <c r="S184" s="659" t="s">
        <v>631</v>
      </c>
      <c r="T184" s="659"/>
      <c r="U184" s="55"/>
      <c r="V184" s="580"/>
      <c r="W184" s="14"/>
      <c r="X184" s="659"/>
      <c r="Y184" s="55"/>
      <c r="Z184" s="580"/>
      <c r="AA184" s="14"/>
      <c r="AB184" s="659"/>
      <c r="AC184" s="55"/>
      <c r="AD184" s="55"/>
      <c r="AE184" s="660"/>
      <c r="AF184" s="55"/>
      <c r="AG184" s="55"/>
      <c r="AH184" s="55">
        <v>39</v>
      </c>
      <c r="AI184" s="661"/>
    </row>
    <row r="185" spans="1:35" ht="21" customHeight="1" x14ac:dyDescent="0.2">
      <c r="B185" s="662" t="s">
        <v>324</v>
      </c>
      <c r="C185" s="611" t="s">
        <v>632</v>
      </c>
      <c r="D185" s="130"/>
      <c r="E185" s="55"/>
      <c r="F185" s="580"/>
      <c r="G185" s="611" t="s">
        <v>632</v>
      </c>
      <c r="H185" s="130"/>
      <c r="I185" s="55"/>
      <c r="J185" s="580"/>
      <c r="K185" s="611" t="s">
        <v>632</v>
      </c>
      <c r="L185" s="130"/>
      <c r="M185" s="55"/>
      <c r="N185" s="580"/>
      <c r="O185" s="611" t="s">
        <v>632</v>
      </c>
      <c r="P185" s="130"/>
      <c r="Q185" s="55"/>
      <c r="R185" s="580"/>
      <c r="S185" s="659" t="s">
        <v>633</v>
      </c>
      <c r="T185" s="659"/>
      <c r="U185" s="55"/>
      <c r="V185" s="580"/>
      <c r="W185" s="14"/>
      <c r="X185" s="659"/>
      <c r="Y185" s="55"/>
      <c r="Z185" s="580"/>
      <c r="AA185" s="14"/>
      <c r="AB185" s="659"/>
      <c r="AC185" s="55"/>
      <c r="AD185" s="55"/>
      <c r="AE185" s="660"/>
      <c r="AF185" s="55"/>
      <c r="AG185" s="55"/>
      <c r="AH185" s="55"/>
      <c r="AI185" s="661"/>
    </row>
    <row r="186" spans="1:35" ht="21" customHeight="1" x14ac:dyDescent="0.2">
      <c r="B186" s="662" t="s">
        <v>325</v>
      </c>
      <c r="C186" s="611" t="s">
        <v>634</v>
      </c>
      <c r="D186" s="130"/>
      <c r="E186" s="55"/>
      <c r="F186" s="580"/>
      <c r="G186" s="611" t="s">
        <v>634</v>
      </c>
      <c r="H186" s="130"/>
      <c r="I186" s="55"/>
      <c r="J186" s="580"/>
      <c r="K186" s="611" t="s">
        <v>634</v>
      </c>
      <c r="L186" s="130"/>
      <c r="M186" s="55"/>
      <c r="N186" s="580"/>
      <c r="O186" s="611" t="s">
        <v>634</v>
      </c>
      <c r="P186" s="130"/>
      <c r="Q186" s="55"/>
      <c r="R186" s="580"/>
      <c r="S186" s="659" t="s">
        <v>635</v>
      </c>
      <c r="T186" s="659"/>
      <c r="U186" s="55"/>
      <c r="V186" s="580"/>
      <c r="W186" s="14"/>
      <c r="X186" s="659"/>
      <c r="Y186" s="55"/>
      <c r="Z186" s="580"/>
      <c r="AA186" s="14"/>
      <c r="AB186" s="659"/>
      <c r="AC186" s="55"/>
      <c r="AD186" s="55"/>
      <c r="AE186" s="660"/>
      <c r="AF186" s="55"/>
      <c r="AG186" s="55"/>
      <c r="AH186" s="55"/>
      <c r="AI186" s="661"/>
    </row>
    <row r="187" spans="1:35" ht="21" customHeight="1" x14ac:dyDescent="0.2">
      <c r="B187" s="671" t="s">
        <v>326</v>
      </c>
      <c r="C187" s="618" t="s">
        <v>636</v>
      </c>
      <c r="D187" s="48"/>
      <c r="E187" s="678"/>
      <c r="F187" s="239"/>
      <c r="G187" s="618" t="s">
        <v>636</v>
      </c>
      <c r="H187" s="48"/>
      <c r="I187" s="678"/>
      <c r="J187" s="239"/>
      <c r="K187" s="618" t="s">
        <v>636</v>
      </c>
      <c r="L187" s="48"/>
      <c r="M187" s="678"/>
      <c r="N187" s="239"/>
      <c r="O187" s="618" t="s">
        <v>636</v>
      </c>
      <c r="P187" s="48"/>
      <c r="Q187" s="678"/>
      <c r="R187" s="239"/>
      <c r="S187" s="148" t="s">
        <v>637</v>
      </c>
      <c r="T187" s="148"/>
      <c r="U187" s="678"/>
      <c r="V187" s="239"/>
      <c r="W187" s="679"/>
      <c r="X187" s="148"/>
      <c r="Y187" s="678"/>
      <c r="Z187" s="239"/>
      <c r="AA187" s="679"/>
      <c r="AB187" s="148"/>
      <c r="AC187" s="678"/>
      <c r="AD187" s="678"/>
      <c r="AE187" s="680"/>
      <c r="AF187" s="678"/>
      <c r="AG187" s="678"/>
      <c r="AH187" s="678"/>
      <c r="AI187" s="681"/>
    </row>
    <row r="188" spans="1:35" ht="21" customHeight="1" x14ac:dyDescent="0.2">
      <c r="B188" s="273"/>
      <c r="C188" s="311"/>
      <c r="D188" s="72"/>
      <c r="G188" s="311"/>
      <c r="H188" s="72"/>
      <c r="K188" s="311"/>
      <c r="L188" s="72"/>
      <c r="O188" s="311"/>
      <c r="P188" s="72"/>
      <c r="S188" s="311"/>
      <c r="T188" s="311"/>
      <c r="X188" s="311"/>
      <c r="AB188" s="311"/>
      <c r="AE188" s="311"/>
    </row>
    <row r="189" spans="1:35" ht="21" customHeight="1" x14ac:dyDescent="0.2">
      <c r="A189" s="682" t="s">
        <v>638</v>
      </c>
    </row>
    <row r="190" spans="1:35" ht="21" customHeight="1" x14ac:dyDescent="0.2">
      <c r="A190" s="585"/>
      <c r="B190" s="296" t="s">
        <v>469</v>
      </c>
      <c r="C190" s="177">
        <v>1</v>
      </c>
      <c r="D190" s="708">
        <v>2</v>
      </c>
      <c r="E190" s="708">
        <v>3</v>
      </c>
      <c r="F190" s="709">
        <v>4</v>
      </c>
      <c r="G190" s="709">
        <v>5</v>
      </c>
      <c r="H190" s="709">
        <v>6</v>
      </c>
      <c r="I190" s="709">
        <v>7</v>
      </c>
      <c r="J190" s="709">
        <v>8</v>
      </c>
      <c r="K190" s="708">
        <v>9</v>
      </c>
      <c r="L190" s="708">
        <v>10</v>
      </c>
      <c r="M190" s="709">
        <v>11</v>
      </c>
      <c r="N190" s="709">
        <v>12</v>
      </c>
      <c r="O190" s="709">
        <v>13</v>
      </c>
      <c r="P190" s="709">
        <v>14</v>
      </c>
      <c r="Q190" s="709">
        <v>15</v>
      </c>
      <c r="R190" s="708">
        <v>16</v>
      </c>
      <c r="S190" s="708">
        <v>17</v>
      </c>
      <c r="T190" s="709">
        <v>18</v>
      </c>
      <c r="U190" s="709">
        <v>19</v>
      </c>
      <c r="V190" s="709">
        <v>20</v>
      </c>
      <c r="W190" s="709">
        <v>21</v>
      </c>
      <c r="X190" s="709">
        <v>22</v>
      </c>
      <c r="Y190" s="708">
        <v>23</v>
      </c>
      <c r="Z190" s="708">
        <v>24</v>
      </c>
      <c r="AA190" s="709">
        <v>25</v>
      </c>
      <c r="AB190" s="709">
        <v>26</v>
      </c>
      <c r="AC190" s="709">
        <v>27</v>
      </c>
      <c r="AD190" s="709">
        <v>28</v>
      </c>
      <c r="AE190" s="709">
        <v>29</v>
      </c>
      <c r="AF190" s="708">
        <v>30</v>
      </c>
      <c r="AG190" s="497">
        <v>31</v>
      </c>
      <c r="AH190" s="499" t="s">
        <v>470</v>
      </c>
      <c r="AI190" s="500" t="s">
        <v>471</v>
      </c>
    </row>
    <row r="191" spans="1:35" ht="21" customHeight="1" x14ac:dyDescent="0.2">
      <c r="A191" s="441">
        <v>3702</v>
      </c>
      <c r="B191" s="152" t="s">
        <v>639</v>
      </c>
      <c r="C191" s="503">
        <v>2</v>
      </c>
      <c r="D191" s="503"/>
      <c r="E191" s="503"/>
      <c r="F191" s="503">
        <v>1</v>
      </c>
      <c r="G191" s="503">
        <v>1</v>
      </c>
      <c r="H191" s="503">
        <v>1</v>
      </c>
      <c r="I191" s="503">
        <v>1</v>
      </c>
      <c r="J191" s="503">
        <v>1</v>
      </c>
      <c r="K191" s="503"/>
      <c r="L191" s="503"/>
      <c r="M191" s="503">
        <v>2</v>
      </c>
      <c r="N191" s="503">
        <v>2</v>
      </c>
      <c r="O191" s="503">
        <v>2</v>
      </c>
      <c r="P191" s="503">
        <v>2</v>
      </c>
      <c r="Q191" s="503">
        <v>2</v>
      </c>
      <c r="R191" s="503"/>
      <c r="S191" s="503"/>
      <c r="T191" s="503">
        <v>1</v>
      </c>
      <c r="U191" s="503">
        <v>1</v>
      </c>
      <c r="V191" s="503">
        <v>1</v>
      </c>
      <c r="W191" s="503">
        <v>1</v>
      </c>
      <c r="X191" s="503">
        <v>1</v>
      </c>
      <c r="Y191" s="503"/>
      <c r="Z191" s="503"/>
      <c r="AA191" s="1059">
        <v>2</v>
      </c>
      <c r="AB191" s="1059">
        <v>2</v>
      </c>
      <c r="AC191" s="1059">
        <v>2</v>
      </c>
      <c r="AD191" s="1059">
        <v>2</v>
      </c>
      <c r="AE191" s="1059">
        <v>2</v>
      </c>
      <c r="AF191" s="1068"/>
      <c r="AG191" s="1068"/>
      <c r="AH191" s="505">
        <v>148</v>
      </c>
      <c r="AI191" s="506">
        <v>37</v>
      </c>
    </row>
    <row r="192" spans="1:35" ht="21" customHeight="1" x14ac:dyDescent="0.2">
      <c r="A192" s="441">
        <v>3701</v>
      </c>
      <c r="B192" s="152" t="s">
        <v>640</v>
      </c>
      <c r="C192" s="503" t="s">
        <v>482</v>
      </c>
      <c r="D192" s="503"/>
      <c r="E192" s="503"/>
      <c r="F192" s="503" t="s">
        <v>482</v>
      </c>
      <c r="G192" s="503" t="s">
        <v>482</v>
      </c>
      <c r="H192" s="503" t="s">
        <v>482</v>
      </c>
      <c r="I192" s="503" t="s">
        <v>482</v>
      </c>
      <c r="J192" s="503" t="s">
        <v>482</v>
      </c>
      <c r="K192" s="503"/>
      <c r="L192" s="503"/>
      <c r="M192" s="503" t="s">
        <v>482</v>
      </c>
      <c r="N192" s="503" t="s">
        <v>482</v>
      </c>
      <c r="O192" s="503" t="s">
        <v>482</v>
      </c>
      <c r="P192" s="503" t="s">
        <v>482</v>
      </c>
      <c r="Q192" s="503" t="s">
        <v>482</v>
      </c>
      <c r="R192" s="503"/>
      <c r="S192" s="503"/>
      <c r="T192" s="503" t="s">
        <v>482</v>
      </c>
      <c r="U192" s="503" t="s">
        <v>482</v>
      </c>
      <c r="V192" s="503" t="s">
        <v>482</v>
      </c>
      <c r="W192" s="503" t="s">
        <v>482</v>
      </c>
      <c r="X192" s="503" t="s">
        <v>482</v>
      </c>
      <c r="Y192" s="503"/>
      <c r="Z192" s="503"/>
      <c r="AA192" s="1059" t="s">
        <v>482</v>
      </c>
      <c r="AB192" s="1059" t="s">
        <v>482</v>
      </c>
      <c r="AC192" s="1059" t="s">
        <v>482</v>
      </c>
      <c r="AD192" s="1059" t="s">
        <v>482</v>
      </c>
      <c r="AE192" s="1059" t="s">
        <v>482</v>
      </c>
      <c r="AF192" s="1059"/>
      <c r="AG192" s="1059"/>
      <c r="AH192" s="505">
        <v>148</v>
      </c>
      <c r="AI192" s="506">
        <v>37</v>
      </c>
    </row>
    <row r="193" spans="1:35" ht="21" customHeight="1" x14ac:dyDescent="0.2">
      <c r="A193" s="441">
        <v>3702</v>
      </c>
      <c r="B193" s="152" t="s">
        <v>641</v>
      </c>
      <c r="C193" s="503">
        <v>1</v>
      </c>
      <c r="D193" s="503"/>
      <c r="E193" s="503"/>
      <c r="F193" s="1059">
        <v>2</v>
      </c>
      <c r="G193" s="1059">
        <v>2</v>
      </c>
      <c r="H193" s="1059">
        <v>2</v>
      </c>
      <c r="I193" s="1059">
        <v>2</v>
      </c>
      <c r="J193" s="1059">
        <v>2</v>
      </c>
      <c r="K193" s="1059"/>
      <c r="L193" s="1059"/>
      <c r="M193" s="1059">
        <v>1</v>
      </c>
      <c r="N193" s="1059">
        <v>1</v>
      </c>
      <c r="O193" s="1059">
        <v>1</v>
      </c>
      <c r="P193" s="1059">
        <v>1</v>
      </c>
      <c r="Q193" s="1059">
        <v>1</v>
      </c>
      <c r="R193" s="1059"/>
      <c r="S193" s="1059"/>
      <c r="T193" s="1059">
        <v>2</v>
      </c>
      <c r="U193" s="1059">
        <v>2</v>
      </c>
      <c r="V193" s="1059">
        <v>2</v>
      </c>
      <c r="W193" s="1059">
        <v>2</v>
      </c>
      <c r="X193" s="1059">
        <v>2</v>
      </c>
      <c r="Y193" s="1059"/>
      <c r="Z193" s="1059"/>
      <c r="AA193" s="503">
        <v>1</v>
      </c>
      <c r="AB193" s="503">
        <v>1</v>
      </c>
      <c r="AC193" s="503">
        <v>1</v>
      </c>
      <c r="AD193" s="503">
        <v>1</v>
      </c>
      <c r="AE193" s="503">
        <v>1</v>
      </c>
      <c r="AF193" s="503"/>
      <c r="AG193" s="503"/>
      <c r="AH193" s="505">
        <v>74</v>
      </c>
      <c r="AI193" s="506">
        <v>37</v>
      </c>
    </row>
    <row r="194" spans="1:35" ht="21" customHeight="1" x14ac:dyDescent="0.2">
      <c r="A194" s="683">
        <v>3706</v>
      </c>
      <c r="B194" s="552"/>
      <c r="C194" s="503"/>
      <c r="D194" s="503"/>
      <c r="E194" s="503"/>
      <c r="F194" s="503"/>
      <c r="G194" s="503"/>
      <c r="H194" s="503"/>
      <c r="I194" s="503"/>
      <c r="J194" s="503"/>
      <c r="K194" s="503"/>
      <c r="L194" s="503"/>
      <c r="M194" s="503"/>
      <c r="N194" s="503"/>
      <c r="O194" s="503"/>
      <c r="P194" s="503"/>
      <c r="Q194" s="503"/>
      <c r="R194" s="503"/>
      <c r="S194" s="503"/>
      <c r="T194" s="503"/>
      <c r="U194" s="503"/>
      <c r="V194" s="503"/>
      <c r="W194" s="503"/>
      <c r="X194" s="503"/>
      <c r="Y194" s="503"/>
      <c r="Z194" s="503"/>
      <c r="AA194" s="503"/>
      <c r="AB194" s="503"/>
      <c r="AC194" s="503"/>
      <c r="AD194" s="503"/>
      <c r="AE194" s="503"/>
      <c r="AF194" s="503"/>
      <c r="AG194" s="503"/>
      <c r="AH194" s="505">
        <v>185</v>
      </c>
      <c r="AI194" s="506">
        <v>37</v>
      </c>
    </row>
    <row r="195" spans="1:35" ht="21" customHeight="1" x14ac:dyDescent="0.2">
      <c r="A195" s="684"/>
      <c r="B195" s="685" t="s">
        <v>642</v>
      </c>
      <c r="C195" s="686"/>
      <c r="D195" s="686"/>
      <c r="E195" s="686"/>
      <c r="F195" s="686"/>
      <c r="G195" s="686"/>
      <c r="H195" s="686"/>
      <c r="I195" s="686"/>
      <c r="J195" s="686"/>
      <c r="K195" s="686"/>
      <c r="L195" s="686"/>
      <c r="M195" s="686"/>
      <c r="N195" s="686"/>
      <c r="O195" s="686"/>
      <c r="P195" s="686"/>
      <c r="Q195" s="686"/>
      <c r="R195" s="686"/>
      <c r="S195" s="686"/>
      <c r="T195" s="686"/>
      <c r="U195" s="686"/>
      <c r="V195" s="686"/>
      <c r="W195" s="686"/>
      <c r="X195" s="686"/>
      <c r="Y195" s="686"/>
      <c r="Z195" s="686"/>
      <c r="AA195" s="686"/>
      <c r="AB195" s="686"/>
      <c r="AC195" s="686"/>
      <c r="AD195" s="686"/>
      <c r="AE195" s="686"/>
      <c r="AF195" s="686"/>
      <c r="AG195" s="687"/>
      <c r="AH195" s="688"/>
      <c r="AI195" s="689"/>
    </row>
    <row r="196" spans="1:35" ht="21" customHeight="1" x14ac:dyDescent="0.2">
      <c r="A196" s="441">
        <v>3702</v>
      </c>
      <c r="B196" s="133" t="s">
        <v>704</v>
      </c>
      <c r="C196" s="503" t="s">
        <v>644</v>
      </c>
      <c r="D196" s="503"/>
      <c r="E196" s="152"/>
      <c r="F196" s="503" t="s">
        <v>643</v>
      </c>
      <c r="G196" s="503" t="s">
        <v>643</v>
      </c>
      <c r="H196" s="503" t="s">
        <v>643</v>
      </c>
      <c r="I196" s="503" t="s">
        <v>643</v>
      </c>
      <c r="J196" s="503" t="s">
        <v>643</v>
      </c>
      <c r="K196" s="503"/>
      <c r="L196" s="503"/>
      <c r="M196" s="503" t="s">
        <v>596</v>
      </c>
      <c r="N196" s="503" t="s">
        <v>596</v>
      </c>
      <c r="O196" s="503" t="s">
        <v>596</v>
      </c>
      <c r="P196" s="503" t="s">
        <v>596</v>
      </c>
      <c r="Q196" s="503" t="s">
        <v>596</v>
      </c>
      <c r="R196" s="503"/>
      <c r="S196" s="503"/>
      <c r="T196" s="503" t="s">
        <v>644</v>
      </c>
      <c r="U196" s="503" t="s">
        <v>644</v>
      </c>
      <c r="V196" s="503" t="s">
        <v>644</v>
      </c>
      <c r="W196" s="503" t="s">
        <v>644</v>
      </c>
      <c r="X196" s="503" t="s">
        <v>644</v>
      </c>
      <c r="Y196" s="503"/>
      <c r="Z196" s="152"/>
      <c r="AA196" s="1058" t="s">
        <v>643</v>
      </c>
      <c r="AB196" s="1058" t="s">
        <v>643</v>
      </c>
      <c r="AC196" s="1058" t="s">
        <v>643</v>
      </c>
      <c r="AD196" s="1058" t="s">
        <v>643</v>
      </c>
      <c r="AE196" s="1058" t="s">
        <v>643</v>
      </c>
      <c r="AF196" s="1059"/>
      <c r="AG196" s="1423"/>
      <c r="AH196" s="505">
        <v>74</v>
      </c>
      <c r="AI196" s="506">
        <v>37</v>
      </c>
    </row>
    <row r="197" spans="1:35" ht="21" customHeight="1" x14ac:dyDescent="0.2">
      <c r="A197" s="441"/>
      <c r="B197" s="152" t="s">
        <v>645</v>
      </c>
      <c r="C197" s="503" t="s">
        <v>643</v>
      </c>
      <c r="D197" s="503"/>
      <c r="E197" s="152"/>
      <c r="F197" s="1100" t="s">
        <v>596</v>
      </c>
      <c r="G197" s="1100" t="s">
        <v>596</v>
      </c>
      <c r="H197" s="1421" t="s">
        <v>596</v>
      </c>
      <c r="I197" s="1100" t="s">
        <v>596</v>
      </c>
      <c r="J197" s="1100" t="s">
        <v>596</v>
      </c>
      <c r="K197" s="503"/>
      <c r="L197" s="503"/>
      <c r="M197" s="503" t="s">
        <v>644</v>
      </c>
      <c r="N197" s="503" t="s">
        <v>644</v>
      </c>
      <c r="O197" s="503" t="s">
        <v>644</v>
      </c>
      <c r="P197" s="503" t="s">
        <v>644</v>
      </c>
      <c r="Q197" s="503" t="s">
        <v>644</v>
      </c>
      <c r="R197" s="503"/>
      <c r="S197" s="503"/>
      <c r="T197" s="503" t="s">
        <v>643</v>
      </c>
      <c r="U197" s="1463"/>
      <c r="V197" s="503" t="s">
        <v>643</v>
      </c>
      <c r="W197" s="503" t="s">
        <v>643</v>
      </c>
      <c r="X197" s="503" t="s">
        <v>643</v>
      </c>
      <c r="Y197" s="503"/>
      <c r="Z197" s="152"/>
      <c r="AA197" s="1059" t="s">
        <v>596</v>
      </c>
      <c r="AB197" s="1059" t="s">
        <v>596</v>
      </c>
      <c r="AC197" s="1059" t="s">
        <v>596</v>
      </c>
      <c r="AD197" s="1059" t="s">
        <v>596</v>
      </c>
      <c r="AE197" s="1059" t="s">
        <v>596</v>
      </c>
      <c r="AF197" s="1059"/>
      <c r="AG197" s="1423"/>
      <c r="AH197" s="505">
        <v>156</v>
      </c>
      <c r="AI197" s="506">
        <v>37</v>
      </c>
    </row>
    <row r="198" spans="1:35" ht="21" customHeight="1" x14ac:dyDescent="0.2">
      <c r="A198" s="441"/>
      <c r="B198" s="152" t="s">
        <v>646</v>
      </c>
      <c r="C198" s="503" t="s">
        <v>596</v>
      </c>
      <c r="D198" s="503"/>
      <c r="E198" s="152"/>
      <c r="F198" s="1059" t="s">
        <v>644</v>
      </c>
      <c r="G198" s="1059" t="s">
        <v>644</v>
      </c>
      <c r="H198" s="1059" t="s">
        <v>644</v>
      </c>
      <c r="I198" s="1059" t="s">
        <v>644</v>
      </c>
      <c r="J198" s="1059" t="s">
        <v>644</v>
      </c>
      <c r="K198" s="1059"/>
      <c r="L198" s="1059"/>
      <c r="M198" s="1059" t="s">
        <v>643</v>
      </c>
      <c r="N198" s="1059" t="s">
        <v>643</v>
      </c>
      <c r="O198" s="1059" t="s">
        <v>643</v>
      </c>
      <c r="P198" s="1059" t="s">
        <v>643</v>
      </c>
      <c r="Q198" s="1059" t="s">
        <v>643</v>
      </c>
      <c r="R198" s="1059"/>
      <c r="S198" s="1059"/>
      <c r="T198" s="1059" t="s">
        <v>596</v>
      </c>
      <c r="U198" s="1059" t="s">
        <v>596</v>
      </c>
      <c r="V198" s="1059" t="s">
        <v>596</v>
      </c>
      <c r="W198" s="1059" t="s">
        <v>596</v>
      </c>
      <c r="X198" s="1059" t="s">
        <v>596</v>
      </c>
      <c r="Y198" s="1059"/>
      <c r="Z198" s="1420"/>
      <c r="AA198" s="503" t="s">
        <v>644</v>
      </c>
      <c r="AB198" s="503" t="s">
        <v>644</v>
      </c>
      <c r="AC198" s="503" t="s">
        <v>644</v>
      </c>
      <c r="AD198" s="503" t="s">
        <v>644</v>
      </c>
      <c r="AE198" s="503" t="s">
        <v>644</v>
      </c>
      <c r="AF198" s="503"/>
      <c r="AG198" s="154"/>
      <c r="AH198" s="505">
        <v>74</v>
      </c>
      <c r="AI198" s="506">
        <v>37</v>
      </c>
    </row>
    <row r="199" spans="1:35" ht="21" customHeight="1" x14ac:dyDescent="0.2">
      <c r="R199" s="1422"/>
    </row>
    <row r="200" spans="1:35" ht="21" customHeight="1" x14ac:dyDescent="0.2"/>
    <row r="201" spans="1:35" ht="21" customHeight="1" x14ac:dyDescent="0.2">
      <c r="A201" s="1" t="s">
        <v>647</v>
      </c>
    </row>
    <row r="202" spans="1:35" ht="21" customHeight="1" x14ac:dyDescent="0.2">
      <c r="B202" s="200" t="s">
        <v>604</v>
      </c>
      <c r="C202" s="7"/>
      <c r="D202" s="530" t="s">
        <v>2</v>
      </c>
      <c r="E202" s="51"/>
      <c r="F202" s="573"/>
      <c r="G202" s="7"/>
      <c r="H202" s="530" t="s">
        <v>3</v>
      </c>
      <c r="I202" s="51"/>
      <c r="J202" s="573"/>
      <c r="K202" s="7"/>
      <c r="L202" s="530" t="s">
        <v>4</v>
      </c>
      <c r="M202" s="51"/>
      <c r="N202" s="573"/>
      <c r="O202" s="7"/>
      <c r="P202" s="530" t="s">
        <v>5</v>
      </c>
      <c r="Q202" s="51"/>
      <c r="R202" s="573"/>
      <c r="S202" s="7"/>
      <c r="T202" s="530" t="s">
        <v>6</v>
      </c>
      <c r="U202" s="51"/>
      <c r="V202" s="573"/>
      <c r="W202" s="7"/>
      <c r="X202" s="530" t="s">
        <v>7</v>
      </c>
      <c r="Y202" s="51"/>
      <c r="Z202" s="573"/>
      <c r="AA202" s="7"/>
      <c r="AB202" s="530" t="s">
        <v>8</v>
      </c>
      <c r="AC202" s="51"/>
      <c r="AD202" s="51"/>
      <c r="AE202" s="424" t="s">
        <v>10</v>
      </c>
      <c r="AF202" s="51"/>
      <c r="AG202" s="51"/>
      <c r="AH202" s="51"/>
      <c r="AI202" s="531"/>
    </row>
    <row r="203" spans="1:35" ht="21" customHeight="1" x14ac:dyDescent="0.2">
      <c r="B203" s="9">
        <v>8500</v>
      </c>
      <c r="C203" s="121" t="s">
        <v>33</v>
      </c>
      <c r="D203" s="659"/>
      <c r="E203" s="55"/>
      <c r="F203" s="580"/>
      <c r="G203" s="121" t="s">
        <v>33</v>
      </c>
      <c r="H203" s="659"/>
      <c r="I203" s="55"/>
      <c r="J203" s="580"/>
      <c r="K203" s="121" t="s">
        <v>33</v>
      </c>
      <c r="L203" s="659"/>
      <c r="M203" s="55"/>
      <c r="N203" s="580"/>
      <c r="O203" s="121" t="s">
        <v>33</v>
      </c>
      <c r="P203" s="659"/>
      <c r="Q203" s="55"/>
      <c r="R203" s="580"/>
      <c r="S203" s="121" t="s">
        <v>34</v>
      </c>
      <c r="T203" s="659"/>
      <c r="U203" s="55"/>
      <c r="V203" s="580"/>
      <c r="W203" s="14"/>
      <c r="X203" s="659"/>
      <c r="Y203" s="55"/>
      <c r="Z203" s="580"/>
      <c r="AA203" s="14"/>
      <c r="AB203" s="659"/>
      <c r="AC203" s="55"/>
      <c r="AD203" s="55"/>
      <c r="AE203" s="660"/>
      <c r="AF203" s="55"/>
      <c r="AG203" s="55"/>
      <c r="AH203" s="55"/>
      <c r="AI203" s="661"/>
    </row>
    <row r="204" spans="1:35" ht="21" customHeight="1" x14ac:dyDescent="0.2">
      <c r="B204" s="162" t="s">
        <v>648</v>
      </c>
      <c r="C204" s="690" t="s">
        <v>649</v>
      </c>
      <c r="D204" s="607"/>
      <c r="E204" s="678"/>
      <c r="F204" s="239"/>
      <c r="G204" s="690" t="s">
        <v>649</v>
      </c>
      <c r="H204" s="148"/>
      <c r="I204" s="678"/>
      <c r="J204" s="239"/>
      <c r="K204" s="690" t="s">
        <v>649</v>
      </c>
      <c r="L204" s="148"/>
      <c r="M204" s="678"/>
      <c r="N204" s="239"/>
      <c r="O204" s="690" t="s">
        <v>650</v>
      </c>
      <c r="P204" s="148"/>
      <c r="Q204" s="678"/>
      <c r="R204" s="239"/>
      <c r="S204" s="690" t="s">
        <v>16</v>
      </c>
      <c r="T204" s="148"/>
      <c r="U204" s="678"/>
      <c r="V204" s="239"/>
      <c r="W204" s="679"/>
      <c r="X204" s="148"/>
      <c r="Y204" s="678"/>
      <c r="Z204" s="239"/>
      <c r="AA204" s="679"/>
      <c r="AB204" s="148"/>
      <c r="AC204" s="678"/>
      <c r="AD204" s="678"/>
      <c r="AE204" s="680"/>
      <c r="AF204" s="678"/>
      <c r="AG204" s="678"/>
      <c r="AH204" s="678"/>
      <c r="AI204" s="681"/>
    </row>
    <row r="205" spans="1:35" ht="21" customHeight="1" x14ac:dyDescent="0.2">
      <c r="A205" s="60" t="s">
        <v>651</v>
      </c>
    </row>
    <row r="206" spans="1:35" ht="21" customHeight="1" x14ac:dyDescent="0.2">
      <c r="A206" s="691"/>
      <c r="B206" s="296" t="s">
        <v>469</v>
      </c>
      <c r="C206" s="177">
        <v>1</v>
      </c>
      <c r="D206" s="708">
        <v>2</v>
      </c>
      <c r="E206" s="708">
        <v>3</v>
      </c>
      <c r="F206" s="709">
        <v>4</v>
      </c>
      <c r="G206" s="709">
        <v>5</v>
      </c>
      <c r="H206" s="709">
        <v>6</v>
      </c>
      <c r="I206" s="709">
        <v>7</v>
      </c>
      <c r="J206" s="709">
        <v>8</v>
      </c>
      <c r="K206" s="708">
        <v>9</v>
      </c>
      <c r="L206" s="708">
        <v>10</v>
      </c>
      <c r="M206" s="709">
        <v>11</v>
      </c>
      <c r="N206" s="709">
        <v>12</v>
      </c>
      <c r="O206" s="709">
        <v>13</v>
      </c>
      <c r="P206" s="709">
        <v>14</v>
      </c>
      <c r="Q206" s="709">
        <v>15</v>
      </c>
      <c r="R206" s="708">
        <v>16</v>
      </c>
      <c r="S206" s="708">
        <v>17</v>
      </c>
      <c r="T206" s="709">
        <v>18</v>
      </c>
      <c r="U206" s="709">
        <v>19</v>
      </c>
      <c r="V206" s="709">
        <v>20</v>
      </c>
      <c r="W206" s="709">
        <v>21</v>
      </c>
      <c r="X206" s="709">
        <v>22</v>
      </c>
      <c r="Y206" s="708">
        <v>23</v>
      </c>
      <c r="Z206" s="708">
        <v>24</v>
      </c>
      <c r="AA206" s="709">
        <v>25</v>
      </c>
      <c r="AB206" s="709">
        <v>26</v>
      </c>
      <c r="AC206" s="709">
        <v>27</v>
      </c>
      <c r="AD206" s="709">
        <v>28</v>
      </c>
      <c r="AE206" s="709">
        <v>29</v>
      </c>
      <c r="AF206" s="708">
        <v>30</v>
      </c>
      <c r="AG206" s="497">
        <v>31</v>
      </c>
      <c r="AH206" s="499" t="s">
        <v>470</v>
      </c>
      <c r="AI206" s="500" t="s">
        <v>471</v>
      </c>
    </row>
    <row r="207" spans="1:35" ht="21" customHeight="1" x14ac:dyDescent="0.2">
      <c r="A207" s="154">
        <v>8500</v>
      </c>
      <c r="B207" s="692" t="s">
        <v>652</v>
      </c>
      <c r="C207" s="587" t="s">
        <v>482</v>
      </c>
      <c r="D207" s="587"/>
      <c r="E207" s="587"/>
      <c r="F207" s="587" t="s">
        <v>482</v>
      </c>
      <c r="G207" s="587" t="s">
        <v>482</v>
      </c>
      <c r="H207" s="587" t="s">
        <v>482</v>
      </c>
      <c r="I207" s="587" t="s">
        <v>482</v>
      </c>
      <c r="J207" s="503" t="s">
        <v>482</v>
      </c>
      <c r="K207" s="587"/>
      <c r="L207" s="587"/>
      <c r="M207" s="587" t="s">
        <v>482</v>
      </c>
      <c r="N207" s="587" t="s">
        <v>482</v>
      </c>
      <c r="O207" s="553" t="s">
        <v>482</v>
      </c>
      <c r="P207" s="553" t="s">
        <v>482</v>
      </c>
      <c r="Q207" s="553" t="s">
        <v>482</v>
      </c>
      <c r="R207" s="587"/>
      <c r="S207" s="587"/>
      <c r="T207" s="1060" t="s">
        <v>482</v>
      </c>
      <c r="U207" s="1060" t="s">
        <v>482</v>
      </c>
      <c r="V207" s="1060" t="s">
        <v>482</v>
      </c>
      <c r="W207" s="1060" t="s">
        <v>482</v>
      </c>
      <c r="X207" s="1060" t="s">
        <v>482</v>
      </c>
      <c r="Y207" s="1060"/>
      <c r="Z207" s="1060"/>
      <c r="AA207" s="1060" t="s">
        <v>482</v>
      </c>
      <c r="AB207" s="1060" t="s">
        <v>482</v>
      </c>
      <c r="AC207" s="1060" t="s">
        <v>482</v>
      </c>
      <c r="AD207" s="1060" t="s">
        <v>482</v>
      </c>
      <c r="AE207" s="1060" t="s">
        <v>482</v>
      </c>
      <c r="AF207" s="1059"/>
      <c r="AG207" s="1075"/>
      <c r="AH207" s="693">
        <v>111</v>
      </c>
      <c r="AI207" s="694">
        <v>37</v>
      </c>
    </row>
    <row r="208" spans="1:35" ht="21" customHeight="1" x14ac:dyDescent="0.2">
      <c r="A208" s="501" t="s">
        <v>653</v>
      </c>
      <c r="B208" s="152" t="s">
        <v>654</v>
      </c>
      <c r="C208" s="587" t="s">
        <v>482</v>
      </c>
      <c r="D208" s="587"/>
      <c r="E208" s="587"/>
      <c r="F208" s="587" t="s">
        <v>482</v>
      </c>
      <c r="G208" s="587" t="s">
        <v>482</v>
      </c>
      <c r="H208" s="587" t="s">
        <v>482</v>
      </c>
      <c r="I208" s="587" t="s">
        <v>482</v>
      </c>
      <c r="J208" s="503" t="s">
        <v>482</v>
      </c>
      <c r="K208" s="587"/>
      <c r="L208" s="587"/>
      <c r="M208" s="587" t="s">
        <v>482</v>
      </c>
      <c r="N208" s="587" t="s">
        <v>482</v>
      </c>
      <c r="O208" s="553" t="s">
        <v>482</v>
      </c>
      <c r="P208" s="553" t="s">
        <v>482</v>
      </c>
      <c r="Q208" s="553" t="s">
        <v>482</v>
      </c>
      <c r="R208" s="587"/>
      <c r="S208" s="587"/>
      <c r="T208" s="587" t="s">
        <v>482</v>
      </c>
      <c r="U208" s="587" t="s">
        <v>482</v>
      </c>
      <c r="V208" s="587" t="s">
        <v>482</v>
      </c>
      <c r="W208" s="587" t="s">
        <v>482</v>
      </c>
      <c r="X208" s="587" t="s">
        <v>482</v>
      </c>
      <c r="Y208" s="587"/>
      <c r="Z208" s="587"/>
      <c r="AA208" s="587" t="s">
        <v>482</v>
      </c>
      <c r="AB208" s="587" t="s">
        <v>482</v>
      </c>
      <c r="AC208" s="587" t="s">
        <v>482</v>
      </c>
      <c r="AD208" s="587" t="s">
        <v>482</v>
      </c>
      <c r="AE208" s="587" t="s">
        <v>482</v>
      </c>
      <c r="AF208" s="503"/>
      <c r="AG208" s="588"/>
      <c r="AH208" s="693">
        <v>108</v>
      </c>
      <c r="AI208" s="694">
        <v>37</v>
      </c>
    </row>
    <row r="209" spans="1:35" ht="21" customHeight="1" x14ac:dyDescent="0.2">
      <c r="A209" s="152">
        <v>8500</v>
      </c>
      <c r="B209" s="152" t="s">
        <v>655</v>
      </c>
      <c r="C209" s="1060" t="s">
        <v>482</v>
      </c>
      <c r="D209" s="1060"/>
      <c r="E209" s="1060"/>
      <c r="F209" s="1060" t="s">
        <v>482</v>
      </c>
      <c r="G209" s="1060" t="s">
        <v>482</v>
      </c>
      <c r="H209" s="1060" t="s">
        <v>482</v>
      </c>
      <c r="I209" s="1060" t="s">
        <v>482</v>
      </c>
      <c r="J209" s="1059" t="s">
        <v>482</v>
      </c>
      <c r="K209" s="1060"/>
      <c r="L209" s="1060"/>
      <c r="M209" s="1060" t="s">
        <v>482</v>
      </c>
      <c r="N209" s="1060" t="s">
        <v>482</v>
      </c>
      <c r="O209" s="1064" t="s">
        <v>482</v>
      </c>
      <c r="P209" s="1064" t="s">
        <v>482</v>
      </c>
      <c r="Q209" s="1064" t="s">
        <v>482</v>
      </c>
      <c r="R209" s="1060"/>
      <c r="S209" s="1060"/>
      <c r="T209" s="587" t="s">
        <v>482</v>
      </c>
      <c r="U209" s="587" t="s">
        <v>482</v>
      </c>
      <c r="V209" s="587" t="s">
        <v>482</v>
      </c>
      <c r="W209" s="587" t="s">
        <v>482</v>
      </c>
      <c r="X209" s="587" t="s">
        <v>482</v>
      </c>
      <c r="Y209" s="587"/>
      <c r="Z209" s="587"/>
      <c r="AA209" s="587" t="s">
        <v>482</v>
      </c>
      <c r="AB209" s="587" t="s">
        <v>482</v>
      </c>
      <c r="AC209" s="587" t="s">
        <v>482</v>
      </c>
      <c r="AD209" s="587" t="s">
        <v>482</v>
      </c>
      <c r="AE209" s="587" t="s">
        <v>482</v>
      </c>
      <c r="AF209" s="503"/>
      <c r="AG209" s="588"/>
      <c r="AH209" s="693">
        <v>82</v>
      </c>
      <c r="AI209" s="694">
        <v>37</v>
      </c>
    </row>
    <row r="210" spans="1:35" ht="21.95" customHeight="1" x14ac:dyDescent="0.2">
      <c r="A210" s="441"/>
      <c r="B210" s="152" t="s">
        <v>656</v>
      </c>
      <c r="C210" s="587" t="s">
        <v>482</v>
      </c>
      <c r="D210" s="587"/>
      <c r="E210" s="587"/>
      <c r="F210" s="587" t="s">
        <v>482</v>
      </c>
      <c r="G210" s="587" t="s">
        <v>482</v>
      </c>
      <c r="H210" s="587" t="s">
        <v>482</v>
      </c>
      <c r="I210" s="587" t="s">
        <v>482</v>
      </c>
      <c r="J210" s="503" t="s">
        <v>482</v>
      </c>
      <c r="K210" s="587"/>
      <c r="L210" s="587"/>
      <c r="M210" s="587" t="s">
        <v>482</v>
      </c>
      <c r="N210" s="587" t="s">
        <v>482</v>
      </c>
      <c r="O210" s="553" t="s">
        <v>482</v>
      </c>
      <c r="P210" s="553" t="s">
        <v>482</v>
      </c>
      <c r="Q210" s="553" t="s">
        <v>482</v>
      </c>
      <c r="R210" s="587"/>
      <c r="S210" s="587"/>
      <c r="T210" s="587" t="s">
        <v>482</v>
      </c>
      <c r="U210" s="587" t="s">
        <v>482</v>
      </c>
      <c r="V210" s="587" t="s">
        <v>482</v>
      </c>
      <c r="W210" s="587" t="s">
        <v>482</v>
      </c>
      <c r="X210" s="587" t="s">
        <v>482</v>
      </c>
      <c r="Y210" s="587"/>
      <c r="Z210" s="587"/>
      <c r="AA210" s="587" t="s">
        <v>482</v>
      </c>
      <c r="AB210" s="587" t="s">
        <v>482</v>
      </c>
      <c r="AC210" s="587" t="s">
        <v>482</v>
      </c>
      <c r="AD210" s="587" t="s">
        <v>482</v>
      </c>
      <c r="AE210" s="587" t="s">
        <v>482</v>
      </c>
      <c r="AF210" s="503"/>
      <c r="AG210" s="588"/>
      <c r="AH210" s="693">
        <v>185</v>
      </c>
      <c r="AI210" s="694">
        <v>37</v>
      </c>
    </row>
    <row r="211" spans="1:35" ht="21.95" customHeight="1" x14ac:dyDescent="0.2">
      <c r="A211" s="512">
        <v>3350</v>
      </c>
      <c r="B211" s="54" t="s">
        <v>657</v>
      </c>
      <c r="C211" s="587" t="s">
        <v>482</v>
      </c>
      <c r="D211" s="587"/>
      <c r="E211" s="587"/>
      <c r="F211" s="1060" t="s">
        <v>482</v>
      </c>
      <c r="G211" s="1060" t="s">
        <v>482</v>
      </c>
      <c r="H211" s="1060" t="s">
        <v>482</v>
      </c>
      <c r="I211" s="1060" t="s">
        <v>482</v>
      </c>
      <c r="J211" s="1059" t="s">
        <v>482</v>
      </c>
      <c r="K211" s="1060"/>
      <c r="L211" s="1060"/>
      <c r="M211" s="1060" t="s">
        <v>482</v>
      </c>
      <c r="N211" s="1060" t="s">
        <v>482</v>
      </c>
      <c r="O211" s="1064" t="s">
        <v>482</v>
      </c>
      <c r="P211" s="1064" t="s">
        <v>482</v>
      </c>
      <c r="Q211" s="1064" t="s">
        <v>482</v>
      </c>
      <c r="R211" s="1060"/>
      <c r="S211" s="1060"/>
      <c r="T211" s="1060" t="s">
        <v>482</v>
      </c>
      <c r="U211" s="1060" t="s">
        <v>482</v>
      </c>
      <c r="V211" s="1060" t="s">
        <v>482</v>
      </c>
      <c r="W211" s="1060" t="s">
        <v>482</v>
      </c>
      <c r="X211" s="1060" t="s">
        <v>482</v>
      </c>
      <c r="Y211" s="1060"/>
      <c r="Z211" s="1060"/>
      <c r="AA211" s="587" t="s">
        <v>482</v>
      </c>
      <c r="AB211" s="587" t="s">
        <v>482</v>
      </c>
      <c r="AC211" s="587" t="s">
        <v>482</v>
      </c>
      <c r="AD211" s="587" t="s">
        <v>482</v>
      </c>
      <c r="AE211" s="587" t="s">
        <v>482</v>
      </c>
      <c r="AF211" s="503"/>
      <c r="AG211" s="588"/>
      <c r="AH211" s="693">
        <v>74</v>
      </c>
      <c r="AI211" s="694">
        <v>37</v>
      </c>
    </row>
    <row r="212" spans="1:35" ht="21.95" customHeight="1" x14ac:dyDescent="0.2">
      <c r="A212" s="524">
        <v>3701</v>
      </c>
      <c r="B212" s="152" t="s">
        <v>658</v>
      </c>
      <c r="C212" s="587" t="s">
        <v>482</v>
      </c>
      <c r="D212" s="587"/>
      <c r="E212" s="587"/>
      <c r="F212" s="587" t="s">
        <v>482</v>
      </c>
      <c r="G212" s="587" t="s">
        <v>482</v>
      </c>
      <c r="H212" s="587" t="s">
        <v>482</v>
      </c>
      <c r="I212" s="587" t="s">
        <v>482</v>
      </c>
      <c r="J212" s="503" t="s">
        <v>482</v>
      </c>
      <c r="K212" s="587"/>
      <c r="L212" s="587"/>
      <c r="M212" s="587" t="s">
        <v>482</v>
      </c>
      <c r="N212" s="587" t="s">
        <v>482</v>
      </c>
      <c r="O212" s="553" t="s">
        <v>482</v>
      </c>
      <c r="P212" s="553" t="s">
        <v>482</v>
      </c>
      <c r="Q212" s="553" t="s">
        <v>482</v>
      </c>
      <c r="R212" s="587"/>
      <c r="S212" s="587"/>
      <c r="T212" s="587" t="s">
        <v>482</v>
      </c>
      <c r="U212" s="587" t="s">
        <v>482</v>
      </c>
      <c r="V212" s="587" t="s">
        <v>482</v>
      </c>
      <c r="W212" s="587" t="s">
        <v>482</v>
      </c>
      <c r="X212" s="587" t="s">
        <v>482</v>
      </c>
      <c r="Y212" s="587"/>
      <c r="Z212" s="587"/>
      <c r="AA212" s="587" t="s">
        <v>482</v>
      </c>
      <c r="AB212" s="587" t="s">
        <v>482</v>
      </c>
      <c r="AC212" s="587" t="s">
        <v>482</v>
      </c>
      <c r="AD212" s="587" t="s">
        <v>482</v>
      </c>
      <c r="AE212" s="587" t="s">
        <v>482</v>
      </c>
      <c r="AF212" s="503"/>
      <c r="AG212" s="588"/>
      <c r="AH212" s="705"/>
      <c r="AI212" s="706"/>
    </row>
    <row r="213" spans="1:35" ht="25.5" customHeight="1" x14ac:dyDescent="0.2">
      <c r="A213" s="1" t="s">
        <v>683</v>
      </c>
    </row>
    <row r="214" spans="1:35" ht="21" customHeight="1" x14ac:dyDescent="0.2">
      <c r="A214" s="1"/>
      <c r="B214" s="200" t="s">
        <v>604</v>
      </c>
      <c r="C214" s="7"/>
      <c r="D214" s="530" t="s">
        <v>2</v>
      </c>
      <c r="E214" s="51"/>
      <c r="F214" s="573"/>
      <c r="G214" s="7"/>
      <c r="H214" s="530" t="s">
        <v>3</v>
      </c>
      <c r="I214" s="51"/>
      <c r="J214" s="573"/>
      <c r="K214" s="7"/>
      <c r="L214" s="530" t="s">
        <v>4</v>
      </c>
      <c r="M214" s="51"/>
      <c r="N214" s="573"/>
      <c r="O214" s="7"/>
      <c r="P214" s="530" t="s">
        <v>5</v>
      </c>
      <c r="Q214" s="51"/>
      <c r="R214" s="573"/>
      <c r="S214" s="7"/>
      <c r="T214" s="530" t="s">
        <v>6</v>
      </c>
      <c r="U214" s="51"/>
      <c r="V214" s="573"/>
      <c r="W214" s="7"/>
      <c r="X214" s="530" t="s">
        <v>7</v>
      </c>
      <c r="Y214" s="51"/>
      <c r="Z214" s="573"/>
      <c r="AA214" s="7"/>
      <c r="AB214" s="530" t="s">
        <v>8</v>
      </c>
      <c r="AC214" s="51"/>
      <c r="AD214" s="51"/>
      <c r="AE214" s="424" t="s">
        <v>10</v>
      </c>
      <c r="AF214" s="51"/>
      <c r="AG214" s="51"/>
      <c r="AH214" s="51"/>
      <c r="AI214" s="531"/>
    </row>
    <row r="215" spans="1:35" ht="21" customHeight="1" x14ac:dyDescent="0.2">
      <c r="A215" s="1"/>
      <c r="B215" s="9"/>
      <c r="C215" s="14"/>
      <c r="D215" s="659"/>
      <c r="E215" s="55"/>
      <c r="F215" s="580"/>
      <c r="G215" s="14"/>
      <c r="H215" s="659"/>
      <c r="I215" s="55"/>
      <c r="J215" s="580"/>
      <c r="K215" s="14"/>
      <c r="L215" s="659"/>
      <c r="M215" s="55"/>
      <c r="N215" s="580"/>
      <c r="O215" s="14"/>
      <c r="P215" s="659"/>
      <c r="Q215" s="55"/>
      <c r="R215" s="580"/>
      <c r="S215" s="14"/>
      <c r="T215" s="659"/>
      <c r="U215" s="55"/>
      <c r="V215" s="580"/>
      <c r="W215" s="14"/>
      <c r="X215" s="659"/>
      <c r="Y215" s="55"/>
      <c r="Z215" s="580"/>
      <c r="AA215" s="14"/>
      <c r="AB215" s="659"/>
      <c r="AC215" s="55"/>
      <c r="AD215" s="55"/>
      <c r="AE215" s="660"/>
      <c r="AF215" s="55"/>
      <c r="AG215" s="55"/>
      <c r="AH215" s="55"/>
      <c r="AI215" s="661"/>
    </row>
    <row r="216" spans="1:35" ht="21" customHeight="1" x14ac:dyDescent="0.2">
      <c r="B216" s="662"/>
      <c r="C216" s="121"/>
      <c r="D216" s="156"/>
      <c r="E216" s="156"/>
      <c r="F216" s="612"/>
      <c r="G216" s="121"/>
      <c r="H216" s="156"/>
      <c r="I216" s="156"/>
      <c r="J216" s="612"/>
      <c r="K216" s="121"/>
      <c r="L216" s="156"/>
      <c r="M216" s="156"/>
      <c r="N216" s="612"/>
      <c r="O216" s="121"/>
      <c r="P216" s="156"/>
      <c r="Q216" s="156"/>
      <c r="R216" s="612"/>
      <c r="S216" s="121"/>
      <c r="T216" s="156"/>
      <c r="U216" s="156"/>
      <c r="V216" s="612"/>
      <c r="W216" s="121"/>
      <c r="X216" s="156"/>
      <c r="Y216" s="156"/>
      <c r="Z216" s="612"/>
      <c r="AA216" s="611"/>
      <c r="AB216" s="156"/>
      <c r="AC216" s="156"/>
      <c r="AD216" s="613"/>
      <c r="AE216" s="663"/>
      <c r="AF216" s="156"/>
      <c r="AG216" s="156" t="s">
        <v>28</v>
      </c>
      <c r="AH216" s="613"/>
      <c r="AI216" s="489"/>
    </row>
    <row r="217" spans="1:35" ht="21" customHeight="1" x14ac:dyDescent="0.2">
      <c r="A217" s="1"/>
      <c r="B217" s="47"/>
      <c r="C217" s="618"/>
      <c r="D217" s="53"/>
      <c r="E217" s="53"/>
      <c r="F217" s="619"/>
      <c r="G217" s="618"/>
      <c r="H217" s="53"/>
      <c r="I217" s="53"/>
      <c r="J217" s="619"/>
      <c r="K217" s="618"/>
      <c r="L217" s="53"/>
      <c r="M217" s="53"/>
      <c r="N217" s="619"/>
      <c r="O217" s="618"/>
      <c r="P217" s="53"/>
      <c r="Q217" s="53"/>
      <c r="R217" s="619"/>
      <c r="S217" s="618"/>
      <c r="T217" s="53"/>
      <c r="U217" s="53"/>
      <c r="V217" s="619"/>
      <c r="W217" s="57"/>
      <c r="X217" s="53"/>
      <c r="Y217" s="53"/>
      <c r="Z217" s="619"/>
      <c r="AA217" s="57"/>
      <c r="AB217" s="53"/>
      <c r="AC217" s="53"/>
      <c r="AD217" s="620"/>
      <c r="AE217" s="57"/>
      <c r="AF217" s="53"/>
      <c r="AG217" s="53"/>
      <c r="AH217" s="620"/>
      <c r="AI217" s="544"/>
    </row>
    <row r="218" spans="1:35" ht="33" customHeight="1" x14ac:dyDescent="0.2">
      <c r="A218" s="1"/>
      <c r="B218" s="72"/>
      <c r="C218" s="311"/>
      <c r="F218" s="353"/>
      <c r="G218" s="311"/>
      <c r="J218" s="353"/>
      <c r="K218" s="311"/>
      <c r="N218" s="353"/>
      <c r="O218" s="311"/>
      <c r="R218" s="353"/>
      <c r="S218" s="311"/>
      <c r="V218" s="353"/>
      <c r="W218" s="353"/>
      <c r="Z218" s="353"/>
      <c r="AA218" s="353"/>
      <c r="AD218" s="353"/>
      <c r="AE218" s="353"/>
      <c r="AH218" s="353"/>
    </row>
    <row r="219" spans="1:35" ht="21" customHeight="1" x14ac:dyDescent="0.2">
      <c r="A219" s="585" t="s">
        <v>468</v>
      </c>
      <c r="B219" s="296" t="s">
        <v>469</v>
      </c>
      <c r="C219" s="177">
        <v>1</v>
      </c>
      <c r="D219" s="708">
        <v>2</v>
      </c>
      <c r="E219" s="708">
        <v>3</v>
      </c>
      <c r="F219" s="709">
        <v>4</v>
      </c>
      <c r="G219" s="709">
        <v>5</v>
      </c>
      <c r="H219" s="709">
        <v>6</v>
      </c>
      <c r="I219" s="709">
        <v>7</v>
      </c>
      <c r="J219" s="709">
        <v>8</v>
      </c>
      <c r="K219" s="708">
        <v>9</v>
      </c>
      <c r="L219" s="708">
        <v>10</v>
      </c>
      <c r="M219" s="709">
        <v>11</v>
      </c>
      <c r="N219" s="709">
        <v>12</v>
      </c>
      <c r="O219" s="709">
        <v>13</v>
      </c>
      <c r="P219" s="709">
        <v>14</v>
      </c>
      <c r="Q219" s="709">
        <v>15</v>
      </c>
      <c r="R219" s="708">
        <v>16</v>
      </c>
      <c r="S219" s="708">
        <v>17</v>
      </c>
      <c r="T219" s="709">
        <v>18</v>
      </c>
      <c r="U219" s="709">
        <v>19</v>
      </c>
      <c r="V219" s="709">
        <v>20</v>
      </c>
      <c r="W219" s="709">
        <v>21</v>
      </c>
      <c r="X219" s="709">
        <v>22</v>
      </c>
      <c r="Y219" s="708">
        <v>23</v>
      </c>
      <c r="Z219" s="708">
        <v>24</v>
      </c>
      <c r="AA219" s="709">
        <v>25</v>
      </c>
      <c r="AB219" s="709">
        <v>26</v>
      </c>
      <c r="AC219" s="709">
        <v>27</v>
      </c>
      <c r="AD219" s="709">
        <v>28</v>
      </c>
      <c r="AE219" s="709">
        <v>29</v>
      </c>
      <c r="AF219" s="708">
        <v>30</v>
      </c>
      <c r="AG219" s="497">
        <v>31</v>
      </c>
      <c r="AH219" s="499" t="s">
        <v>470</v>
      </c>
      <c r="AI219" s="500" t="s">
        <v>471</v>
      </c>
    </row>
    <row r="220" spans="1:35" ht="21" customHeight="1" x14ac:dyDescent="0.2">
      <c r="A220" s="441"/>
      <c r="B220" s="673" t="s">
        <v>661</v>
      </c>
      <c r="C220" s="587" t="s">
        <v>482</v>
      </c>
      <c r="D220" s="587"/>
      <c r="E220" s="587"/>
      <c r="F220" s="587" t="s">
        <v>482</v>
      </c>
      <c r="G220" s="587" t="s">
        <v>482</v>
      </c>
      <c r="H220" s="587" t="s">
        <v>482</v>
      </c>
      <c r="I220" s="587" t="s">
        <v>482</v>
      </c>
      <c r="J220" s="503" t="s">
        <v>482</v>
      </c>
      <c r="K220" s="587"/>
      <c r="L220" s="587"/>
      <c r="M220" s="587" t="s">
        <v>482</v>
      </c>
      <c r="N220" s="587" t="s">
        <v>482</v>
      </c>
      <c r="O220" s="553" t="s">
        <v>482</v>
      </c>
      <c r="P220" s="553" t="s">
        <v>482</v>
      </c>
      <c r="Q220" s="553" t="s">
        <v>482</v>
      </c>
      <c r="R220" s="587"/>
      <c r="S220" s="587"/>
      <c r="T220" s="587" t="s">
        <v>482</v>
      </c>
      <c r="U220" s="587" t="s">
        <v>482</v>
      </c>
      <c r="V220" s="587" t="s">
        <v>482</v>
      </c>
      <c r="W220" s="587" t="s">
        <v>482</v>
      </c>
      <c r="X220" s="587" t="s">
        <v>482</v>
      </c>
      <c r="Y220" s="587"/>
      <c r="Z220" s="587"/>
      <c r="AA220" s="587" t="s">
        <v>482</v>
      </c>
      <c r="AB220" s="587" t="s">
        <v>482</v>
      </c>
      <c r="AC220" s="587" t="s">
        <v>482</v>
      </c>
      <c r="AD220" s="587" t="s">
        <v>482</v>
      </c>
      <c r="AE220" s="587" t="s">
        <v>482</v>
      </c>
      <c r="AF220" s="503"/>
      <c r="AG220" s="588"/>
      <c r="AH220" s="693">
        <v>140</v>
      </c>
      <c r="AI220" s="694">
        <v>37</v>
      </c>
    </row>
    <row r="221" spans="1:35" ht="21" customHeight="1" x14ac:dyDescent="0.2">
      <c r="A221" s="441"/>
      <c r="B221" s="673" t="s">
        <v>662</v>
      </c>
      <c r="C221" s="587" t="s">
        <v>482</v>
      </c>
      <c r="D221" s="587"/>
      <c r="E221" s="587"/>
      <c r="F221" s="1060" t="s">
        <v>482</v>
      </c>
      <c r="G221" s="1060" t="s">
        <v>482</v>
      </c>
      <c r="H221" s="1060" t="s">
        <v>482</v>
      </c>
      <c r="I221" s="1060" t="s">
        <v>482</v>
      </c>
      <c r="J221" s="1059" t="s">
        <v>482</v>
      </c>
      <c r="K221" s="587"/>
      <c r="L221" s="587"/>
      <c r="M221" s="587" t="s">
        <v>482</v>
      </c>
      <c r="N221" s="587" t="s">
        <v>482</v>
      </c>
      <c r="O221" s="553" t="s">
        <v>482</v>
      </c>
      <c r="P221" s="553" t="s">
        <v>482</v>
      </c>
      <c r="Q221" s="553" t="s">
        <v>482</v>
      </c>
      <c r="R221" s="587"/>
      <c r="S221" s="587"/>
      <c r="T221" s="587" t="s">
        <v>482</v>
      </c>
      <c r="U221" s="587" t="s">
        <v>482</v>
      </c>
      <c r="V221" s="587" t="s">
        <v>482</v>
      </c>
      <c r="W221" s="587" t="s">
        <v>482</v>
      </c>
      <c r="X221" s="587" t="s">
        <v>482</v>
      </c>
      <c r="Y221" s="587"/>
      <c r="Z221" s="587"/>
      <c r="AA221" s="1477" t="s">
        <v>482</v>
      </c>
      <c r="AB221" s="1477" t="s">
        <v>482</v>
      </c>
      <c r="AC221" s="1477" t="s">
        <v>482</v>
      </c>
      <c r="AD221" s="1477" t="s">
        <v>482</v>
      </c>
      <c r="AE221" s="1477" t="s">
        <v>482</v>
      </c>
      <c r="AF221" s="1088"/>
      <c r="AG221" s="1478"/>
      <c r="AH221" s="693">
        <v>140</v>
      </c>
      <c r="AI221" s="694">
        <v>37</v>
      </c>
    </row>
    <row r="222" spans="1:35" ht="21" customHeight="1" x14ac:dyDescent="0.2">
      <c r="A222" s="441"/>
      <c r="B222" s="673" t="s">
        <v>663</v>
      </c>
      <c r="C222" s="587" t="s">
        <v>482</v>
      </c>
      <c r="D222" s="587"/>
      <c r="E222" s="587"/>
      <c r="F222" s="587" t="s">
        <v>482</v>
      </c>
      <c r="G222" s="587" t="s">
        <v>482</v>
      </c>
      <c r="H222" s="587" t="s">
        <v>482</v>
      </c>
      <c r="I222" s="587" t="s">
        <v>482</v>
      </c>
      <c r="J222" s="503" t="s">
        <v>482</v>
      </c>
      <c r="K222" s="587"/>
      <c r="L222" s="587"/>
      <c r="M222" s="1060" t="s">
        <v>482</v>
      </c>
      <c r="N222" s="1060" t="s">
        <v>482</v>
      </c>
      <c r="O222" s="1064" t="s">
        <v>482</v>
      </c>
      <c r="P222" s="1064" t="s">
        <v>482</v>
      </c>
      <c r="Q222" s="1064" t="s">
        <v>482</v>
      </c>
      <c r="R222" s="1060"/>
      <c r="S222" s="1060"/>
      <c r="T222" s="1060" t="s">
        <v>482</v>
      </c>
      <c r="U222" s="1060" t="s">
        <v>482</v>
      </c>
      <c r="V222" s="1060" t="s">
        <v>482</v>
      </c>
      <c r="W222" s="1060" t="s">
        <v>482</v>
      </c>
      <c r="X222" s="1060" t="s">
        <v>482</v>
      </c>
      <c r="Y222" s="1060"/>
      <c r="Z222" s="1060"/>
      <c r="AA222" s="1060" t="s">
        <v>482</v>
      </c>
      <c r="AB222" s="1060" t="s">
        <v>482</v>
      </c>
      <c r="AC222" s="1060" t="s">
        <v>482</v>
      </c>
      <c r="AD222" s="1060" t="s">
        <v>482</v>
      </c>
      <c r="AE222" s="1060" t="s">
        <v>482</v>
      </c>
      <c r="AF222" s="1059"/>
      <c r="AG222" s="1075"/>
      <c r="AH222" s="693">
        <v>81</v>
      </c>
      <c r="AI222" s="694">
        <v>37</v>
      </c>
    </row>
    <row r="223" spans="1:35" ht="21" customHeight="1" x14ac:dyDescent="0.2">
      <c r="A223" s="441"/>
      <c r="B223" s="673" t="s">
        <v>664</v>
      </c>
      <c r="C223" s="587" t="s">
        <v>482</v>
      </c>
      <c r="D223" s="587"/>
      <c r="E223" s="587"/>
      <c r="F223" s="587" t="s">
        <v>482</v>
      </c>
      <c r="G223" s="587" t="s">
        <v>482</v>
      </c>
      <c r="H223" s="587" t="s">
        <v>482</v>
      </c>
      <c r="I223" s="587" t="s">
        <v>482</v>
      </c>
      <c r="J223" s="503" t="s">
        <v>482</v>
      </c>
      <c r="K223" s="587"/>
      <c r="L223" s="587"/>
      <c r="M223" s="587" t="s">
        <v>482</v>
      </c>
      <c r="N223" s="587" t="s">
        <v>482</v>
      </c>
      <c r="O223" s="553" t="s">
        <v>482</v>
      </c>
      <c r="P223" s="553" t="s">
        <v>482</v>
      </c>
      <c r="Q223" s="553" t="s">
        <v>482</v>
      </c>
      <c r="R223" s="587"/>
      <c r="S223" s="587"/>
      <c r="T223" s="587" t="s">
        <v>482</v>
      </c>
      <c r="U223" s="587" t="s">
        <v>482</v>
      </c>
      <c r="V223" s="587" t="s">
        <v>482</v>
      </c>
      <c r="W223" s="587" t="s">
        <v>482</v>
      </c>
      <c r="X223" s="587" t="s">
        <v>482</v>
      </c>
      <c r="Y223" s="587"/>
      <c r="Z223" s="587"/>
      <c r="AA223" s="587" t="s">
        <v>482</v>
      </c>
      <c r="AB223" s="587" t="s">
        <v>482</v>
      </c>
      <c r="AC223" s="587" t="s">
        <v>482</v>
      </c>
      <c r="AD223" s="587" t="s">
        <v>482</v>
      </c>
      <c r="AE223" s="587" t="s">
        <v>482</v>
      </c>
      <c r="AF223" s="503"/>
      <c r="AG223" s="588"/>
      <c r="AH223" s="693">
        <v>185</v>
      </c>
      <c r="AI223" s="694">
        <v>37</v>
      </c>
    </row>
    <row r="224" spans="1:35" ht="21" customHeight="1" x14ac:dyDescent="0.2">
      <c r="A224" s="441"/>
      <c r="B224" s="673" t="s">
        <v>665</v>
      </c>
      <c r="C224" s="587" t="s">
        <v>482</v>
      </c>
      <c r="D224" s="587"/>
      <c r="E224" s="587"/>
      <c r="F224" s="587" t="s">
        <v>482</v>
      </c>
      <c r="G224" s="587" t="s">
        <v>482</v>
      </c>
      <c r="H224" s="587" t="s">
        <v>482</v>
      </c>
      <c r="I224" s="587" t="s">
        <v>482</v>
      </c>
      <c r="J224" s="503" t="s">
        <v>482</v>
      </c>
      <c r="K224" s="587"/>
      <c r="L224" s="587"/>
      <c r="M224" s="1060" t="s">
        <v>482</v>
      </c>
      <c r="N224" s="1060" t="s">
        <v>482</v>
      </c>
      <c r="O224" s="1064" t="s">
        <v>482</v>
      </c>
      <c r="P224" s="1064" t="s">
        <v>482</v>
      </c>
      <c r="Q224" s="1064" t="s">
        <v>482</v>
      </c>
      <c r="R224" s="1060"/>
      <c r="S224" s="1060"/>
      <c r="T224" s="1060" t="s">
        <v>482</v>
      </c>
      <c r="U224" s="1060" t="s">
        <v>482</v>
      </c>
      <c r="V224" s="1060" t="s">
        <v>482</v>
      </c>
      <c r="W224" s="1060" t="s">
        <v>482</v>
      </c>
      <c r="X224" s="1060" t="s">
        <v>482</v>
      </c>
      <c r="Y224" s="1060"/>
      <c r="Z224" s="1060"/>
      <c r="AA224" s="1060" t="s">
        <v>482</v>
      </c>
      <c r="AB224" s="1060" t="s">
        <v>482</v>
      </c>
      <c r="AC224" s="1060" t="s">
        <v>482</v>
      </c>
      <c r="AD224" s="1060" t="s">
        <v>482</v>
      </c>
      <c r="AE224" s="1060" t="s">
        <v>482</v>
      </c>
      <c r="AF224" s="1059"/>
      <c r="AG224" s="1075"/>
      <c r="AH224" s="693">
        <v>37</v>
      </c>
      <c r="AI224" s="694">
        <v>37</v>
      </c>
    </row>
    <row r="225" spans="1:35" ht="21" customHeight="1" x14ac:dyDescent="0.2">
      <c r="A225" s="441"/>
      <c r="B225" s="673" t="s">
        <v>666</v>
      </c>
      <c r="C225" s="587" t="s">
        <v>482</v>
      </c>
      <c r="D225" s="587"/>
      <c r="E225" s="587"/>
      <c r="F225" s="1060" t="s">
        <v>482</v>
      </c>
      <c r="G225" s="1060" t="s">
        <v>482</v>
      </c>
      <c r="H225" s="1060" t="s">
        <v>482</v>
      </c>
      <c r="I225" s="1060" t="s">
        <v>482</v>
      </c>
      <c r="J225" s="1059" t="s">
        <v>482</v>
      </c>
      <c r="K225" s="1060"/>
      <c r="L225" s="1060"/>
      <c r="M225" s="1060" t="s">
        <v>482</v>
      </c>
      <c r="N225" s="1060" t="s">
        <v>482</v>
      </c>
      <c r="O225" s="1064" t="s">
        <v>482</v>
      </c>
      <c r="P225" s="1064" t="s">
        <v>482</v>
      </c>
      <c r="Q225" s="1064" t="s">
        <v>482</v>
      </c>
      <c r="R225" s="1060"/>
      <c r="S225" s="1060"/>
      <c r="T225" s="1060" t="s">
        <v>482</v>
      </c>
      <c r="U225" s="1060" t="s">
        <v>482</v>
      </c>
      <c r="V225" s="1060" t="s">
        <v>482</v>
      </c>
      <c r="W225" s="1060" t="s">
        <v>482</v>
      </c>
      <c r="X225" s="1060" t="s">
        <v>482</v>
      </c>
      <c r="Y225" s="1060"/>
      <c r="Z225" s="1060"/>
      <c r="AA225" s="1060" t="s">
        <v>482</v>
      </c>
      <c r="AB225" s="1060" t="s">
        <v>482</v>
      </c>
      <c r="AC225" s="1060" t="s">
        <v>482</v>
      </c>
      <c r="AD225" s="1060" t="s">
        <v>482</v>
      </c>
      <c r="AE225" s="1060" t="s">
        <v>482</v>
      </c>
      <c r="AF225" s="1059"/>
      <c r="AG225" s="1075"/>
      <c r="AH225" s="693">
        <v>37</v>
      </c>
      <c r="AI225" s="694">
        <v>37</v>
      </c>
    </row>
    <row r="226" spans="1:35" ht="21" customHeight="1" x14ac:dyDescent="0.2">
      <c r="A226" s="441"/>
      <c r="B226" s="673" t="s">
        <v>667</v>
      </c>
      <c r="C226" s="1060" t="s">
        <v>482</v>
      </c>
      <c r="D226" s="587"/>
      <c r="E226" s="587"/>
      <c r="F226" s="587" t="s">
        <v>482</v>
      </c>
      <c r="G226" s="587" t="s">
        <v>482</v>
      </c>
      <c r="H226" s="587" t="s">
        <v>482</v>
      </c>
      <c r="I226" s="587" t="s">
        <v>482</v>
      </c>
      <c r="J226" s="503" t="s">
        <v>482</v>
      </c>
      <c r="K226" s="587"/>
      <c r="L226" s="587"/>
      <c r="M226" s="587" t="s">
        <v>482</v>
      </c>
      <c r="N226" s="587" t="s">
        <v>482</v>
      </c>
      <c r="O226" s="553" t="s">
        <v>482</v>
      </c>
      <c r="P226" s="553" t="s">
        <v>482</v>
      </c>
      <c r="Q226" s="553" t="s">
        <v>482</v>
      </c>
      <c r="R226" s="587"/>
      <c r="S226" s="587"/>
      <c r="T226" s="587" t="s">
        <v>482</v>
      </c>
      <c r="U226" s="587" t="s">
        <v>482</v>
      </c>
      <c r="V226" s="587" t="s">
        <v>482</v>
      </c>
      <c r="W226" s="587" t="s">
        <v>482</v>
      </c>
      <c r="X226" s="587" t="s">
        <v>482</v>
      </c>
      <c r="Y226" s="587"/>
      <c r="Z226" s="587"/>
      <c r="AA226" s="587" t="s">
        <v>482</v>
      </c>
      <c r="AB226" s="587" t="s">
        <v>482</v>
      </c>
      <c r="AC226" s="587" t="s">
        <v>482</v>
      </c>
      <c r="AD226" s="587" t="s">
        <v>482</v>
      </c>
      <c r="AE226" s="587" t="s">
        <v>482</v>
      </c>
      <c r="AF226" s="503"/>
      <c r="AG226" s="588"/>
      <c r="AH226" s="693">
        <v>193</v>
      </c>
      <c r="AI226" s="694">
        <v>37</v>
      </c>
    </row>
    <row r="227" spans="1:35" ht="21" customHeight="1" x14ac:dyDescent="0.2">
      <c r="A227" s="441"/>
      <c r="B227" s="673" t="s">
        <v>668</v>
      </c>
      <c r="C227" s="587" t="s">
        <v>482</v>
      </c>
      <c r="D227" s="587"/>
      <c r="E227" s="587"/>
      <c r="F227" s="587" t="s">
        <v>482</v>
      </c>
      <c r="G227" s="587" t="s">
        <v>482</v>
      </c>
      <c r="H227" s="587" t="s">
        <v>482</v>
      </c>
      <c r="I227" s="587" t="s">
        <v>482</v>
      </c>
      <c r="J227" s="503" t="s">
        <v>482</v>
      </c>
      <c r="K227" s="587"/>
      <c r="L227" s="587"/>
      <c r="M227" s="587" t="s">
        <v>482</v>
      </c>
      <c r="N227" s="587" t="s">
        <v>482</v>
      </c>
      <c r="O227" s="553" t="s">
        <v>482</v>
      </c>
      <c r="P227" s="553" t="s">
        <v>482</v>
      </c>
      <c r="Q227" s="553" t="s">
        <v>482</v>
      </c>
      <c r="R227" s="587"/>
      <c r="S227" s="587"/>
      <c r="T227" s="587" t="s">
        <v>482</v>
      </c>
      <c r="U227" s="587" t="s">
        <v>482</v>
      </c>
      <c r="V227" s="587" t="s">
        <v>482</v>
      </c>
      <c r="W227" s="587" t="s">
        <v>482</v>
      </c>
      <c r="X227" s="587" t="s">
        <v>482</v>
      </c>
      <c r="Y227" s="587"/>
      <c r="Z227" s="587"/>
      <c r="AA227" s="587" t="s">
        <v>482</v>
      </c>
      <c r="AB227" s="587" t="s">
        <v>482</v>
      </c>
      <c r="AC227" s="587" t="s">
        <v>482</v>
      </c>
      <c r="AD227" s="587" t="s">
        <v>482</v>
      </c>
      <c r="AE227" s="587" t="s">
        <v>482</v>
      </c>
      <c r="AF227" s="503"/>
      <c r="AG227" s="588"/>
      <c r="AH227" s="693">
        <v>177</v>
      </c>
      <c r="AI227" s="694">
        <v>37</v>
      </c>
    </row>
    <row r="228" spans="1:35" ht="21" customHeight="1" x14ac:dyDescent="0.2">
      <c r="A228" s="441"/>
      <c r="B228" s="673" t="s">
        <v>669</v>
      </c>
      <c r="C228" s="587" t="s">
        <v>482</v>
      </c>
      <c r="D228" s="587"/>
      <c r="E228" s="587"/>
      <c r="F228" s="587" t="s">
        <v>482</v>
      </c>
      <c r="G228" s="1340" t="s">
        <v>617</v>
      </c>
      <c r="H228" s="587" t="s">
        <v>482</v>
      </c>
      <c r="I228" s="587" t="s">
        <v>482</v>
      </c>
      <c r="J228" s="503" t="s">
        <v>482</v>
      </c>
      <c r="K228" s="587"/>
      <c r="L228" s="587"/>
      <c r="M228" s="587" t="s">
        <v>482</v>
      </c>
      <c r="N228" s="587" t="s">
        <v>482</v>
      </c>
      <c r="O228" s="553" t="s">
        <v>482</v>
      </c>
      <c r="P228" s="553" t="s">
        <v>482</v>
      </c>
      <c r="Q228" s="553" t="s">
        <v>482</v>
      </c>
      <c r="R228" s="587"/>
      <c r="S228" s="587"/>
      <c r="T228" s="587" t="s">
        <v>482</v>
      </c>
      <c r="U228" s="587" t="s">
        <v>482</v>
      </c>
      <c r="V228" s="587" t="s">
        <v>482</v>
      </c>
      <c r="W228" s="587" t="s">
        <v>482</v>
      </c>
      <c r="X228" s="587" t="s">
        <v>482</v>
      </c>
      <c r="Y228" s="587"/>
      <c r="Z228" s="587"/>
      <c r="AA228" s="587" t="s">
        <v>482</v>
      </c>
      <c r="AB228" s="587" t="s">
        <v>482</v>
      </c>
      <c r="AC228" s="587" t="s">
        <v>482</v>
      </c>
      <c r="AD228" s="587" t="s">
        <v>482</v>
      </c>
      <c r="AE228" s="587" t="s">
        <v>482</v>
      </c>
      <c r="AF228" s="503"/>
      <c r="AG228" s="588"/>
      <c r="AH228" s="693">
        <v>270</v>
      </c>
      <c r="AI228" s="694">
        <v>37</v>
      </c>
    </row>
    <row r="229" spans="1:35" ht="21" customHeight="1" x14ac:dyDescent="0.2">
      <c r="A229" s="441"/>
      <c r="B229" s="673" t="s">
        <v>670</v>
      </c>
      <c r="C229" s="587" t="s">
        <v>482</v>
      </c>
      <c r="D229" s="587"/>
      <c r="E229" s="587"/>
      <c r="F229" s="587" t="s">
        <v>482</v>
      </c>
      <c r="G229" s="587" t="s">
        <v>482</v>
      </c>
      <c r="H229" s="587" t="s">
        <v>482</v>
      </c>
      <c r="I229" s="587" t="s">
        <v>482</v>
      </c>
      <c r="J229" s="503" t="s">
        <v>482</v>
      </c>
      <c r="K229" s="587"/>
      <c r="L229" s="587"/>
      <c r="M229" s="587" t="s">
        <v>482</v>
      </c>
      <c r="N229" s="587" t="s">
        <v>482</v>
      </c>
      <c r="O229" s="553" t="s">
        <v>482</v>
      </c>
      <c r="P229" s="553" t="s">
        <v>482</v>
      </c>
      <c r="Q229" s="553" t="s">
        <v>482</v>
      </c>
      <c r="R229" s="587"/>
      <c r="S229" s="587"/>
      <c r="T229" s="587" t="s">
        <v>482</v>
      </c>
      <c r="U229" s="587" t="s">
        <v>482</v>
      </c>
      <c r="V229" s="587" t="s">
        <v>482</v>
      </c>
      <c r="W229" s="587" t="s">
        <v>482</v>
      </c>
      <c r="X229" s="587" t="s">
        <v>482</v>
      </c>
      <c r="Y229" s="587"/>
      <c r="Z229" s="587"/>
      <c r="AA229" s="1060" t="s">
        <v>552</v>
      </c>
      <c r="AB229" s="1060" t="s">
        <v>482</v>
      </c>
      <c r="AC229" s="1060" t="s">
        <v>482</v>
      </c>
      <c r="AD229" s="1060" t="s">
        <v>482</v>
      </c>
      <c r="AE229" s="1060" t="s">
        <v>482</v>
      </c>
      <c r="AF229" s="1059"/>
      <c r="AG229" s="1075"/>
      <c r="AH229" s="693">
        <v>117</v>
      </c>
      <c r="AI229" s="694">
        <v>37</v>
      </c>
    </row>
    <row r="230" spans="1:35" ht="21" customHeight="1" x14ac:dyDescent="0.2">
      <c r="A230" s="441"/>
      <c r="B230" s="673"/>
      <c r="C230" s="587" t="s">
        <v>482</v>
      </c>
      <c r="D230" s="587"/>
      <c r="E230" s="587"/>
      <c r="F230" s="587" t="s">
        <v>482</v>
      </c>
      <c r="G230" s="587" t="s">
        <v>482</v>
      </c>
      <c r="H230" s="587" t="s">
        <v>482</v>
      </c>
      <c r="I230" s="587" t="s">
        <v>482</v>
      </c>
      <c r="J230" s="503" t="s">
        <v>482</v>
      </c>
      <c r="K230" s="587"/>
      <c r="L230" s="587"/>
      <c r="M230" s="587" t="s">
        <v>482</v>
      </c>
      <c r="N230" s="587" t="s">
        <v>482</v>
      </c>
      <c r="O230" s="553" t="s">
        <v>482</v>
      </c>
      <c r="P230" s="553" t="s">
        <v>482</v>
      </c>
      <c r="Q230" s="553" t="s">
        <v>482</v>
      </c>
      <c r="R230" s="587"/>
      <c r="S230" s="587"/>
      <c r="T230" s="587" t="s">
        <v>482</v>
      </c>
      <c r="U230" s="587" t="s">
        <v>482</v>
      </c>
      <c r="V230" s="587" t="s">
        <v>482</v>
      </c>
      <c r="W230" s="587" t="s">
        <v>482</v>
      </c>
      <c r="X230" s="587" t="s">
        <v>482</v>
      </c>
      <c r="Y230" s="587"/>
      <c r="Z230" s="587"/>
      <c r="AA230" s="587" t="s">
        <v>482</v>
      </c>
      <c r="AB230" s="587" t="s">
        <v>482</v>
      </c>
      <c r="AC230" s="587" t="s">
        <v>482</v>
      </c>
      <c r="AD230" s="587" t="s">
        <v>482</v>
      </c>
      <c r="AE230" s="587" t="s">
        <v>482</v>
      </c>
      <c r="AF230" s="503"/>
      <c r="AG230" s="588"/>
      <c r="AH230" s="693">
        <v>66</v>
      </c>
      <c r="AI230" s="694">
        <v>7</v>
      </c>
    </row>
    <row r="231" spans="1:35" ht="21" customHeight="1" x14ac:dyDescent="0.2">
      <c r="A231" s="441"/>
      <c r="B231" s="152" t="s">
        <v>671</v>
      </c>
      <c r="C231" s="587" t="s">
        <v>482</v>
      </c>
      <c r="D231" s="587"/>
      <c r="E231" s="587"/>
      <c r="F231" s="587" t="s">
        <v>482</v>
      </c>
      <c r="G231" s="587" t="s">
        <v>482</v>
      </c>
      <c r="H231" s="587" t="s">
        <v>482</v>
      </c>
      <c r="I231" s="587" t="s">
        <v>482</v>
      </c>
      <c r="J231" s="503" t="s">
        <v>482</v>
      </c>
      <c r="K231" s="587"/>
      <c r="L231" s="587"/>
      <c r="M231" s="587" t="s">
        <v>482</v>
      </c>
      <c r="N231" s="587" t="s">
        <v>482</v>
      </c>
      <c r="O231" s="553" t="s">
        <v>482</v>
      </c>
      <c r="P231" s="553" t="s">
        <v>482</v>
      </c>
      <c r="Q231" s="553" t="s">
        <v>482</v>
      </c>
      <c r="R231" s="587"/>
      <c r="S231" s="587"/>
      <c r="T231" s="1060" t="s">
        <v>482</v>
      </c>
      <c r="U231" s="1060" t="s">
        <v>482</v>
      </c>
      <c r="V231" s="1060" t="s">
        <v>482</v>
      </c>
      <c r="W231" s="1060" t="s">
        <v>482</v>
      </c>
      <c r="X231" s="1060" t="s">
        <v>482</v>
      </c>
      <c r="Y231" s="1060"/>
      <c r="Z231" s="1060"/>
      <c r="AA231" s="1060" t="s">
        <v>482</v>
      </c>
      <c r="AB231" s="1060" t="s">
        <v>482</v>
      </c>
      <c r="AC231" s="1060" t="s">
        <v>482</v>
      </c>
      <c r="AD231" s="1060" t="s">
        <v>482</v>
      </c>
      <c r="AE231" s="1060" t="s">
        <v>482</v>
      </c>
      <c r="AF231" s="1059"/>
      <c r="AG231" s="1075"/>
      <c r="AH231" s="693">
        <v>111</v>
      </c>
      <c r="AI231" s="694">
        <v>37</v>
      </c>
    </row>
    <row r="232" spans="1:35" ht="21" customHeight="1" x14ac:dyDescent="0.2">
      <c r="A232" s="152"/>
      <c r="B232" s="152"/>
      <c r="C232" s="587" t="s">
        <v>482</v>
      </c>
      <c r="D232" s="587"/>
      <c r="E232" s="587"/>
      <c r="F232" s="587" t="s">
        <v>482</v>
      </c>
      <c r="G232" s="587" t="s">
        <v>482</v>
      </c>
      <c r="H232" s="587" t="s">
        <v>482</v>
      </c>
      <c r="I232" s="587" t="s">
        <v>482</v>
      </c>
      <c r="J232" s="503" t="s">
        <v>482</v>
      </c>
      <c r="K232" s="587"/>
      <c r="L232" s="587"/>
      <c r="M232" s="587" t="s">
        <v>482</v>
      </c>
      <c r="N232" s="587" t="s">
        <v>482</v>
      </c>
      <c r="O232" s="553" t="s">
        <v>482</v>
      </c>
      <c r="P232" s="553" t="s">
        <v>482</v>
      </c>
      <c r="Q232" s="553" t="s">
        <v>482</v>
      </c>
      <c r="R232" s="587"/>
      <c r="S232" s="587"/>
      <c r="T232" s="587" t="s">
        <v>482</v>
      </c>
      <c r="U232" s="587" t="s">
        <v>482</v>
      </c>
      <c r="V232" s="587" t="s">
        <v>482</v>
      </c>
      <c r="W232" s="587" t="s">
        <v>482</v>
      </c>
      <c r="X232" s="587" t="s">
        <v>482</v>
      </c>
      <c r="Y232" s="587"/>
      <c r="Z232" s="587"/>
      <c r="AA232" s="587" t="s">
        <v>482</v>
      </c>
      <c r="AB232" s="587" t="s">
        <v>482</v>
      </c>
      <c r="AC232" s="587" t="s">
        <v>482</v>
      </c>
      <c r="AD232" s="587" t="s">
        <v>482</v>
      </c>
      <c r="AE232" s="587" t="s">
        <v>482</v>
      </c>
      <c r="AF232" s="503"/>
      <c r="AG232" s="588"/>
      <c r="AH232" s="693">
        <v>148</v>
      </c>
      <c r="AI232" s="694">
        <v>37</v>
      </c>
    </row>
    <row r="233" spans="1:35" ht="21" customHeight="1" x14ac:dyDescent="0.2">
      <c r="A233" s="152"/>
      <c r="B233" s="152" t="s">
        <v>672</v>
      </c>
      <c r="C233" s="587" t="s">
        <v>482</v>
      </c>
      <c r="D233" s="587"/>
      <c r="E233" s="587"/>
      <c r="F233" s="587" t="s">
        <v>482</v>
      </c>
      <c r="G233" s="587" t="s">
        <v>482</v>
      </c>
      <c r="H233" s="587" t="s">
        <v>482</v>
      </c>
      <c r="I233" s="587" t="s">
        <v>482</v>
      </c>
      <c r="J233" s="503" t="s">
        <v>482</v>
      </c>
      <c r="K233" s="587"/>
      <c r="L233" s="587"/>
      <c r="M233" s="587" t="s">
        <v>482</v>
      </c>
      <c r="N233" s="587" t="s">
        <v>482</v>
      </c>
      <c r="O233" s="553" t="s">
        <v>482</v>
      </c>
      <c r="P233" s="553" t="s">
        <v>482</v>
      </c>
      <c r="Q233" s="553" t="s">
        <v>482</v>
      </c>
      <c r="R233" s="587"/>
      <c r="S233" s="587"/>
      <c r="T233" s="587" t="s">
        <v>482</v>
      </c>
      <c r="U233" s="587" t="s">
        <v>482</v>
      </c>
      <c r="V233" s="587" t="s">
        <v>482</v>
      </c>
      <c r="W233" s="587" t="s">
        <v>482</v>
      </c>
      <c r="X233" s="587" t="s">
        <v>482</v>
      </c>
      <c r="Y233" s="587"/>
      <c r="Z233" s="587"/>
      <c r="AA233" s="1476" t="s">
        <v>482</v>
      </c>
      <c r="AB233" s="1476" t="s">
        <v>482</v>
      </c>
      <c r="AC233" s="1476" t="s">
        <v>482</v>
      </c>
      <c r="AD233" s="1476" t="s">
        <v>482</v>
      </c>
      <c r="AE233" s="1476" t="s">
        <v>482</v>
      </c>
      <c r="AF233" s="503"/>
      <c r="AG233" s="588"/>
      <c r="AH233" s="693">
        <v>148</v>
      </c>
      <c r="AI233" s="694">
        <v>37</v>
      </c>
    </row>
    <row r="234" spans="1:35" ht="21" customHeight="1" x14ac:dyDescent="0.2">
      <c r="A234" s="152"/>
      <c r="B234" s="152" t="s">
        <v>673</v>
      </c>
      <c r="C234" s="587" t="s">
        <v>482</v>
      </c>
      <c r="D234" s="587"/>
      <c r="E234" s="587"/>
      <c r="F234" s="587" t="s">
        <v>482</v>
      </c>
      <c r="G234" s="587" t="s">
        <v>482</v>
      </c>
      <c r="H234" s="587" t="s">
        <v>482</v>
      </c>
      <c r="I234" s="587" t="s">
        <v>482</v>
      </c>
      <c r="J234" s="503" t="s">
        <v>482</v>
      </c>
      <c r="K234" s="587"/>
      <c r="L234" s="587"/>
      <c r="M234" s="587" t="s">
        <v>482</v>
      </c>
      <c r="N234" s="587" t="s">
        <v>482</v>
      </c>
      <c r="O234" s="553" t="s">
        <v>482</v>
      </c>
      <c r="P234" s="553" t="s">
        <v>482</v>
      </c>
      <c r="Q234" s="553" t="s">
        <v>482</v>
      </c>
      <c r="R234" s="587"/>
      <c r="S234" s="587"/>
      <c r="T234" s="587" t="s">
        <v>482</v>
      </c>
      <c r="U234" s="587" t="s">
        <v>482</v>
      </c>
      <c r="V234" s="587" t="s">
        <v>482</v>
      </c>
      <c r="W234" s="587" t="s">
        <v>482</v>
      </c>
      <c r="X234" s="587" t="s">
        <v>482</v>
      </c>
      <c r="Y234" s="587"/>
      <c r="Z234" s="587"/>
      <c r="AA234" s="587" t="s">
        <v>482</v>
      </c>
      <c r="AB234" s="587" t="s">
        <v>482</v>
      </c>
      <c r="AC234" s="587" t="s">
        <v>482</v>
      </c>
      <c r="AD234" s="587" t="s">
        <v>482</v>
      </c>
      <c r="AE234" s="587" t="s">
        <v>482</v>
      </c>
      <c r="AF234" s="503"/>
      <c r="AG234" s="588"/>
      <c r="AH234" s="693">
        <v>154</v>
      </c>
      <c r="AI234" s="694">
        <v>37</v>
      </c>
    </row>
    <row r="235" spans="1:35" ht="21" customHeight="1" x14ac:dyDescent="0.2">
      <c r="A235" s="152"/>
      <c r="B235" s="152"/>
      <c r="C235" s="587"/>
      <c r="D235" s="587"/>
      <c r="E235" s="587"/>
      <c r="F235" s="587"/>
      <c r="G235" s="587"/>
      <c r="H235" s="587"/>
      <c r="I235" s="587"/>
      <c r="J235" s="503"/>
      <c r="K235" s="587"/>
      <c r="L235" s="587"/>
      <c r="M235" s="587"/>
      <c r="N235" s="587"/>
      <c r="O235" s="553"/>
      <c r="P235" s="553"/>
      <c r="Q235" s="553"/>
      <c r="R235" s="587"/>
      <c r="S235" s="587"/>
      <c r="T235" s="587"/>
      <c r="U235" s="587"/>
      <c r="V235" s="587"/>
      <c r="W235" s="587"/>
      <c r="X235" s="587"/>
      <c r="Y235" s="587"/>
      <c r="Z235" s="587"/>
      <c r="AA235" s="587"/>
      <c r="AB235" s="587"/>
      <c r="AC235" s="587"/>
      <c r="AD235" s="587"/>
      <c r="AE235" s="587"/>
      <c r="AF235" s="503"/>
      <c r="AG235" s="588"/>
      <c r="AH235" s="693"/>
      <c r="AI235" s="694"/>
    </row>
    <row r="236" spans="1:35" ht="21" customHeight="1" x14ac:dyDescent="0.2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AC236" s="152"/>
      <c r="AD236" s="152"/>
      <c r="AE236" s="152"/>
      <c r="AF236" s="152"/>
      <c r="AG236" s="154"/>
      <c r="AH236" s="328"/>
      <c r="AI236" s="190"/>
    </row>
    <row r="237" spans="1:35" ht="21" customHeight="1" x14ac:dyDescent="0.2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AC237" s="152"/>
      <c r="AD237" s="152"/>
      <c r="AE237" s="152"/>
      <c r="AF237" s="152"/>
      <c r="AG237" s="154"/>
      <c r="AH237" s="328"/>
      <c r="AI237" s="190"/>
    </row>
    <row r="238" spans="1:35" ht="21" customHeight="1" x14ac:dyDescent="0.2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AC238" s="152"/>
      <c r="AD238" s="152"/>
      <c r="AE238" s="152"/>
      <c r="AF238" s="152"/>
      <c r="AG238" s="154"/>
      <c r="AH238" s="330"/>
      <c r="AI238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7" max="16383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15"/>
  <dimension ref="A1:AN231"/>
  <sheetViews>
    <sheetView tabSelected="1" topLeftCell="A28" zoomScale="110" zoomScaleNormal="110" workbookViewId="0">
      <selection activeCell="AF21" sqref="AF21"/>
    </sheetView>
  </sheetViews>
  <sheetFormatPr defaultRowHeight="12.75" x14ac:dyDescent="0.2"/>
  <cols>
    <col min="1" max="1" width="5.5703125" customWidth="1"/>
    <col min="2" max="2" width="23.710937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</cols>
  <sheetData>
    <row r="1" spans="1:36" ht="13.35" customHeight="1" x14ac:dyDescent="0.2">
      <c r="A1" t="s">
        <v>28</v>
      </c>
      <c r="B1" s="1" t="s">
        <v>442</v>
      </c>
    </row>
    <row r="2" spans="1:36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6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6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6" ht="21.95" customHeight="1" x14ac:dyDescent="0.2">
      <c r="A5" s="1" t="s">
        <v>14</v>
      </c>
      <c r="B5" s="1"/>
    </row>
    <row r="6" spans="1:36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6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6" ht="21.95" customHeight="1" x14ac:dyDescent="0.25">
      <c r="A8" s="495" t="s">
        <v>466</v>
      </c>
      <c r="L8" s="495"/>
      <c r="AB8" s="1"/>
    </row>
    <row r="9" spans="1:36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6" ht="21.95" customHeight="1" x14ac:dyDescent="0.2">
      <c r="A10" s="441" t="s">
        <v>468</v>
      </c>
      <c r="B10" s="296" t="s">
        <v>469</v>
      </c>
      <c r="C10" s="497">
        <v>1</v>
      </c>
      <c r="D10" s="177">
        <v>2</v>
      </c>
      <c r="E10" s="177">
        <v>3</v>
      </c>
      <c r="F10" s="177">
        <v>4</v>
      </c>
      <c r="G10" s="497">
        <v>5</v>
      </c>
      <c r="H10" s="497">
        <v>6</v>
      </c>
      <c r="I10" s="497">
        <v>7</v>
      </c>
      <c r="J10" s="497">
        <v>8</v>
      </c>
      <c r="K10" s="497">
        <v>9</v>
      </c>
      <c r="L10" s="177">
        <v>10</v>
      </c>
      <c r="M10" s="177">
        <v>11</v>
      </c>
      <c r="N10" s="177">
        <v>12</v>
      </c>
      <c r="O10" s="177">
        <v>13</v>
      </c>
      <c r="P10" s="497">
        <v>14</v>
      </c>
      <c r="Q10" s="497">
        <v>15</v>
      </c>
      <c r="R10" s="177">
        <v>16</v>
      </c>
      <c r="S10" s="177">
        <v>17</v>
      </c>
      <c r="T10" s="177">
        <v>18</v>
      </c>
      <c r="U10" s="177">
        <v>19</v>
      </c>
      <c r="V10" s="177">
        <v>20</v>
      </c>
      <c r="W10" s="497">
        <v>21</v>
      </c>
      <c r="X10" s="497">
        <v>22</v>
      </c>
      <c r="Y10" s="177">
        <v>23</v>
      </c>
      <c r="Z10" s="177">
        <v>24</v>
      </c>
      <c r="AA10" s="177">
        <v>25</v>
      </c>
      <c r="AB10" s="177">
        <v>26</v>
      </c>
      <c r="AC10" s="177">
        <v>27</v>
      </c>
      <c r="AD10" s="497">
        <v>28</v>
      </c>
      <c r="AE10" s="497">
        <v>29</v>
      </c>
      <c r="AF10" s="177">
        <v>30</v>
      </c>
      <c r="AG10" s="177"/>
      <c r="AH10" s="499" t="s">
        <v>470</v>
      </c>
      <c r="AI10" s="500" t="s">
        <v>471</v>
      </c>
    </row>
    <row r="11" spans="1:36" ht="21.95" customHeight="1" x14ac:dyDescent="0.2">
      <c r="A11" s="501"/>
      <c r="B11" s="502"/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6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6" ht="21.95" customHeight="1" x14ac:dyDescent="0.2">
      <c r="A13" s="512">
        <v>8546</v>
      </c>
      <c r="B13" s="513" t="s">
        <v>473</v>
      </c>
      <c r="C13" s="1534" t="s">
        <v>705</v>
      </c>
      <c r="D13" s="514" t="s">
        <v>475</v>
      </c>
      <c r="E13" s="514" t="s">
        <v>475</v>
      </c>
      <c r="F13" s="514" t="s">
        <v>475</v>
      </c>
      <c r="G13" s="514" t="s">
        <v>475</v>
      </c>
      <c r="H13" s="514" t="s">
        <v>475</v>
      </c>
      <c r="I13" s="514"/>
      <c r="J13" s="514"/>
      <c r="K13" s="514">
        <v>3</v>
      </c>
      <c r="L13" s="514">
        <v>3</v>
      </c>
      <c r="M13" s="514">
        <v>3</v>
      </c>
      <c r="N13" s="514">
        <v>3</v>
      </c>
      <c r="O13" s="514">
        <v>3</v>
      </c>
      <c r="P13" s="514"/>
      <c r="Q13" s="514"/>
      <c r="R13" s="514">
        <v>4</v>
      </c>
      <c r="S13" s="514">
        <v>4</v>
      </c>
      <c r="T13" s="514">
        <v>4</v>
      </c>
      <c r="U13" s="514">
        <v>4</v>
      </c>
      <c r="V13" s="514">
        <v>4</v>
      </c>
      <c r="W13" s="514" t="s">
        <v>476</v>
      </c>
      <c r="X13" s="514" t="s">
        <v>476</v>
      </c>
      <c r="Y13" s="514" t="s">
        <v>475</v>
      </c>
      <c r="Z13" s="514" t="s">
        <v>475</v>
      </c>
      <c r="AA13" s="514" t="s">
        <v>475</v>
      </c>
      <c r="AB13" s="514" t="s">
        <v>475</v>
      </c>
      <c r="AC13" s="514" t="s">
        <v>475</v>
      </c>
      <c r="AD13" s="514"/>
      <c r="AE13" s="514"/>
      <c r="AF13" s="514">
        <v>1</v>
      </c>
      <c r="AG13" s="514"/>
      <c r="AH13" s="516">
        <v>0</v>
      </c>
      <c r="AI13" s="517">
        <v>0</v>
      </c>
    </row>
    <row r="14" spans="1:36" ht="21.95" customHeight="1" x14ac:dyDescent="0.2">
      <c r="A14" s="501">
        <v>8546</v>
      </c>
      <c r="B14" s="346" t="s">
        <v>477</v>
      </c>
      <c r="C14" s="514"/>
      <c r="D14" s="1066">
        <v>1</v>
      </c>
      <c r="E14" s="1066">
        <v>1</v>
      </c>
      <c r="F14" s="1559">
        <v>1</v>
      </c>
      <c r="G14" s="1066">
        <v>1</v>
      </c>
      <c r="H14" s="1066">
        <v>1</v>
      </c>
      <c r="I14" s="1066"/>
      <c r="J14" s="1066"/>
      <c r="K14" s="1103">
        <v>2</v>
      </c>
      <c r="L14" s="1501">
        <v>2</v>
      </c>
      <c r="M14" s="1501">
        <v>2</v>
      </c>
      <c r="N14" s="1501">
        <v>2</v>
      </c>
      <c r="O14" s="1501">
        <v>2</v>
      </c>
      <c r="P14" s="1559" t="s">
        <v>474</v>
      </c>
      <c r="Q14" s="1559" t="s">
        <v>474</v>
      </c>
      <c r="R14" s="514" t="s">
        <v>475</v>
      </c>
      <c r="S14" s="514" t="s">
        <v>475</v>
      </c>
      <c r="T14" s="514" t="s">
        <v>475</v>
      </c>
      <c r="U14" s="514" t="s">
        <v>475</v>
      </c>
      <c r="V14" s="514" t="s">
        <v>475</v>
      </c>
      <c r="W14" s="514"/>
      <c r="X14" s="514"/>
      <c r="Y14" s="514">
        <v>3</v>
      </c>
      <c r="Z14" s="514">
        <v>3</v>
      </c>
      <c r="AA14" s="514">
        <v>3</v>
      </c>
      <c r="AB14" s="514">
        <v>3</v>
      </c>
      <c r="AC14" s="514">
        <v>3</v>
      </c>
      <c r="AD14" s="514"/>
      <c r="AE14" s="514"/>
      <c r="AF14" s="514">
        <v>4</v>
      </c>
      <c r="AG14" s="514"/>
      <c r="AH14" s="505">
        <v>0</v>
      </c>
      <c r="AI14" s="506">
        <v>0</v>
      </c>
    </row>
    <row r="15" spans="1:36" ht="21.95" customHeight="1" x14ac:dyDescent="0.2">
      <c r="A15" s="501">
        <v>8546</v>
      </c>
      <c r="B15" s="346" t="s">
        <v>174</v>
      </c>
      <c r="C15" s="514"/>
      <c r="D15" s="514">
        <v>2</v>
      </c>
      <c r="E15" s="514">
        <v>2</v>
      </c>
      <c r="F15" s="514">
        <v>2</v>
      </c>
      <c r="G15" s="514">
        <v>2</v>
      </c>
      <c r="H15" s="514">
        <v>2</v>
      </c>
      <c r="I15" s="514" t="s">
        <v>474</v>
      </c>
      <c r="J15" s="514" t="s">
        <v>474</v>
      </c>
      <c r="K15" s="514" t="s">
        <v>475</v>
      </c>
      <c r="L15" s="514" t="s">
        <v>475</v>
      </c>
      <c r="M15" s="514" t="s">
        <v>475</v>
      </c>
      <c r="N15" s="514" t="s">
        <v>475</v>
      </c>
      <c r="O15" s="514" t="s">
        <v>475</v>
      </c>
      <c r="P15" s="514"/>
      <c r="Q15" s="514"/>
      <c r="R15" s="1665">
        <v>3</v>
      </c>
      <c r="S15" s="1665">
        <v>3</v>
      </c>
      <c r="T15" s="1665">
        <v>3</v>
      </c>
      <c r="U15" s="1665">
        <v>3</v>
      </c>
      <c r="V15" s="1665">
        <v>3</v>
      </c>
      <c r="W15" s="514"/>
      <c r="X15" s="514"/>
      <c r="Y15" s="514">
        <v>4</v>
      </c>
      <c r="Z15" s="514">
        <v>4</v>
      </c>
      <c r="AA15" s="514">
        <v>4</v>
      </c>
      <c r="AB15" s="514">
        <v>4</v>
      </c>
      <c r="AC15" s="514">
        <v>4</v>
      </c>
      <c r="AD15" s="514" t="s">
        <v>476</v>
      </c>
      <c r="AE15" s="514" t="s">
        <v>476</v>
      </c>
      <c r="AF15" s="514" t="s">
        <v>475</v>
      </c>
      <c r="AG15" s="514"/>
      <c r="AH15" s="505">
        <v>0</v>
      </c>
      <c r="AI15" s="506">
        <v>0</v>
      </c>
      <c r="AJ15">
        <v>0.75</v>
      </c>
    </row>
    <row r="16" spans="1:36" ht="21.95" customHeight="1" x14ac:dyDescent="0.2">
      <c r="A16" s="501">
        <v>8546</v>
      </c>
      <c r="B16" s="346" t="s">
        <v>478</v>
      </c>
      <c r="C16" s="1551" t="s">
        <v>474</v>
      </c>
      <c r="D16" s="514">
        <v>4</v>
      </c>
      <c r="E16" s="514">
        <v>4</v>
      </c>
      <c r="F16" s="514">
        <v>4</v>
      </c>
      <c r="G16" s="514">
        <v>4</v>
      </c>
      <c r="H16" s="514">
        <v>4</v>
      </c>
      <c r="I16" s="514" t="s">
        <v>476</v>
      </c>
      <c r="J16" s="514" t="s">
        <v>476</v>
      </c>
      <c r="K16" s="514" t="s">
        <v>475</v>
      </c>
      <c r="L16" s="514" t="s">
        <v>475</v>
      </c>
      <c r="M16" s="514" t="s">
        <v>475</v>
      </c>
      <c r="N16" s="514" t="s">
        <v>475</v>
      </c>
      <c r="O16" s="514" t="s">
        <v>475</v>
      </c>
      <c r="P16" s="514"/>
      <c r="Q16" s="514"/>
      <c r="R16" s="1066">
        <v>1</v>
      </c>
      <c r="S16" s="1518">
        <v>1</v>
      </c>
      <c r="T16" s="1518">
        <v>1</v>
      </c>
      <c r="U16" s="1518">
        <v>1</v>
      </c>
      <c r="V16" s="1518">
        <v>1</v>
      </c>
      <c r="W16" s="514"/>
      <c r="X16" s="514"/>
      <c r="Y16" s="514">
        <v>2</v>
      </c>
      <c r="Z16" s="514">
        <v>2</v>
      </c>
      <c r="AA16" s="514">
        <v>2</v>
      </c>
      <c r="AB16" s="514">
        <v>2</v>
      </c>
      <c r="AC16" s="514">
        <v>2</v>
      </c>
      <c r="AD16" s="514" t="s">
        <v>474</v>
      </c>
      <c r="AE16" s="514" t="s">
        <v>474</v>
      </c>
      <c r="AF16" s="514" t="s">
        <v>475</v>
      </c>
      <c r="AG16" s="514"/>
      <c r="AH16" s="505">
        <v>0</v>
      </c>
      <c r="AI16" s="506">
        <v>0</v>
      </c>
    </row>
    <row r="17" spans="1:37" ht="21.95" customHeight="1" x14ac:dyDescent="0.2">
      <c r="A17" s="501">
        <v>8546</v>
      </c>
      <c r="B17" s="346" t="s">
        <v>479</v>
      </c>
      <c r="C17" s="514"/>
      <c r="D17" s="514">
        <v>3</v>
      </c>
      <c r="E17" s="514">
        <v>3</v>
      </c>
      <c r="F17" s="514">
        <v>3</v>
      </c>
      <c r="G17" s="514">
        <v>3</v>
      </c>
      <c r="H17" s="514">
        <v>3</v>
      </c>
      <c r="I17" s="514"/>
      <c r="J17" s="514"/>
      <c r="K17" s="514">
        <v>4</v>
      </c>
      <c r="L17" s="514">
        <v>4</v>
      </c>
      <c r="M17" s="514">
        <v>4</v>
      </c>
      <c r="N17" s="514">
        <v>4</v>
      </c>
      <c r="O17" s="514">
        <v>4</v>
      </c>
      <c r="P17" s="1543" t="s">
        <v>476</v>
      </c>
      <c r="Q17" s="1543" t="s">
        <v>476</v>
      </c>
      <c r="R17" s="514" t="s">
        <v>475</v>
      </c>
      <c r="S17" s="514" t="s">
        <v>475</v>
      </c>
      <c r="T17" s="514" t="s">
        <v>475</v>
      </c>
      <c r="U17" s="514" t="s">
        <v>475</v>
      </c>
      <c r="V17" s="514" t="s">
        <v>475</v>
      </c>
      <c r="W17" s="514"/>
      <c r="X17" s="514"/>
      <c r="Y17" s="514">
        <v>1</v>
      </c>
      <c r="Z17" s="514">
        <v>1</v>
      </c>
      <c r="AA17" s="514">
        <v>1</v>
      </c>
      <c r="AB17" s="514">
        <v>1</v>
      </c>
      <c r="AC17" s="514">
        <v>1</v>
      </c>
      <c r="AD17" s="514"/>
      <c r="AE17" s="514"/>
      <c r="AF17" s="514">
        <v>2</v>
      </c>
      <c r="AG17" s="514"/>
      <c r="AH17" s="505">
        <v>2</v>
      </c>
      <c r="AI17" s="1701">
        <v>37</v>
      </c>
    </row>
    <row r="18" spans="1:37" ht="21.95" customHeight="1" x14ac:dyDescent="0.2">
      <c r="A18" s="501">
        <v>8546</v>
      </c>
      <c r="B18" s="346" t="s">
        <v>480</v>
      </c>
      <c r="C18" s="1066" t="s">
        <v>476</v>
      </c>
      <c r="D18" s="514" t="s">
        <v>475</v>
      </c>
      <c r="E18" s="514" t="s">
        <v>475</v>
      </c>
      <c r="F18" s="514" t="s">
        <v>475</v>
      </c>
      <c r="G18" s="514" t="s">
        <v>475</v>
      </c>
      <c r="H18" s="514" t="s">
        <v>475</v>
      </c>
      <c r="I18" s="514"/>
      <c r="J18" s="514"/>
      <c r="K18" s="514">
        <v>1</v>
      </c>
      <c r="L18" s="514">
        <v>1</v>
      </c>
      <c r="M18" s="514">
        <v>1</v>
      </c>
      <c r="N18" s="514">
        <v>1</v>
      </c>
      <c r="O18" s="514">
        <v>1</v>
      </c>
      <c r="P18" s="514"/>
      <c r="Q18" s="514"/>
      <c r="R18" s="514">
        <v>2</v>
      </c>
      <c r="S18" s="514">
        <v>2</v>
      </c>
      <c r="T18" s="514">
        <v>2</v>
      </c>
      <c r="U18" s="514">
        <v>2</v>
      </c>
      <c r="V18" s="514">
        <v>2</v>
      </c>
      <c r="W18" s="514" t="s">
        <v>474</v>
      </c>
      <c r="X18" s="514" t="s">
        <v>474</v>
      </c>
      <c r="Y18" s="514" t="s">
        <v>475</v>
      </c>
      <c r="Z18" s="514" t="s">
        <v>475</v>
      </c>
      <c r="AA18" s="514" t="s">
        <v>475</v>
      </c>
      <c r="AB18" s="514" t="s">
        <v>475</v>
      </c>
      <c r="AC18" s="514" t="s">
        <v>475</v>
      </c>
      <c r="AD18" s="514"/>
      <c r="AE18" s="514"/>
      <c r="AF18" s="514">
        <v>3</v>
      </c>
      <c r="AG18" s="514"/>
      <c r="AH18" s="505">
        <v>0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05"/>
      <c r="AI19" s="506"/>
    </row>
    <row r="20" spans="1:37" ht="21.95" customHeight="1" x14ac:dyDescent="0.2">
      <c r="A20" s="501">
        <v>8500</v>
      </c>
      <c r="B20" s="185" t="s">
        <v>188</v>
      </c>
      <c r="C20" s="514" t="s">
        <v>484</v>
      </c>
      <c r="D20" s="514">
        <v>1</v>
      </c>
      <c r="E20" s="514">
        <v>1</v>
      </c>
      <c r="F20" s="514">
        <v>1</v>
      </c>
      <c r="G20" s="514">
        <v>1</v>
      </c>
      <c r="H20" s="514">
        <v>1</v>
      </c>
      <c r="I20" s="514"/>
      <c r="J20" s="514"/>
      <c r="K20" s="1066"/>
      <c r="L20" s="1066" t="s">
        <v>552</v>
      </c>
      <c r="M20" s="1066" t="s">
        <v>552</v>
      </c>
      <c r="N20" s="1066" t="s">
        <v>552</v>
      </c>
      <c r="O20" s="1066" t="s">
        <v>552</v>
      </c>
      <c r="P20" s="1066"/>
      <c r="Q20" s="1066"/>
      <c r="R20" s="514">
        <v>1</v>
      </c>
      <c r="S20" s="514">
        <v>1</v>
      </c>
      <c r="T20" s="514">
        <v>1</v>
      </c>
      <c r="U20" s="514">
        <v>1</v>
      </c>
      <c r="V20" s="514">
        <v>1</v>
      </c>
      <c r="W20" s="514"/>
      <c r="X20" s="514"/>
      <c r="Y20" s="1665" t="s">
        <v>552</v>
      </c>
      <c r="Z20" s="1665" t="s">
        <v>552</v>
      </c>
      <c r="AA20" s="1665" t="s">
        <v>552</v>
      </c>
      <c r="AB20" s="1665" t="s">
        <v>552</v>
      </c>
      <c r="AC20" s="1665" t="s">
        <v>552</v>
      </c>
      <c r="AD20" s="514" t="s">
        <v>484</v>
      </c>
      <c r="AE20" s="514" t="s">
        <v>484</v>
      </c>
      <c r="AF20" s="1559" t="s">
        <v>552</v>
      </c>
      <c r="AG20" s="695"/>
      <c r="AH20" s="505">
        <v>0</v>
      </c>
      <c r="AI20" s="506">
        <v>0</v>
      </c>
    </row>
    <row r="21" spans="1:37" ht="21.95" customHeight="1" x14ac:dyDescent="0.2">
      <c r="A21" s="501">
        <v>8500</v>
      </c>
      <c r="B21" s="152" t="s">
        <v>483</v>
      </c>
      <c r="C21" s="514" t="s">
        <v>476</v>
      </c>
      <c r="D21" s="514" t="s">
        <v>475</v>
      </c>
      <c r="E21" s="514" t="s">
        <v>475</v>
      </c>
      <c r="F21" s="514" t="s">
        <v>475</v>
      </c>
      <c r="G21" s="514" t="s">
        <v>475</v>
      </c>
      <c r="H21" s="514" t="s">
        <v>475</v>
      </c>
      <c r="I21" s="514"/>
      <c r="J21" s="514"/>
      <c r="K21" s="514">
        <v>2</v>
      </c>
      <c r="L21" s="514">
        <v>2</v>
      </c>
      <c r="M21" s="514">
        <v>2</v>
      </c>
      <c r="N21" s="514">
        <v>2</v>
      </c>
      <c r="O21" s="514">
        <v>2</v>
      </c>
      <c r="P21" s="514" t="s">
        <v>474</v>
      </c>
      <c r="Q21" s="514" t="s">
        <v>474</v>
      </c>
      <c r="R21" s="514" t="s">
        <v>475</v>
      </c>
      <c r="S21" s="514" t="s">
        <v>475</v>
      </c>
      <c r="T21" s="514" t="s">
        <v>475</v>
      </c>
      <c r="U21" s="514" t="s">
        <v>475</v>
      </c>
      <c r="V21" s="514" t="s">
        <v>475</v>
      </c>
      <c r="W21" s="514"/>
      <c r="X21" s="514"/>
      <c r="Y21" s="514" t="s">
        <v>552</v>
      </c>
      <c r="Z21" s="514" t="s">
        <v>552</v>
      </c>
      <c r="AA21" s="514" t="s">
        <v>552</v>
      </c>
      <c r="AB21" s="514" t="s">
        <v>552</v>
      </c>
      <c r="AC21" s="514" t="s">
        <v>552</v>
      </c>
      <c r="AD21" s="514"/>
      <c r="AE21" s="514"/>
      <c r="AF21" s="1518" t="s">
        <v>552</v>
      </c>
      <c r="AG21" s="503"/>
      <c r="AH21" s="505">
        <v>0</v>
      </c>
      <c r="AI21" s="506">
        <v>37</v>
      </c>
    </row>
    <row r="22" spans="1:37" ht="21.95" customHeight="1" x14ac:dyDescent="0.2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27" t="s">
        <v>706</v>
      </c>
      <c r="N31" s="527"/>
      <c r="O31" s="527"/>
      <c r="P31" s="527"/>
      <c r="Q31" s="527"/>
      <c r="R31" s="527"/>
      <c r="S31" s="529"/>
      <c r="T31" s="529" t="s">
        <v>707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x14ac:dyDescent="0.2">
      <c r="A36" s="547" t="s">
        <v>468</v>
      </c>
      <c r="B36" s="181" t="s">
        <v>469</v>
      </c>
      <c r="C36" s="497">
        <v>1</v>
      </c>
      <c r="D36" s="177">
        <v>2</v>
      </c>
      <c r="E36" s="177">
        <v>3</v>
      </c>
      <c r="F36" s="177">
        <v>4</v>
      </c>
      <c r="G36" s="497">
        <v>5</v>
      </c>
      <c r="H36" s="497">
        <v>6</v>
      </c>
      <c r="I36" s="497">
        <v>7</v>
      </c>
      <c r="J36" s="497">
        <v>8</v>
      </c>
      <c r="K36" s="497">
        <v>9</v>
      </c>
      <c r="L36" s="177">
        <v>10</v>
      </c>
      <c r="M36" s="177">
        <v>11</v>
      </c>
      <c r="N36" s="177">
        <v>12</v>
      </c>
      <c r="O36" s="177">
        <v>13</v>
      </c>
      <c r="P36" s="497">
        <v>14</v>
      </c>
      <c r="Q36" s="497">
        <v>15</v>
      </c>
      <c r="R36" s="177">
        <v>16</v>
      </c>
      <c r="S36" s="177">
        <v>17</v>
      </c>
      <c r="T36" s="177">
        <v>18</v>
      </c>
      <c r="U36" s="177">
        <v>19</v>
      </c>
      <c r="V36" s="177">
        <v>20</v>
      </c>
      <c r="W36" s="497">
        <v>21</v>
      </c>
      <c r="X36" s="497">
        <v>22</v>
      </c>
      <c r="Y36" s="177">
        <v>23</v>
      </c>
      <c r="Z36" s="177">
        <v>24</v>
      </c>
      <c r="AA36" s="177">
        <v>25</v>
      </c>
      <c r="AB36" s="177">
        <v>26</v>
      </c>
      <c r="AC36" s="177">
        <v>27</v>
      </c>
      <c r="AD36" s="497">
        <v>28</v>
      </c>
      <c r="AE36" s="497">
        <v>29</v>
      </c>
      <c r="AF36" s="177">
        <v>30</v>
      </c>
      <c r="AG36" s="177"/>
      <c r="AH36" s="499" t="s">
        <v>470</v>
      </c>
      <c r="AI36" s="500" t="s">
        <v>471</v>
      </c>
    </row>
    <row r="37" spans="1:37" ht="21.95" customHeight="1" x14ac:dyDescent="0.2">
      <c r="A37" s="548">
        <v>1</v>
      </c>
      <c r="B37" s="45" t="s">
        <v>502</v>
      </c>
      <c r="C37" s="549"/>
      <c r="D37" s="549">
        <v>1</v>
      </c>
      <c r="E37" s="549">
        <v>1</v>
      </c>
      <c r="F37" s="549">
        <v>1</v>
      </c>
      <c r="G37" s="549">
        <v>1</v>
      </c>
      <c r="H37" s="549">
        <v>1</v>
      </c>
      <c r="I37" s="549"/>
      <c r="J37" s="549"/>
      <c r="K37" s="549">
        <v>9</v>
      </c>
      <c r="L37" s="549">
        <v>9</v>
      </c>
      <c r="M37" s="549">
        <v>9</v>
      </c>
      <c r="N37" s="549">
        <v>9</v>
      </c>
      <c r="O37" s="549">
        <v>9</v>
      </c>
      <c r="P37" s="549" t="s">
        <v>511</v>
      </c>
      <c r="Q37" s="549" t="s">
        <v>507</v>
      </c>
      <c r="R37" s="549" t="s">
        <v>475</v>
      </c>
      <c r="S37" s="549" t="s">
        <v>475</v>
      </c>
      <c r="T37" s="549" t="s">
        <v>475</v>
      </c>
      <c r="U37" s="549" t="s">
        <v>475</v>
      </c>
      <c r="V37" s="549" t="s">
        <v>475</v>
      </c>
      <c r="W37" s="549"/>
      <c r="X37" s="549"/>
      <c r="Y37" s="549">
        <v>6</v>
      </c>
      <c r="Z37" s="549">
        <v>6</v>
      </c>
      <c r="AA37" s="549">
        <v>6</v>
      </c>
      <c r="AB37" s="549">
        <v>6</v>
      </c>
      <c r="AC37" s="549">
        <v>6</v>
      </c>
      <c r="AD37" s="549" t="s">
        <v>508</v>
      </c>
      <c r="AE37" s="549" t="s">
        <v>504</v>
      </c>
      <c r="AF37" s="549" t="s">
        <v>475</v>
      </c>
      <c r="AG37" s="550"/>
      <c r="AH37" s="505">
        <v>0</v>
      </c>
      <c r="AI37" s="506">
        <v>37</v>
      </c>
    </row>
    <row r="38" spans="1:37" ht="21.95" customHeight="1" x14ac:dyDescent="0.2">
      <c r="A38" s="551">
        <v>6</v>
      </c>
      <c r="B38" s="552" t="s">
        <v>506</v>
      </c>
      <c r="C38" s="553"/>
      <c r="D38" s="553">
        <v>5</v>
      </c>
      <c r="E38" s="553">
        <v>5</v>
      </c>
      <c r="F38" s="553">
        <v>5</v>
      </c>
      <c r="G38" s="553">
        <v>5</v>
      </c>
      <c r="H38" s="553">
        <v>5</v>
      </c>
      <c r="I38" s="553"/>
      <c r="J38" s="553"/>
      <c r="K38" s="553" t="s">
        <v>475</v>
      </c>
      <c r="L38" s="553" t="s">
        <v>552</v>
      </c>
      <c r="M38" s="553" t="s">
        <v>552</v>
      </c>
      <c r="N38" s="553" t="s">
        <v>552</v>
      </c>
      <c r="O38" s="553">
        <v>10</v>
      </c>
      <c r="P38" s="553" t="s">
        <v>507</v>
      </c>
      <c r="Q38" s="553" t="s">
        <v>507</v>
      </c>
      <c r="R38" s="1642" t="s">
        <v>475</v>
      </c>
      <c r="S38" s="1642" t="s">
        <v>475</v>
      </c>
      <c r="T38" s="553" t="s">
        <v>475</v>
      </c>
      <c r="U38" s="553" t="s">
        <v>475</v>
      </c>
      <c r="V38" s="553" t="s">
        <v>475</v>
      </c>
      <c r="W38" s="553"/>
      <c r="X38" s="553" t="s">
        <v>505</v>
      </c>
      <c r="Y38" s="553" t="s">
        <v>552</v>
      </c>
      <c r="Z38" s="553" t="s">
        <v>552</v>
      </c>
      <c r="AA38" s="553" t="s">
        <v>552</v>
      </c>
      <c r="AB38" s="1515" t="s">
        <v>552</v>
      </c>
      <c r="AC38" s="1515" t="s">
        <v>617</v>
      </c>
      <c r="AD38" s="553"/>
      <c r="AE38" s="553"/>
      <c r="AF38" s="553">
        <v>4</v>
      </c>
      <c r="AG38" s="554"/>
      <c r="AH38" s="505">
        <v>0</v>
      </c>
      <c r="AI38" s="506">
        <v>37</v>
      </c>
    </row>
    <row r="39" spans="1:37" ht="21.95" customHeight="1" thickBot="1" x14ac:dyDescent="0.25">
      <c r="A39" s="555">
        <v>11</v>
      </c>
      <c r="B39" s="552" t="s">
        <v>589</v>
      </c>
      <c r="C39" s="557"/>
      <c r="D39" s="557">
        <v>3</v>
      </c>
      <c r="E39" s="557">
        <v>3</v>
      </c>
      <c r="F39" s="557">
        <v>3</v>
      </c>
      <c r="G39" s="557">
        <v>3</v>
      </c>
      <c r="H39" s="557">
        <v>3</v>
      </c>
      <c r="I39" s="557"/>
      <c r="J39" s="557"/>
      <c r="K39" s="557">
        <v>11</v>
      </c>
      <c r="L39" s="557">
        <v>11</v>
      </c>
      <c r="M39" s="557">
        <v>11</v>
      </c>
      <c r="N39" s="557">
        <v>11</v>
      </c>
      <c r="O39" s="557">
        <v>11</v>
      </c>
      <c r="P39" s="557" t="s">
        <v>503</v>
      </c>
      <c r="Q39" s="557" t="s">
        <v>503</v>
      </c>
      <c r="R39" s="557" t="s">
        <v>475</v>
      </c>
      <c r="S39" s="557" t="s">
        <v>475</v>
      </c>
      <c r="T39" s="557" t="s">
        <v>475</v>
      </c>
      <c r="U39" s="557" t="s">
        <v>475</v>
      </c>
      <c r="V39" s="557" t="s">
        <v>475</v>
      </c>
      <c r="W39" s="557"/>
      <c r="X39" s="557"/>
      <c r="Y39" s="557">
        <v>8</v>
      </c>
      <c r="Z39" s="557">
        <v>8</v>
      </c>
      <c r="AA39" s="557">
        <v>8</v>
      </c>
      <c r="AB39" s="557">
        <v>8</v>
      </c>
      <c r="AC39" s="557">
        <v>8</v>
      </c>
      <c r="AD39" s="557" t="s">
        <v>504</v>
      </c>
      <c r="AE39" s="557" t="s">
        <v>504</v>
      </c>
      <c r="AF39" s="557" t="s">
        <v>475</v>
      </c>
      <c r="AG39" s="558"/>
      <c r="AH39" s="505">
        <v>4</v>
      </c>
      <c r="AI39" s="506">
        <v>37</v>
      </c>
    </row>
    <row r="40" spans="1:37" ht="21.95" customHeight="1" x14ac:dyDescent="0.2">
      <c r="A40" s="548">
        <v>2</v>
      </c>
      <c r="B40" s="45" t="s">
        <v>510</v>
      </c>
      <c r="C40" s="549"/>
      <c r="D40" s="549" t="s">
        <v>552</v>
      </c>
      <c r="E40" s="549" t="s">
        <v>552</v>
      </c>
      <c r="F40" s="549" t="s">
        <v>552</v>
      </c>
      <c r="G40" s="1699">
        <v>9</v>
      </c>
      <c r="H40" s="549">
        <v>9</v>
      </c>
      <c r="I40" s="549" t="s">
        <v>511</v>
      </c>
      <c r="J40" s="549" t="s">
        <v>507</v>
      </c>
      <c r="K40" s="549" t="s">
        <v>475</v>
      </c>
      <c r="L40" s="549" t="s">
        <v>475</v>
      </c>
      <c r="M40" s="549" t="s">
        <v>475</v>
      </c>
      <c r="N40" s="549" t="s">
        <v>475</v>
      </c>
      <c r="O40" s="549" t="s">
        <v>475</v>
      </c>
      <c r="P40" s="549"/>
      <c r="Q40" s="549"/>
      <c r="R40" s="1636">
        <v>6</v>
      </c>
      <c r="S40" s="549">
        <v>6</v>
      </c>
      <c r="T40" s="559">
        <v>6</v>
      </c>
      <c r="U40" s="559">
        <v>6</v>
      </c>
      <c r="V40" s="549">
        <v>6</v>
      </c>
      <c r="W40" s="549" t="s">
        <v>508</v>
      </c>
      <c r="X40" s="1520" t="s">
        <v>504</v>
      </c>
      <c r="Y40" s="1636" t="s">
        <v>475</v>
      </c>
      <c r="Z40" s="549" t="s">
        <v>475</v>
      </c>
      <c r="AA40" s="549" t="s">
        <v>475</v>
      </c>
      <c r="AB40" s="549" t="s">
        <v>475</v>
      </c>
      <c r="AC40" s="549" t="s">
        <v>475</v>
      </c>
      <c r="AD40" s="559"/>
      <c r="AE40" s="549"/>
      <c r="AF40" s="1636">
        <v>5</v>
      </c>
      <c r="AG40" s="550"/>
      <c r="AH40" s="696">
        <v>4</v>
      </c>
      <c r="AI40" s="506">
        <v>37</v>
      </c>
    </row>
    <row r="41" spans="1:37" ht="21.95" customHeight="1" x14ac:dyDescent="0.2">
      <c r="A41" s="551">
        <v>7</v>
      </c>
      <c r="B41" s="152" t="s">
        <v>512</v>
      </c>
      <c r="C41" s="1511"/>
      <c r="D41" s="553">
        <v>10</v>
      </c>
      <c r="E41" s="553">
        <v>10</v>
      </c>
      <c r="F41" s="553">
        <v>10</v>
      </c>
      <c r="G41" s="553">
        <v>10</v>
      </c>
      <c r="H41" s="553">
        <v>10</v>
      </c>
      <c r="I41" s="553" t="s">
        <v>507</v>
      </c>
      <c r="J41" s="553" t="s">
        <v>507</v>
      </c>
      <c r="K41" s="553" t="s">
        <v>475</v>
      </c>
      <c r="L41" s="553" t="s">
        <v>475</v>
      </c>
      <c r="M41" s="553" t="s">
        <v>475</v>
      </c>
      <c r="N41" s="553" t="s">
        <v>475</v>
      </c>
      <c r="O41" s="553" t="s">
        <v>475</v>
      </c>
      <c r="P41" s="553" t="s">
        <v>476</v>
      </c>
      <c r="Q41" s="553" t="s">
        <v>476</v>
      </c>
      <c r="R41" s="553">
        <v>7</v>
      </c>
      <c r="S41" s="553">
        <v>7</v>
      </c>
      <c r="T41" s="553">
        <v>7</v>
      </c>
      <c r="U41" s="553">
        <v>7</v>
      </c>
      <c r="V41" s="553">
        <v>7</v>
      </c>
      <c r="W41" s="553"/>
      <c r="X41" s="553"/>
      <c r="Y41" s="1674">
        <v>4</v>
      </c>
      <c r="Z41" s="1674">
        <v>4</v>
      </c>
      <c r="AA41" s="1523">
        <v>4</v>
      </c>
      <c r="AB41" s="1523">
        <v>4</v>
      </c>
      <c r="AC41" s="1523">
        <v>4</v>
      </c>
      <c r="AD41" s="553"/>
      <c r="AE41" s="553"/>
      <c r="AF41" s="1523">
        <v>3</v>
      </c>
      <c r="AG41" s="554"/>
      <c r="AH41" s="505">
        <v>0</v>
      </c>
      <c r="AI41" s="506">
        <v>0</v>
      </c>
    </row>
    <row r="42" spans="1:37" ht="21.95" customHeight="1" x14ac:dyDescent="0.2">
      <c r="A42" s="555">
        <v>12</v>
      </c>
      <c r="B42" s="560" t="s">
        <v>514</v>
      </c>
      <c r="C42" s="557"/>
      <c r="D42" s="557" t="s">
        <v>552</v>
      </c>
      <c r="E42" s="557" t="s">
        <v>552</v>
      </c>
      <c r="F42" s="557" t="s">
        <v>552</v>
      </c>
      <c r="G42" s="557">
        <v>11</v>
      </c>
      <c r="H42" s="557">
        <v>11</v>
      </c>
      <c r="I42" s="557" t="s">
        <v>503</v>
      </c>
      <c r="J42" s="557" t="s">
        <v>503</v>
      </c>
      <c r="K42" s="557" t="s">
        <v>475</v>
      </c>
      <c r="L42" s="557" t="s">
        <v>475</v>
      </c>
      <c r="M42" s="557" t="s">
        <v>475</v>
      </c>
      <c r="N42" s="557" t="s">
        <v>475</v>
      </c>
      <c r="O42" s="557" t="s">
        <v>475</v>
      </c>
      <c r="P42" s="557"/>
      <c r="Q42" s="557"/>
      <c r="R42" s="557">
        <v>8</v>
      </c>
      <c r="S42" s="1696">
        <v>8</v>
      </c>
      <c r="T42" s="1696">
        <v>8</v>
      </c>
      <c r="U42" s="1696">
        <v>8</v>
      </c>
      <c r="V42" s="1696">
        <v>8</v>
      </c>
      <c r="W42" s="557" t="s">
        <v>504</v>
      </c>
      <c r="X42" s="557" t="s">
        <v>504</v>
      </c>
      <c r="Y42" s="557" t="s">
        <v>475</v>
      </c>
      <c r="Z42" s="557" t="s">
        <v>475</v>
      </c>
      <c r="AA42" s="557" t="s">
        <v>475</v>
      </c>
      <c r="AB42" s="557" t="s">
        <v>475</v>
      </c>
      <c r="AC42" s="557" t="s">
        <v>475</v>
      </c>
      <c r="AD42" s="557"/>
      <c r="AE42" s="557"/>
      <c r="AF42" s="557">
        <v>1</v>
      </c>
      <c r="AG42" s="558"/>
      <c r="AH42" s="696">
        <v>0</v>
      </c>
      <c r="AI42" s="1701">
        <v>16</v>
      </c>
    </row>
    <row r="43" spans="1:37" ht="21.95" customHeight="1" x14ac:dyDescent="0.2">
      <c r="A43" s="561">
        <v>3</v>
      </c>
      <c r="B43" s="562" t="s">
        <v>515</v>
      </c>
      <c r="C43" s="1066" t="s">
        <v>507</v>
      </c>
      <c r="D43" s="514" t="s">
        <v>475</v>
      </c>
      <c r="E43" s="514" t="s">
        <v>475</v>
      </c>
      <c r="F43" s="514" t="s">
        <v>475</v>
      </c>
      <c r="G43" s="514" t="s">
        <v>475</v>
      </c>
      <c r="H43" s="514" t="s">
        <v>475</v>
      </c>
      <c r="I43" s="514"/>
      <c r="J43" s="514"/>
      <c r="K43" s="514">
        <v>6</v>
      </c>
      <c r="L43" s="514">
        <v>6</v>
      </c>
      <c r="M43" s="514">
        <v>6</v>
      </c>
      <c r="N43" s="514">
        <v>6</v>
      </c>
      <c r="O43" s="514">
        <v>6</v>
      </c>
      <c r="P43" s="514" t="s">
        <v>508</v>
      </c>
      <c r="Q43" s="514" t="s">
        <v>504</v>
      </c>
      <c r="R43" s="563" t="s">
        <v>475</v>
      </c>
      <c r="S43" s="514" t="s">
        <v>475</v>
      </c>
      <c r="T43" s="514" t="s">
        <v>475</v>
      </c>
      <c r="U43" s="514" t="s">
        <v>475</v>
      </c>
      <c r="V43" s="514" t="s">
        <v>475</v>
      </c>
      <c r="W43" s="514"/>
      <c r="X43" s="514"/>
      <c r="Y43" s="514">
        <v>7</v>
      </c>
      <c r="Z43" s="514">
        <v>5</v>
      </c>
      <c r="AA43" s="514">
        <v>5</v>
      </c>
      <c r="AB43" s="514">
        <v>5</v>
      </c>
      <c r="AC43" s="514">
        <v>5</v>
      </c>
      <c r="AD43" s="514"/>
      <c r="AE43" s="514"/>
      <c r="AF43" s="514" t="s">
        <v>552</v>
      </c>
      <c r="AG43" s="564"/>
      <c r="AH43" s="505">
        <v>0</v>
      </c>
      <c r="AI43" s="506">
        <v>0</v>
      </c>
    </row>
    <row r="44" spans="1:37" ht="21.95" customHeight="1" x14ac:dyDescent="0.2">
      <c r="A44" s="551">
        <v>8</v>
      </c>
      <c r="B44" s="318" t="s">
        <v>516</v>
      </c>
      <c r="C44" s="553" t="s">
        <v>507</v>
      </c>
      <c r="D44" s="553" t="s">
        <v>475</v>
      </c>
      <c r="E44" s="553" t="s">
        <v>475</v>
      </c>
      <c r="F44" s="553" t="s">
        <v>475</v>
      </c>
      <c r="G44" s="546" t="s">
        <v>475</v>
      </c>
      <c r="H44" s="553" t="s">
        <v>475</v>
      </c>
      <c r="I44" s="553" t="s">
        <v>505</v>
      </c>
      <c r="J44" s="553" t="s">
        <v>505</v>
      </c>
      <c r="K44" s="553">
        <v>7</v>
      </c>
      <c r="L44" s="553">
        <v>7</v>
      </c>
      <c r="M44" s="553">
        <v>7</v>
      </c>
      <c r="N44" s="553">
        <v>7</v>
      </c>
      <c r="O44" s="553">
        <v>7</v>
      </c>
      <c r="P44" s="553"/>
      <c r="Q44" s="565"/>
      <c r="R44" s="1523">
        <v>4</v>
      </c>
      <c r="S44" s="1651">
        <v>4</v>
      </c>
      <c r="T44" s="1523">
        <v>4</v>
      </c>
      <c r="U44" s="1523">
        <v>4</v>
      </c>
      <c r="V44" s="1523">
        <v>4</v>
      </c>
      <c r="W44" s="553"/>
      <c r="X44" s="553"/>
      <c r="Y44" s="1523">
        <v>3</v>
      </c>
      <c r="Z44" s="1523">
        <v>3</v>
      </c>
      <c r="AA44" s="1523">
        <v>3</v>
      </c>
      <c r="AB44" s="1523">
        <v>3</v>
      </c>
      <c r="AC44" s="1523">
        <v>3</v>
      </c>
      <c r="AD44" s="553"/>
      <c r="AE44" s="553"/>
      <c r="AF44" s="553">
        <v>11</v>
      </c>
      <c r="AG44" s="554"/>
      <c r="AH44" s="505">
        <v>0</v>
      </c>
      <c r="AI44" s="506">
        <v>0</v>
      </c>
    </row>
    <row r="45" spans="1:37" ht="21.95" customHeight="1" x14ac:dyDescent="0.2">
      <c r="A45" s="555">
        <v>13</v>
      </c>
      <c r="B45" s="52" t="s">
        <v>517</v>
      </c>
      <c r="C45" s="1522" t="s">
        <v>503</v>
      </c>
      <c r="D45" s="557" t="s">
        <v>475</v>
      </c>
      <c r="E45" s="557" t="s">
        <v>475</v>
      </c>
      <c r="F45" s="557" t="s">
        <v>475</v>
      </c>
      <c r="G45" s="557" t="s">
        <v>475</v>
      </c>
      <c r="H45" s="557" t="s">
        <v>475</v>
      </c>
      <c r="I45" s="557"/>
      <c r="J45" s="557"/>
      <c r="K45" s="1061">
        <v>8</v>
      </c>
      <c r="L45" s="1061">
        <v>8</v>
      </c>
      <c r="M45" s="1061">
        <v>8</v>
      </c>
      <c r="N45" s="1061">
        <v>8</v>
      </c>
      <c r="O45" s="1061">
        <v>8</v>
      </c>
      <c r="P45" s="1061" t="s">
        <v>504</v>
      </c>
      <c r="Q45" s="1061" t="s">
        <v>504</v>
      </c>
      <c r="R45" s="567" t="s">
        <v>475</v>
      </c>
      <c r="S45" s="557" t="s">
        <v>475</v>
      </c>
      <c r="T45" s="557" t="s">
        <v>475</v>
      </c>
      <c r="U45" s="557" t="s">
        <v>475</v>
      </c>
      <c r="V45" s="557" t="s">
        <v>475</v>
      </c>
      <c r="W45" s="557"/>
      <c r="X45" s="557"/>
      <c r="Y45" s="1484">
        <v>1</v>
      </c>
      <c r="Z45" s="1484">
        <v>1</v>
      </c>
      <c r="AA45" s="1484">
        <v>1</v>
      </c>
      <c r="AB45" s="1484">
        <v>1</v>
      </c>
      <c r="AC45" s="1484">
        <v>1</v>
      </c>
      <c r="AD45" s="557"/>
      <c r="AE45" s="557"/>
      <c r="AF45" s="557">
        <v>9</v>
      </c>
      <c r="AG45" s="558"/>
      <c r="AH45" s="505">
        <v>0</v>
      </c>
      <c r="AI45" s="506">
        <v>7</v>
      </c>
    </row>
    <row r="46" spans="1:37" ht="21.95" customHeight="1" x14ac:dyDescent="0.2">
      <c r="A46" s="561">
        <v>4</v>
      </c>
      <c r="B46" s="318" t="s">
        <v>518</v>
      </c>
      <c r="C46" s="514"/>
      <c r="D46" s="1569">
        <v>6</v>
      </c>
      <c r="E46" s="1569">
        <v>6</v>
      </c>
      <c r="F46" s="1569">
        <v>6</v>
      </c>
      <c r="G46" s="1569">
        <v>6</v>
      </c>
      <c r="H46" s="1569">
        <v>6</v>
      </c>
      <c r="I46" s="1569" t="s">
        <v>508</v>
      </c>
      <c r="J46" s="1569" t="s">
        <v>504</v>
      </c>
      <c r="K46" s="514" t="s">
        <v>475</v>
      </c>
      <c r="L46" s="514" t="s">
        <v>475</v>
      </c>
      <c r="M46" s="514" t="s">
        <v>475</v>
      </c>
      <c r="N46" s="514" t="s">
        <v>475</v>
      </c>
      <c r="O46" s="514" t="s">
        <v>475</v>
      </c>
      <c r="P46" s="514"/>
      <c r="Q46" s="514"/>
      <c r="R46" s="1529">
        <v>5</v>
      </c>
      <c r="S46" s="1529">
        <v>5</v>
      </c>
      <c r="T46" s="1529">
        <v>5</v>
      </c>
      <c r="U46" s="1529">
        <v>5</v>
      </c>
      <c r="V46" s="1529">
        <v>5</v>
      </c>
      <c r="W46" s="1529"/>
      <c r="X46" s="1529"/>
      <c r="Y46" s="1529">
        <v>10</v>
      </c>
      <c r="Z46" s="1529">
        <v>10</v>
      </c>
      <c r="AA46" s="1529">
        <v>10</v>
      </c>
      <c r="AB46" s="1529">
        <v>10</v>
      </c>
      <c r="AC46" s="1529">
        <v>10</v>
      </c>
      <c r="AD46" s="1529" t="s">
        <v>507</v>
      </c>
      <c r="AE46" s="1529" t="s">
        <v>507</v>
      </c>
      <c r="AF46" s="1568" t="s">
        <v>475</v>
      </c>
      <c r="AG46" s="515"/>
      <c r="AH46" s="505">
        <v>0</v>
      </c>
      <c r="AI46" s="506">
        <v>0</v>
      </c>
    </row>
    <row r="47" spans="1:37" ht="21.95" customHeight="1" x14ac:dyDescent="0.2">
      <c r="A47" s="551">
        <v>9</v>
      </c>
      <c r="B47" s="318" t="s">
        <v>519</v>
      </c>
      <c r="C47" s="553" t="s">
        <v>505</v>
      </c>
      <c r="D47" s="1695">
        <v>7</v>
      </c>
      <c r="E47" s="1695">
        <v>7</v>
      </c>
      <c r="F47" s="1695">
        <v>7</v>
      </c>
      <c r="G47" s="553">
        <v>7</v>
      </c>
      <c r="H47" s="553">
        <v>7</v>
      </c>
      <c r="I47" s="553"/>
      <c r="J47" s="553"/>
      <c r="K47" s="553">
        <v>4</v>
      </c>
      <c r="L47" s="553">
        <v>4</v>
      </c>
      <c r="M47" s="553">
        <v>4</v>
      </c>
      <c r="N47" s="553">
        <v>4</v>
      </c>
      <c r="O47" s="553">
        <v>4</v>
      </c>
      <c r="P47" s="553"/>
      <c r="Q47" s="553"/>
      <c r="R47" s="553">
        <v>3</v>
      </c>
      <c r="S47" s="553" t="s">
        <v>513</v>
      </c>
      <c r="T47" s="553">
        <v>3</v>
      </c>
      <c r="U47" s="553">
        <v>3</v>
      </c>
      <c r="V47" s="553">
        <v>3</v>
      </c>
      <c r="W47" s="553"/>
      <c r="X47" s="553"/>
      <c r="Y47" s="553">
        <v>11</v>
      </c>
      <c r="Z47" s="553">
        <v>11</v>
      </c>
      <c r="AA47" s="553">
        <v>11</v>
      </c>
      <c r="AB47" s="553">
        <v>11</v>
      </c>
      <c r="AC47" s="553">
        <v>11</v>
      </c>
      <c r="AD47" s="553" t="s">
        <v>503</v>
      </c>
      <c r="AE47" s="553" t="s">
        <v>503</v>
      </c>
      <c r="AF47" s="553" t="s">
        <v>475</v>
      </c>
      <c r="AG47" s="565"/>
      <c r="AH47" s="505">
        <v>1</v>
      </c>
      <c r="AI47" s="1701">
        <v>37</v>
      </c>
    </row>
    <row r="48" spans="1:37" ht="21.95" customHeight="1" x14ac:dyDescent="0.2">
      <c r="A48" s="555">
        <v>14</v>
      </c>
      <c r="B48" s="560" t="s">
        <v>520</v>
      </c>
      <c r="C48" s="557"/>
      <c r="D48" s="557">
        <v>8</v>
      </c>
      <c r="E48" s="557">
        <v>8</v>
      </c>
      <c r="F48" s="557">
        <v>8</v>
      </c>
      <c r="G48" s="557">
        <v>8</v>
      </c>
      <c r="H48" s="557">
        <v>8</v>
      </c>
      <c r="I48" s="557" t="s">
        <v>504</v>
      </c>
      <c r="J48" s="557" t="s">
        <v>504</v>
      </c>
      <c r="K48" s="557" t="s">
        <v>475</v>
      </c>
      <c r="L48" s="557" t="s">
        <v>475</v>
      </c>
      <c r="M48" s="557" t="s">
        <v>475</v>
      </c>
      <c r="N48" s="557" t="s">
        <v>475</v>
      </c>
      <c r="O48" s="557" t="s">
        <v>475</v>
      </c>
      <c r="P48" s="557"/>
      <c r="Q48" s="557"/>
      <c r="R48" s="557">
        <v>1</v>
      </c>
      <c r="S48" s="557">
        <v>1</v>
      </c>
      <c r="T48" s="557">
        <v>1</v>
      </c>
      <c r="U48" s="557">
        <v>1</v>
      </c>
      <c r="V48" s="557">
        <v>1</v>
      </c>
      <c r="W48" s="557"/>
      <c r="X48" s="557"/>
      <c r="Y48" s="557">
        <v>9</v>
      </c>
      <c r="Z48" s="557">
        <v>9</v>
      </c>
      <c r="AA48" s="557">
        <v>9</v>
      </c>
      <c r="AB48" s="557">
        <v>9</v>
      </c>
      <c r="AC48" s="557">
        <v>9</v>
      </c>
      <c r="AD48" s="557" t="s">
        <v>511</v>
      </c>
      <c r="AE48" s="557" t="s">
        <v>507</v>
      </c>
      <c r="AF48" s="557" t="s">
        <v>475</v>
      </c>
      <c r="AG48" s="568"/>
      <c r="AH48" s="505">
        <v>8</v>
      </c>
      <c r="AI48" s="1701">
        <v>37</v>
      </c>
    </row>
    <row r="49" spans="1:35" ht="21.95" customHeight="1" x14ac:dyDescent="0.2">
      <c r="A49" s="548">
        <v>5</v>
      </c>
      <c r="B49" s="552" t="s">
        <v>521</v>
      </c>
      <c r="C49" s="549" t="s">
        <v>504</v>
      </c>
      <c r="D49" s="549" t="s">
        <v>475</v>
      </c>
      <c r="E49" s="549" t="s">
        <v>475</v>
      </c>
      <c r="F49" s="549" t="s">
        <v>475</v>
      </c>
      <c r="G49" s="549" t="s">
        <v>475</v>
      </c>
      <c r="H49" s="549" t="s">
        <v>475</v>
      </c>
      <c r="I49" s="549"/>
      <c r="J49" s="549"/>
      <c r="K49" s="1071">
        <v>5</v>
      </c>
      <c r="L49" s="1071">
        <v>5</v>
      </c>
      <c r="M49" s="1071">
        <v>5</v>
      </c>
      <c r="N49" s="1071">
        <v>5</v>
      </c>
      <c r="O49" s="1071">
        <v>5</v>
      </c>
      <c r="P49" s="1071"/>
      <c r="Q49" s="1686"/>
      <c r="R49" s="549">
        <v>10</v>
      </c>
      <c r="S49" s="549">
        <v>10</v>
      </c>
      <c r="T49" s="549">
        <v>10</v>
      </c>
      <c r="U49" s="549">
        <v>10</v>
      </c>
      <c r="V49" s="549">
        <v>10</v>
      </c>
      <c r="W49" s="549" t="s">
        <v>507</v>
      </c>
      <c r="X49" s="549" t="s">
        <v>507</v>
      </c>
      <c r="Y49" s="549" t="s">
        <v>475</v>
      </c>
      <c r="Z49" s="549" t="s">
        <v>475</v>
      </c>
      <c r="AA49" s="549" t="s">
        <v>475</v>
      </c>
      <c r="AB49" s="549" t="s">
        <v>475</v>
      </c>
      <c r="AC49" s="549" t="s">
        <v>475</v>
      </c>
      <c r="AD49" s="549" t="s">
        <v>505</v>
      </c>
      <c r="AE49" s="569" t="s">
        <v>505</v>
      </c>
      <c r="AF49" s="549">
        <v>7</v>
      </c>
      <c r="AG49" s="569"/>
      <c r="AH49" s="505">
        <v>1</v>
      </c>
      <c r="AI49" s="506">
        <v>37</v>
      </c>
    </row>
    <row r="50" spans="1:35" ht="21.95" customHeight="1" x14ac:dyDescent="0.2">
      <c r="A50" s="551">
        <v>10</v>
      </c>
      <c r="B50" s="318" t="s">
        <v>523</v>
      </c>
      <c r="C50" s="553"/>
      <c r="D50" s="553">
        <v>4</v>
      </c>
      <c r="E50" s="553">
        <v>4</v>
      </c>
      <c r="F50" s="553">
        <v>4</v>
      </c>
      <c r="G50" s="553">
        <v>4</v>
      </c>
      <c r="H50" s="553">
        <v>4</v>
      </c>
      <c r="I50" s="553"/>
      <c r="J50" s="553"/>
      <c r="K50" s="1523">
        <v>3</v>
      </c>
      <c r="L50" s="553">
        <v>3</v>
      </c>
      <c r="M50" s="553">
        <v>3</v>
      </c>
      <c r="N50" s="553">
        <v>3</v>
      </c>
      <c r="O50" s="553">
        <v>3</v>
      </c>
      <c r="P50" s="553"/>
      <c r="Q50" s="553"/>
      <c r="R50" s="553">
        <v>11</v>
      </c>
      <c r="S50" s="553">
        <v>11</v>
      </c>
      <c r="T50" s="553">
        <v>11</v>
      </c>
      <c r="U50" s="553">
        <v>11</v>
      </c>
      <c r="V50" s="553">
        <v>11</v>
      </c>
      <c r="W50" s="553" t="s">
        <v>503</v>
      </c>
      <c r="X50" s="553" t="s">
        <v>503</v>
      </c>
      <c r="Y50" s="553" t="s">
        <v>475</v>
      </c>
      <c r="Z50" s="553" t="s">
        <v>475</v>
      </c>
      <c r="AA50" s="553" t="s">
        <v>475</v>
      </c>
      <c r="AB50" s="553" t="s">
        <v>475</v>
      </c>
      <c r="AC50" s="553" t="s">
        <v>475</v>
      </c>
      <c r="AD50" s="553"/>
      <c r="AE50" s="565"/>
      <c r="AF50" s="553">
        <v>8</v>
      </c>
      <c r="AG50" s="565"/>
      <c r="AH50" s="505">
        <v>0</v>
      </c>
      <c r="AI50" s="506">
        <v>0</v>
      </c>
    </row>
    <row r="51" spans="1:35" ht="21.95" customHeight="1" x14ac:dyDescent="0.2">
      <c r="A51" s="555">
        <v>15</v>
      </c>
      <c r="B51" s="52" t="s">
        <v>524</v>
      </c>
      <c r="C51" s="557" t="s">
        <v>505</v>
      </c>
      <c r="D51" s="557" t="s">
        <v>475</v>
      </c>
      <c r="E51" s="557" t="s">
        <v>475</v>
      </c>
      <c r="F51" s="557" t="s">
        <v>475</v>
      </c>
      <c r="G51" s="557" t="s">
        <v>475</v>
      </c>
      <c r="H51" s="557" t="s">
        <v>475</v>
      </c>
      <c r="I51" s="557"/>
      <c r="J51" s="557"/>
      <c r="K51" s="557">
        <v>1</v>
      </c>
      <c r="L51" s="1696">
        <v>1</v>
      </c>
      <c r="M51" s="1696">
        <v>1</v>
      </c>
      <c r="N51" s="1696">
        <v>1</v>
      </c>
      <c r="O51" s="1696">
        <v>1</v>
      </c>
      <c r="P51" s="557"/>
      <c r="Q51" s="557"/>
      <c r="R51" s="557">
        <v>9</v>
      </c>
      <c r="S51" s="557">
        <v>9</v>
      </c>
      <c r="T51" s="557">
        <v>9</v>
      </c>
      <c r="U51" s="557">
        <v>9</v>
      </c>
      <c r="V51" s="557">
        <v>9</v>
      </c>
      <c r="W51" s="557" t="s">
        <v>511</v>
      </c>
      <c r="X51" s="557" t="s">
        <v>507</v>
      </c>
      <c r="Y51" s="557" t="s">
        <v>475</v>
      </c>
      <c r="Z51" s="557" t="s">
        <v>475</v>
      </c>
      <c r="AA51" s="557" t="s">
        <v>475</v>
      </c>
      <c r="AB51" s="557" t="s">
        <v>475</v>
      </c>
      <c r="AC51" s="557" t="s">
        <v>475</v>
      </c>
      <c r="AD51" s="557"/>
      <c r="AE51" s="568"/>
      <c r="AF51" s="557">
        <v>6</v>
      </c>
      <c r="AG51" s="568"/>
      <c r="AH51" s="651">
        <v>0</v>
      </c>
      <c r="AI51" s="523">
        <v>0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AG53" s="546"/>
      <c r="AH53" s="1"/>
    </row>
    <row r="54" spans="1:35" ht="21.95" customHeight="1" x14ac:dyDescent="0.2">
      <c r="A54" s="524"/>
      <c r="AG54" s="546"/>
      <c r="AH54" s="1"/>
    </row>
    <row r="55" spans="1:35" ht="21.95" customHeight="1" x14ac:dyDescent="0.2">
      <c r="A55" s="524"/>
      <c r="AG55" s="360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170" t="s">
        <v>106</v>
      </c>
      <c r="C58" s="318" t="s">
        <v>295</v>
      </c>
      <c r="D58" s="152"/>
      <c r="E58" s="152"/>
      <c r="F58" s="318" t="s">
        <v>295</v>
      </c>
      <c r="G58" s="714"/>
      <c r="H58" s="152"/>
      <c r="I58" s="318" t="s">
        <v>295</v>
      </c>
      <c r="J58" s="152"/>
      <c r="K58" s="152"/>
      <c r="L58" s="318" t="s">
        <v>295</v>
      </c>
      <c r="M58" s="152"/>
      <c r="N58" s="152"/>
      <c r="O58" s="318" t="s">
        <v>67</v>
      </c>
      <c r="P58" s="152"/>
      <c r="Q58" s="152"/>
      <c r="R58" s="154"/>
      <c r="S58" s="156"/>
      <c r="T58" s="488"/>
      <c r="U58" s="154"/>
      <c r="V58" s="156"/>
      <c r="W58" s="488"/>
      <c r="X58" s="154"/>
      <c r="Y58" s="156">
        <v>37</v>
      </c>
      <c r="Z58" s="700"/>
      <c r="AA58" s="489"/>
      <c r="AE58" s="360"/>
      <c r="AF58" s="360"/>
      <c r="AG58" s="360"/>
    </row>
    <row r="59" spans="1:35" ht="21.95" customHeight="1" x14ac:dyDescent="0.2">
      <c r="A59" s="1"/>
      <c r="B59" s="47"/>
      <c r="C59" s="57"/>
      <c r="D59" s="53"/>
      <c r="E59" s="541"/>
      <c r="F59" s="57"/>
      <c r="G59" s="583"/>
      <c r="H59" s="53"/>
      <c r="I59" s="57"/>
      <c r="J59" s="53"/>
      <c r="K59" s="541"/>
      <c r="L59" s="57"/>
      <c r="M59" s="53"/>
      <c r="N59" s="541"/>
      <c r="O59" s="57"/>
      <c r="P59" s="53"/>
      <c r="Q59" s="541"/>
      <c r="R59" s="581"/>
      <c r="S59" s="53"/>
      <c r="T59" s="541"/>
      <c r="U59" s="581"/>
      <c r="V59" s="53"/>
      <c r="W59" s="541"/>
      <c r="X59" s="581"/>
      <c r="Y59" s="53"/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497">
        <v>1</v>
      </c>
      <c r="D61" s="177">
        <v>2</v>
      </c>
      <c r="E61" s="177">
        <v>3</v>
      </c>
      <c r="F61" s="177">
        <v>4</v>
      </c>
      <c r="G61" s="497">
        <v>5</v>
      </c>
      <c r="H61" s="497">
        <v>6</v>
      </c>
      <c r="I61" s="497">
        <v>7</v>
      </c>
      <c r="J61" s="497">
        <v>8</v>
      </c>
      <c r="K61" s="497">
        <v>9</v>
      </c>
      <c r="L61" s="177">
        <v>10</v>
      </c>
      <c r="M61" s="177">
        <v>11</v>
      </c>
      <c r="N61" s="177">
        <v>12</v>
      </c>
      <c r="O61" s="177">
        <v>13</v>
      </c>
      <c r="P61" s="497">
        <v>14</v>
      </c>
      <c r="Q61" s="497">
        <v>15</v>
      </c>
      <c r="R61" s="177">
        <v>16</v>
      </c>
      <c r="S61" s="177">
        <v>17</v>
      </c>
      <c r="T61" s="177">
        <v>18</v>
      </c>
      <c r="U61" s="177">
        <v>19</v>
      </c>
      <c r="V61" s="177">
        <v>20</v>
      </c>
      <c r="W61" s="497">
        <v>21</v>
      </c>
      <c r="X61" s="497">
        <v>22</v>
      </c>
      <c r="Y61" s="177">
        <v>23</v>
      </c>
      <c r="Z61" s="177">
        <v>24</v>
      </c>
      <c r="AA61" s="177">
        <v>25</v>
      </c>
      <c r="AB61" s="177">
        <v>26</v>
      </c>
      <c r="AC61" s="177">
        <v>27</v>
      </c>
      <c r="AD61" s="497">
        <v>28</v>
      </c>
      <c r="AE61" s="497">
        <v>29</v>
      </c>
      <c r="AF61" s="177">
        <v>30</v>
      </c>
      <c r="AG61" s="177"/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/>
      <c r="D62" s="587" t="s">
        <v>529</v>
      </c>
      <c r="E62" s="587" t="s">
        <v>529</v>
      </c>
      <c r="F62" s="587" t="s">
        <v>529</v>
      </c>
      <c r="G62" s="587"/>
      <c r="H62" s="587"/>
      <c r="I62" s="587"/>
      <c r="J62" s="587"/>
      <c r="K62" s="587"/>
      <c r="L62" s="587" t="s">
        <v>529</v>
      </c>
      <c r="M62" s="587" t="s">
        <v>529</v>
      </c>
      <c r="N62" s="587" t="s">
        <v>529</v>
      </c>
      <c r="O62" s="587" t="s">
        <v>529</v>
      </c>
      <c r="P62" s="587"/>
      <c r="Q62" s="587"/>
      <c r="R62" s="587" t="s">
        <v>529</v>
      </c>
      <c r="S62" s="587" t="s">
        <v>529</v>
      </c>
      <c r="T62" s="587" t="s">
        <v>529</v>
      </c>
      <c r="U62" s="587" t="s">
        <v>529</v>
      </c>
      <c r="V62" s="587" t="s">
        <v>529</v>
      </c>
      <c r="W62" s="587"/>
      <c r="X62" s="587"/>
      <c r="Y62" s="587" t="s">
        <v>529</v>
      </c>
      <c r="Z62" s="587" t="s">
        <v>529</v>
      </c>
      <c r="AA62" s="587" t="s">
        <v>529</v>
      </c>
      <c r="AB62" s="587" t="s">
        <v>529</v>
      </c>
      <c r="AC62" s="587" t="s">
        <v>529</v>
      </c>
      <c r="AD62" s="587"/>
      <c r="AE62" s="587"/>
      <c r="AF62" s="587" t="s">
        <v>529</v>
      </c>
      <c r="AG62" s="588"/>
      <c r="AH62" s="505"/>
      <c r="AI62" s="506"/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/>
      <c r="AI63" s="506"/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thickBot="1" x14ac:dyDescent="0.25">
      <c r="A65" s="589"/>
      <c r="C65" s="590"/>
      <c r="D65" s="590"/>
      <c r="E65" s="590"/>
      <c r="F65" s="590"/>
      <c r="G65" s="590"/>
      <c r="H65" s="590"/>
      <c r="I65" s="590"/>
      <c r="J65" s="590"/>
      <c r="K65" s="590"/>
      <c r="L65" s="590"/>
      <c r="M65" s="590"/>
      <c r="N65" s="590"/>
      <c r="O65" s="590"/>
      <c r="P65" s="590"/>
      <c r="Q65" s="590"/>
      <c r="R65" s="590"/>
      <c r="S65" s="590"/>
      <c r="T65" s="590"/>
      <c r="U65" s="590"/>
      <c r="V65" s="590"/>
      <c r="W65" s="590"/>
      <c r="X65" s="590"/>
      <c r="Y65" s="590"/>
      <c r="Z65" s="590"/>
      <c r="AA65" s="590"/>
      <c r="AB65" s="590"/>
      <c r="AC65" s="590"/>
      <c r="AD65" s="590"/>
      <c r="AE65" s="590"/>
      <c r="AF65" s="590"/>
      <c r="AG65" s="590"/>
      <c r="AH65" s="591"/>
      <c r="AI65" s="591"/>
    </row>
    <row r="66" spans="1:35" ht="21.95" customHeight="1" x14ac:dyDescent="0.2">
      <c r="A66" s="360"/>
      <c r="B66" s="23" t="s">
        <v>532</v>
      </c>
      <c r="C66" s="7"/>
      <c r="D66" s="413" t="s">
        <v>2</v>
      </c>
      <c r="E66" s="572"/>
      <c r="F66" s="7"/>
      <c r="G66" s="6" t="s">
        <v>3</v>
      </c>
      <c r="H66" s="573"/>
      <c r="I66" s="118"/>
      <c r="J66" s="6" t="s">
        <v>4</v>
      </c>
      <c r="K66" s="412"/>
      <c r="L66" s="118"/>
      <c r="M66" s="119" t="s">
        <v>5</v>
      </c>
      <c r="N66" s="412"/>
      <c r="O66" s="118"/>
      <c r="P66" s="6" t="s">
        <v>6</v>
      </c>
      <c r="Q66" s="574"/>
      <c r="R66" s="118"/>
      <c r="S66" s="6" t="s">
        <v>7</v>
      </c>
      <c r="T66" s="575"/>
      <c r="U66" s="118"/>
      <c r="V66" s="6" t="s">
        <v>8</v>
      </c>
      <c r="W66" s="574"/>
      <c r="X66" s="348" t="s">
        <v>9</v>
      </c>
      <c r="Y66" s="593"/>
      <c r="Z66" s="593"/>
      <c r="AA66" s="594"/>
      <c r="AB66" s="27" t="s">
        <v>10</v>
      </c>
      <c r="AC66" s="576"/>
      <c r="AD66" s="576"/>
      <c r="AE66" s="595"/>
      <c r="AF66" s="595"/>
      <c r="AG66" s="596"/>
    </row>
    <row r="67" spans="1:35" ht="21.95" customHeight="1" x14ac:dyDescent="0.2">
      <c r="A67" s="360"/>
      <c r="B67" s="305" t="s">
        <v>533</v>
      </c>
      <c r="C67" s="598" t="s">
        <v>534</v>
      </c>
      <c r="D67" s="482"/>
      <c r="E67" s="483"/>
      <c r="F67" s="598" t="s">
        <v>534</v>
      </c>
      <c r="G67" s="482"/>
      <c r="H67" s="483"/>
      <c r="I67" s="598" t="s">
        <v>534</v>
      </c>
      <c r="J67" s="482"/>
      <c r="K67" s="483"/>
      <c r="L67" s="598" t="s">
        <v>534</v>
      </c>
      <c r="M67" s="482"/>
      <c r="N67" s="483"/>
      <c r="O67" s="598" t="s">
        <v>116</v>
      </c>
      <c r="P67" s="482"/>
      <c r="Q67" s="483"/>
      <c r="R67" s="598"/>
      <c r="S67" s="482"/>
      <c r="T67" s="483"/>
      <c r="U67" s="598"/>
      <c r="V67" s="482"/>
      <c r="W67" s="483"/>
      <c r="X67" s="598"/>
      <c r="Y67" s="482"/>
      <c r="Z67" s="482"/>
      <c r="AA67" s="482"/>
      <c r="AB67" s="475"/>
      <c r="AC67" s="482"/>
      <c r="AD67" s="482"/>
      <c r="AE67" s="482"/>
      <c r="AF67" s="482"/>
      <c r="AG67" s="599"/>
    </row>
    <row r="68" spans="1:35" ht="21.95" customHeight="1" x14ac:dyDescent="0.2">
      <c r="A68" s="360"/>
      <c r="B68" s="305" t="s">
        <v>535</v>
      </c>
      <c r="C68" s="598" t="s">
        <v>147</v>
      </c>
      <c r="D68" s="482"/>
      <c r="E68" s="483"/>
      <c r="F68" s="598" t="s">
        <v>147</v>
      </c>
      <c r="G68" s="482"/>
      <c r="H68" s="483"/>
      <c r="I68" s="598" t="s">
        <v>147</v>
      </c>
      <c r="J68" s="482"/>
      <c r="K68" s="483"/>
      <c r="L68" s="598" t="s">
        <v>147</v>
      </c>
      <c r="M68" s="482"/>
      <c r="N68" s="483"/>
      <c r="O68" s="598" t="s">
        <v>536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x14ac:dyDescent="0.2">
      <c r="A69" s="360"/>
      <c r="B69" s="69"/>
      <c r="C69" s="360"/>
      <c r="D69" s="360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</row>
    <row r="70" spans="1:35" ht="21.95" customHeight="1" x14ac:dyDescent="0.2">
      <c r="A70" s="585" t="s">
        <v>468</v>
      </c>
      <c r="B70" s="296" t="s">
        <v>469</v>
      </c>
      <c r="C70" s="497">
        <v>1</v>
      </c>
      <c r="D70" s="177">
        <v>2</v>
      </c>
      <c r="E70" s="177">
        <v>3</v>
      </c>
      <c r="F70" s="177">
        <v>4</v>
      </c>
      <c r="G70" s="497">
        <v>5</v>
      </c>
      <c r="H70" s="497">
        <v>6</v>
      </c>
      <c r="I70" s="497">
        <v>7</v>
      </c>
      <c r="J70" s="497">
        <v>8</v>
      </c>
      <c r="K70" s="497">
        <v>9</v>
      </c>
      <c r="L70" s="177">
        <v>10</v>
      </c>
      <c r="M70" s="177">
        <v>11</v>
      </c>
      <c r="N70" s="177">
        <v>12</v>
      </c>
      <c r="O70" s="177">
        <v>13</v>
      </c>
      <c r="P70" s="497">
        <v>14</v>
      </c>
      <c r="Q70" s="497">
        <v>15</v>
      </c>
      <c r="R70" s="177">
        <v>16</v>
      </c>
      <c r="S70" s="177">
        <v>17</v>
      </c>
      <c r="T70" s="177">
        <v>18</v>
      </c>
      <c r="U70" s="177">
        <v>19</v>
      </c>
      <c r="V70" s="177">
        <v>20</v>
      </c>
      <c r="W70" s="497">
        <v>21</v>
      </c>
      <c r="X70" s="497">
        <v>22</v>
      </c>
      <c r="Y70" s="177">
        <v>23</v>
      </c>
      <c r="Z70" s="177">
        <v>24</v>
      </c>
      <c r="AA70" s="177">
        <v>25</v>
      </c>
      <c r="AB70" s="177">
        <v>26</v>
      </c>
      <c r="AC70" s="177">
        <v>27</v>
      </c>
      <c r="AD70" s="497">
        <v>28</v>
      </c>
      <c r="AE70" s="497">
        <v>29</v>
      </c>
      <c r="AF70" s="177">
        <v>30</v>
      </c>
      <c r="AG70" s="177"/>
      <c r="AH70" s="499" t="s">
        <v>470</v>
      </c>
      <c r="AI70" s="500" t="s">
        <v>471</v>
      </c>
    </row>
    <row r="71" spans="1:35" ht="21.95" customHeight="1" x14ac:dyDescent="0.2">
      <c r="A71" s="185">
        <v>8520</v>
      </c>
      <c r="B71" s="185" t="s">
        <v>537</v>
      </c>
      <c r="C71" s="521"/>
      <c r="D71" s="1692" t="s">
        <v>538</v>
      </c>
      <c r="E71" s="1692" t="s">
        <v>538</v>
      </c>
      <c r="F71" s="1692" t="s">
        <v>538</v>
      </c>
      <c r="G71" s="521"/>
      <c r="H71" s="521"/>
      <c r="I71" s="521"/>
      <c r="J71" s="521"/>
      <c r="K71" s="521"/>
      <c r="L71" s="521" t="s">
        <v>538</v>
      </c>
      <c r="M71" s="521" t="s">
        <v>538</v>
      </c>
      <c r="N71" s="521" t="s">
        <v>538</v>
      </c>
      <c r="O71" s="521" t="s">
        <v>538</v>
      </c>
      <c r="P71" s="521"/>
      <c r="Q71" s="521"/>
      <c r="R71" s="521" t="s">
        <v>538</v>
      </c>
      <c r="S71" s="521" t="s">
        <v>538</v>
      </c>
      <c r="T71" s="521" t="s">
        <v>538</v>
      </c>
      <c r="U71" s="521" t="s">
        <v>538</v>
      </c>
      <c r="V71" s="1707" t="s">
        <v>538</v>
      </c>
      <c r="W71" s="521"/>
      <c r="X71" s="521"/>
      <c r="Y71" s="1707" t="s">
        <v>538</v>
      </c>
      <c r="Z71" s="521" t="s">
        <v>538</v>
      </c>
      <c r="AA71" s="521" t="s">
        <v>538</v>
      </c>
      <c r="AB71" s="521" t="s">
        <v>538</v>
      </c>
      <c r="AC71" s="521" t="s">
        <v>538</v>
      </c>
      <c r="AD71" s="521"/>
      <c r="AE71" s="521"/>
      <c r="AF71" s="521" t="s">
        <v>538</v>
      </c>
      <c r="AG71" s="565"/>
      <c r="AH71" s="505">
        <v>0</v>
      </c>
      <c r="AI71" s="1701">
        <v>7.7</v>
      </c>
    </row>
    <row r="72" spans="1:35" ht="21.95" customHeight="1" x14ac:dyDescent="0.2">
      <c r="A72" s="185">
        <v>8521</v>
      </c>
      <c r="B72" s="185" t="s">
        <v>539</v>
      </c>
      <c r="C72" s="553"/>
      <c r="D72" s="1687" t="s">
        <v>540</v>
      </c>
      <c r="E72" s="1687" t="s">
        <v>540</v>
      </c>
      <c r="F72" s="1687" t="s">
        <v>540</v>
      </c>
      <c r="G72" s="553"/>
      <c r="H72" s="553"/>
      <c r="I72" s="553"/>
      <c r="J72" s="553"/>
      <c r="K72" s="553"/>
      <c r="L72" s="553" t="s">
        <v>540</v>
      </c>
      <c r="M72" s="553" t="s">
        <v>540</v>
      </c>
      <c r="N72" s="553" t="s">
        <v>540</v>
      </c>
      <c r="O72" s="553" t="s">
        <v>540</v>
      </c>
      <c r="P72" s="1695" t="s">
        <v>507</v>
      </c>
      <c r="Q72" s="553"/>
      <c r="R72" s="553" t="s">
        <v>540</v>
      </c>
      <c r="S72" s="553" t="s">
        <v>540</v>
      </c>
      <c r="T72" s="553" t="s">
        <v>540</v>
      </c>
      <c r="U72" s="553" t="s">
        <v>540</v>
      </c>
      <c r="V72" s="553" t="s">
        <v>540</v>
      </c>
      <c r="W72" s="553"/>
      <c r="X72" s="553"/>
      <c r="Y72" s="1515" t="s">
        <v>540</v>
      </c>
      <c r="Z72" s="1515" t="s">
        <v>540</v>
      </c>
      <c r="AA72" s="1515" t="s">
        <v>540</v>
      </c>
      <c r="AB72" s="1515" t="s">
        <v>540</v>
      </c>
      <c r="AC72" s="1515" t="s">
        <v>708</v>
      </c>
      <c r="AD72" s="553"/>
      <c r="AE72" s="1654"/>
      <c r="AF72" s="1654" t="s">
        <v>540</v>
      </c>
      <c r="AG72" s="503"/>
      <c r="AH72" s="505">
        <v>6</v>
      </c>
      <c r="AI72" s="506">
        <v>37</v>
      </c>
    </row>
    <row r="73" spans="1:35" ht="21.95" customHeight="1" x14ac:dyDescent="0.2">
      <c r="A73" s="360"/>
      <c r="B73" s="360"/>
      <c r="C73" s="546"/>
      <c r="D73" s="525"/>
      <c r="E73" s="525"/>
      <c r="F73" s="525"/>
      <c r="G73" s="525"/>
      <c r="H73" s="525"/>
      <c r="I73" s="525"/>
      <c r="J73" s="525"/>
      <c r="K73" s="525"/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X73" s="525"/>
      <c r="Y73" s="525"/>
      <c r="Z73" s="525"/>
      <c r="AA73" s="525"/>
      <c r="AB73" s="525"/>
      <c r="AC73" s="525"/>
      <c r="AD73" s="525"/>
      <c r="AE73" s="525"/>
      <c r="AF73" s="525"/>
      <c r="AG73" s="525"/>
      <c r="AH73" s="591"/>
      <c r="AI73" s="591"/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x14ac:dyDescent="0.2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x14ac:dyDescent="0.2">
      <c r="A76" s="1" t="s">
        <v>541</v>
      </c>
      <c r="D76" s="360"/>
      <c r="E76" s="360"/>
      <c r="F76" s="360"/>
      <c r="G76" s="570"/>
      <c r="H76" s="360"/>
      <c r="I76" s="360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</row>
    <row r="77" spans="1:35" ht="21.95" customHeight="1" x14ac:dyDescent="0.2">
      <c r="A77" s="1"/>
      <c r="B77" s="23" t="s">
        <v>542</v>
      </c>
      <c r="C77" s="7"/>
      <c r="D77" s="530" t="s">
        <v>2</v>
      </c>
      <c r="E77" s="51"/>
      <c r="F77" s="573"/>
      <c r="G77" s="7"/>
      <c r="H77" s="530" t="s">
        <v>3</v>
      </c>
      <c r="I77" s="51"/>
      <c r="J77" s="573"/>
      <c r="K77" s="7"/>
      <c r="L77" s="530" t="s">
        <v>4</v>
      </c>
      <c r="M77" s="51"/>
      <c r="N77" s="573"/>
      <c r="O77" s="7"/>
      <c r="P77" s="530" t="s">
        <v>5</v>
      </c>
      <c r="Q77" s="51"/>
      <c r="R77" s="573"/>
      <c r="S77" s="7"/>
      <c r="T77" s="530" t="s">
        <v>6</v>
      </c>
      <c r="U77" s="51"/>
      <c r="V77" s="573"/>
      <c r="W77" s="7"/>
      <c r="X77" s="530" t="s">
        <v>7</v>
      </c>
      <c r="Y77" s="51"/>
      <c r="Z77" s="573"/>
      <c r="AA77" s="7"/>
      <c r="AB77" s="530" t="s">
        <v>8</v>
      </c>
      <c r="AC77" s="51"/>
      <c r="AD77" s="51"/>
      <c r="AE77" s="348" t="s">
        <v>9</v>
      </c>
      <c r="AF77" s="51"/>
      <c r="AG77" s="51"/>
      <c r="AH77" s="51"/>
      <c r="AI77" s="531"/>
    </row>
    <row r="78" spans="1:35" ht="21.95" customHeight="1" x14ac:dyDescent="0.2">
      <c r="A78" s="1"/>
      <c r="B78" s="129" t="s">
        <v>324</v>
      </c>
      <c r="C78" s="611" t="s">
        <v>543</v>
      </c>
      <c r="E78" s="156"/>
      <c r="F78" s="612"/>
      <c r="G78" s="611" t="s">
        <v>543</v>
      </c>
      <c r="H78" s="156"/>
      <c r="I78" s="156"/>
      <c r="J78" s="612"/>
      <c r="K78" s="611" t="s">
        <v>543</v>
      </c>
      <c r="L78" s="156"/>
      <c r="M78" s="156"/>
      <c r="N78" s="612"/>
      <c r="O78" s="611" t="s">
        <v>543</v>
      </c>
      <c r="P78" s="156"/>
      <c r="Q78" s="156"/>
      <c r="R78" s="612"/>
      <c r="S78" s="611" t="s">
        <v>544</v>
      </c>
      <c r="T78" s="156"/>
      <c r="U78" s="156"/>
      <c r="V78" s="613"/>
      <c r="W78" s="1055"/>
      <c r="X78" s="1056"/>
      <c r="Y78" s="1056"/>
      <c r="Z78" s="1057"/>
      <c r="AA78" s="613"/>
      <c r="AB78" s="156"/>
      <c r="AC78" s="156"/>
      <c r="AD78" s="613"/>
      <c r="AE78" s="121">
        <v>37</v>
      </c>
      <c r="AG78" s="156"/>
      <c r="AH78" s="613"/>
      <c r="AI78" s="489"/>
    </row>
    <row r="79" spans="1:35" ht="21.95" customHeight="1" x14ac:dyDescent="0.2">
      <c r="A79" s="1"/>
      <c r="B79" s="129" t="s">
        <v>325</v>
      </c>
      <c r="C79" s="611" t="s">
        <v>545</v>
      </c>
      <c r="D79" s="156"/>
      <c r="E79" s="156"/>
      <c r="F79" s="612"/>
      <c r="G79" s="611" t="s">
        <v>545</v>
      </c>
      <c r="H79" s="156"/>
      <c r="I79" s="156"/>
      <c r="J79" s="612"/>
      <c r="K79" s="611" t="s">
        <v>545</v>
      </c>
      <c r="L79" s="156"/>
      <c r="M79" s="156"/>
      <c r="N79" s="612"/>
      <c r="O79" s="611" t="s">
        <v>545</v>
      </c>
      <c r="P79" s="156"/>
      <c r="Q79" s="156"/>
      <c r="R79" s="612"/>
      <c r="S79" s="611" t="s">
        <v>546</v>
      </c>
      <c r="T79" s="156"/>
      <c r="U79" s="156"/>
      <c r="V79" s="612"/>
      <c r="W79" s="660" t="s">
        <v>547</v>
      </c>
      <c r="X79" s="55"/>
      <c r="Y79" s="55"/>
      <c r="Z79" s="55"/>
      <c r="AA79" s="611" t="s">
        <v>548</v>
      </c>
      <c r="AB79" s="611"/>
      <c r="AC79" s="611"/>
      <c r="AD79" s="611"/>
      <c r="AE79" s="154">
        <v>68.25</v>
      </c>
      <c r="AF79" s="156"/>
      <c r="AG79" s="615"/>
      <c r="AH79" s="616"/>
      <c r="AI79" s="617"/>
    </row>
    <row r="80" spans="1:35" ht="21.95" customHeight="1" x14ac:dyDescent="0.2">
      <c r="A80" s="1"/>
      <c r="B80" s="129" t="s">
        <v>326</v>
      </c>
      <c r="C80" s="1053" t="s">
        <v>167</v>
      </c>
      <c r="D80" s="156"/>
      <c r="E80" s="156"/>
      <c r="F80" s="612"/>
      <c r="G80" s="156" t="s">
        <v>167</v>
      </c>
      <c r="H80" s="156"/>
      <c r="I80" s="156"/>
      <c r="J80" s="612"/>
      <c r="K80" s="156" t="s">
        <v>167</v>
      </c>
      <c r="L80" s="156"/>
      <c r="M80" s="156"/>
      <c r="N80" s="612"/>
      <c r="O80" s="156" t="s">
        <v>167</v>
      </c>
      <c r="P80" s="156"/>
      <c r="Q80" s="156"/>
      <c r="R80" s="612"/>
      <c r="S80" s="156" t="s">
        <v>167</v>
      </c>
      <c r="T80" s="156"/>
      <c r="U80" s="156"/>
      <c r="V80" s="612"/>
      <c r="W80" s="611"/>
      <c r="X80" s="156"/>
      <c r="Y80" s="156"/>
      <c r="Z80" s="612"/>
      <c r="AA80" s="611"/>
      <c r="AB80" s="156"/>
      <c r="AC80" s="156"/>
      <c r="AD80" s="613"/>
      <c r="AE80" s="614">
        <v>0</v>
      </c>
      <c r="AF80" s="615"/>
      <c r="AG80" s="156"/>
      <c r="AH80" s="613"/>
      <c r="AI80" s="489"/>
    </row>
    <row r="81" spans="1:35" ht="21.95" customHeight="1" x14ac:dyDescent="0.2">
      <c r="A81" s="1"/>
      <c r="B81" s="47"/>
      <c r="C81" s="618"/>
      <c r="D81" s="53"/>
      <c r="E81" s="53"/>
      <c r="F81" s="619"/>
      <c r="G81" s="618"/>
      <c r="H81" s="53"/>
      <c r="I81" s="53"/>
      <c r="J81" s="619"/>
      <c r="K81" s="618"/>
      <c r="L81" s="53"/>
      <c r="M81" s="53"/>
      <c r="N81" s="619"/>
      <c r="O81" s="618"/>
      <c r="P81" s="53"/>
      <c r="Q81" s="53"/>
      <c r="R81" s="619"/>
      <c r="S81" s="618"/>
      <c r="T81" s="53"/>
      <c r="U81" s="53"/>
      <c r="V81" s="619"/>
      <c r="W81" s="53"/>
      <c r="X81" s="53"/>
      <c r="Y81" s="53"/>
      <c r="Z81" s="53"/>
      <c r="AA81" s="53"/>
      <c r="AB81" s="53"/>
      <c r="AC81" s="53"/>
      <c r="AD81" s="53"/>
      <c r="AE81" s="581"/>
      <c r="AF81" s="53"/>
      <c r="AG81" s="53"/>
      <c r="AH81" s="620"/>
      <c r="AI81" s="544"/>
    </row>
    <row r="82" spans="1:35" ht="21.95" customHeight="1" x14ac:dyDescent="0.2">
      <c r="A82" s="621"/>
      <c r="B82" s="1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585"/>
      <c r="B83" s="296" t="s">
        <v>469</v>
      </c>
      <c r="C83" s="497">
        <v>1</v>
      </c>
      <c r="D83" s="177">
        <v>2</v>
      </c>
      <c r="E83" s="177">
        <v>3</v>
      </c>
      <c r="F83" s="177">
        <v>4</v>
      </c>
      <c r="G83" s="497">
        <v>5</v>
      </c>
      <c r="H83" s="497">
        <v>6</v>
      </c>
      <c r="I83" s="497">
        <v>7</v>
      </c>
      <c r="J83" s="497">
        <v>8</v>
      </c>
      <c r="K83" s="497">
        <v>9</v>
      </c>
      <c r="L83" s="177">
        <v>10</v>
      </c>
      <c r="M83" s="177">
        <v>11</v>
      </c>
      <c r="N83" s="177">
        <v>12</v>
      </c>
      <c r="O83" s="177">
        <v>13</v>
      </c>
      <c r="P83" s="497">
        <v>14</v>
      </c>
      <c r="Q83" s="497">
        <v>15</v>
      </c>
      <c r="R83" s="177">
        <v>16</v>
      </c>
      <c r="S83" s="177">
        <v>17</v>
      </c>
      <c r="T83" s="177">
        <v>18</v>
      </c>
      <c r="U83" s="177">
        <v>19</v>
      </c>
      <c r="V83" s="177">
        <v>20</v>
      </c>
      <c r="W83" s="497">
        <v>21</v>
      </c>
      <c r="X83" s="497">
        <v>22</v>
      </c>
      <c r="Y83" s="177">
        <v>23</v>
      </c>
      <c r="Z83" s="177">
        <v>24</v>
      </c>
      <c r="AA83" s="177">
        <v>25</v>
      </c>
      <c r="AB83" s="177">
        <v>26</v>
      </c>
      <c r="AC83" s="177">
        <v>27</v>
      </c>
      <c r="AD83" s="497">
        <v>28</v>
      </c>
      <c r="AE83" s="497">
        <v>29</v>
      </c>
      <c r="AF83" s="177">
        <v>30</v>
      </c>
      <c r="AG83" s="177"/>
      <c r="AH83" s="499" t="s">
        <v>470</v>
      </c>
      <c r="AI83" s="500" t="s">
        <v>471</v>
      </c>
    </row>
    <row r="84" spans="1:35" ht="21.95" customHeight="1" x14ac:dyDescent="0.2">
      <c r="A84" s="622">
        <v>1</v>
      </c>
      <c r="B84" s="152" t="s">
        <v>549</v>
      </c>
      <c r="C84" s="587" t="s">
        <v>550</v>
      </c>
      <c r="D84" s="587" t="s">
        <v>475</v>
      </c>
      <c r="E84" s="587" t="s">
        <v>475</v>
      </c>
      <c r="F84" s="587" t="s">
        <v>475</v>
      </c>
      <c r="G84" s="587" t="s">
        <v>475</v>
      </c>
      <c r="H84" s="587" t="s">
        <v>475</v>
      </c>
      <c r="I84" s="587"/>
      <c r="J84" s="587"/>
      <c r="K84" s="587" t="s">
        <v>551</v>
      </c>
      <c r="L84" s="587" t="s">
        <v>551</v>
      </c>
      <c r="M84" s="587" t="s">
        <v>551</v>
      </c>
      <c r="N84" s="587" t="s">
        <v>551</v>
      </c>
      <c r="O84" s="587" t="s">
        <v>551</v>
      </c>
      <c r="P84" s="587"/>
      <c r="Q84" s="587"/>
      <c r="R84" s="1631" t="s">
        <v>513</v>
      </c>
      <c r="S84" s="587" t="s">
        <v>552</v>
      </c>
      <c r="T84" s="587" t="s">
        <v>513</v>
      </c>
      <c r="U84" s="587" t="s">
        <v>513</v>
      </c>
      <c r="V84" s="587" t="s">
        <v>513</v>
      </c>
      <c r="W84" s="1524" t="s">
        <v>550</v>
      </c>
      <c r="X84" s="1524" t="s">
        <v>550</v>
      </c>
      <c r="Y84" s="1631" t="s">
        <v>475</v>
      </c>
      <c r="Z84" s="587" t="s">
        <v>475</v>
      </c>
      <c r="AA84" s="587" t="s">
        <v>475</v>
      </c>
      <c r="AB84" s="587" t="s">
        <v>475</v>
      </c>
      <c r="AC84" s="587" t="s">
        <v>475</v>
      </c>
      <c r="AD84" s="587"/>
      <c r="AE84" s="587"/>
      <c r="AF84" s="1631" t="s">
        <v>551</v>
      </c>
      <c r="AG84" s="587"/>
      <c r="AH84" s="505">
        <v>0</v>
      </c>
      <c r="AI84" s="506">
        <v>0</v>
      </c>
    </row>
    <row r="85" spans="1:35" ht="21.95" customHeight="1" x14ac:dyDescent="0.2">
      <c r="A85" s="622">
        <v>2</v>
      </c>
      <c r="B85" s="318" t="s">
        <v>553</v>
      </c>
      <c r="C85" s="587"/>
      <c r="D85" s="1697" t="s">
        <v>551</v>
      </c>
      <c r="E85" s="1697" t="s">
        <v>551</v>
      </c>
      <c r="F85" s="1697" t="s">
        <v>551</v>
      </c>
      <c r="G85" s="1697" t="s">
        <v>551</v>
      </c>
      <c r="H85" s="1697" t="s">
        <v>551</v>
      </c>
      <c r="I85" s="1697"/>
      <c r="J85" s="1697"/>
      <c r="K85" s="1697" t="s">
        <v>513</v>
      </c>
      <c r="L85" s="1697" t="s">
        <v>513</v>
      </c>
      <c r="M85" s="1697" t="s">
        <v>513</v>
      </c>
      <c r="N85" s="1697" t="s">
        <v>513</v>
      </c>
      <c r="O85" s="1697" t="s">
        <v>513</v>
      </c>
      <c r="P85" s="1697" t="s">
        <v>550</v>
      </c>
      <c r="Q85" s="1697" t="s">
        <v>550</v>
      </c>
      <c r="R85" s="1697" t="s">
        <v>475</v>
      </c>
      <c r="S85" s="1606" t="s">
        <v>475</v>
      </c>
      <c r="T85" s="1697" t="s">
        <v>475</v>
      </c>
      <c r="U85" s="1697" t="s">
        <v>475</v>
      </c>
      <c r="V85" s="1697" t="s">
        <v>475</v>
      </c>
      <c r="W85" s="1697"/>
      <c r="X85" s="1697"/>
      <c r="Y85" s="1697" t="s">
        <v>551</v>
      </c>
      <c r="Z85" s="1697" t="s">
        <v>551</v>
      </c>
      <c r="AA85" s="1697" t="s">
        <v>551</v>
      </c>
      <c r="AB85" s="1697" t="s">
        <v>551</v>
      </c>
      <c r="AC85" s="1697" t="s">
        <v>551</v>
      </c>
      <c r="AD85" s="1697"/>
      <c r="AE85" s="1697"/>
      <c r="AF85" s="1697" t="s">
        <v>513</v>
      </c>
      <c r="AG85" s="1697"/>
      <c r="AH85" s="505">
        <v>0</v>
      </c>
      <c r="AI85" s="506">
        <v>37</v>
      </c>
    </row>
    <row r="86" spans="1:35" ht="21.95" customHeight="1" x14ac:dyDescent="0.2">
      <c r="A86" s="622">
        <v>3</v>
      </c>
      <c r="B86" s="552" t="s">
        <v>554</v>
      </c>
      <c r="C86" s="587"/>
      <c r="D86" s="1524" t="s">
        <v>513</v>
      </c>
      <c r="E86" s="1524" t="s">
        <v>513</v>
      </c>
      <c r="F86" s="1524" t="s">
        <v>513</v>
      </c>
      <c r="G86" s="587" t="s">
        <v>513</v>
      </c>
      <c r="H86" s="587" t="s">
        <v>513</v>
      </c>
      <c r="I86" s="587" t="s">
        <v>550</v>
      </c>
      <c r="J86" s="587" t="s">
        <v>550</v>
      </c>
      <c r="K86" s="587" t="s">
        <v>475</v>
      </c>
      <c r="L86" s="587" t="s">
        <v>475</v>
      </c>
      <c r="M86" s="587" t="s">
        <v>475</v>
      </c>
      <c r="N86" s="587" t="s">
        <v>475</v>
      </c>
      <c r="O86" s="587" t="s">
        <v>475</v>
      </c>
      <c r="P86" s="587"/>
      <c r="Q86" s="587"/>
      <c r="R86" s="553" t="s">
        <v>551</v>
      </c>
      <c r="S86" s="553">
        <v>3</v>
      </c>
      <c r="T86" s="587" t="s">
        <v>551</v>
      </c>
      <c r="U86" s="587" t="s">
        <v>551</v>
      </c>
      <c r="V86" s="587" t="s">
        <v>538</v>
      </c>
      <c r="W86" s="587"/>
      <c r="X86" s="587"/>
      <c r="Y86" s="587" t="s">
        <v>513</v>
      </c>
      <c r="Z86" s="587" t="s">
        <v>513</v>
      </c>
      <c r="AA86" s="587" t="s">
        <v>513</v>
      </c>
      <c r="AB86" s="587" t="s">
        <v>513</v>
      </c>
      <c r="AC86" s="587" t="s">
        <v>513</v>
      </c>
      <c r="AD86" s="587" t="s">
        <v>550</v>
      </c>
      <c r="AE86" s="587" t="s">
        <v>550</v>
      </c>
      <c r="AF86" s="587" t="s">
        <v>475</v>
      </c>
      <c r="AG86" s="587"/>
      <c r="AH86" s="505">
        <v>0</v>
      </c>
      <c r="AI86" s="506">
        <v>0</v>
      </c>
    </row>
    <row r="87" spans="1:35" ht="21.95" customHeight="1" x14ac:dyDescent="0.2"/>
    <row r="88" spans="1:35" ht="21.95" customHeight="1" x14ac:dyDescent="0.2">
      <c r="A88" s="623"/>
      <c r="B88" s="353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590"/>
      <c r="N88" s="590"/>
      <c r="O88" s="590"/>
      <c r="P88" s="590"/>
      <c r="Q88" s="590"/>
      <c r="R88" s="590"/>
      <c r="S88" s="590"/>
      <c r="T88" s="590"/>
      <c r="U88" s="590"/>
      <c r="V88" s="590"/>
      <c r="W88" s="590"/>
      <c r="X88" s="590"/>
      <c r="Y88" s="590"/>
      <c r="Z88" s="590"/>
      <c r="AA88" s="590"/>
      <c r="AB88" s="590"/>
      <c r="AC88" s="590"/>
      <c r="AD88" s="590"/>
      <c r="AE88" s="590"/>
      <c r="AF88" s="590"/>
      <c r="AH88" s="591"/>
      <c r="AI88" s="591"/>
    </row>
    <row r="89" spans="1:35" ht="21.95" customHeight="1" x14ac:dyDescent="0.2">
      <c r="A89" s="1" t="s">
        <v>555</v>
      </c>
      <c r="D89" s="360"/>
      <c r="E89" s="360"/>
      <c r="F89" s="360"/>
      <c r="G89" s="57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</row>
    <row r="90" spans="1:35" ht="21.95" customHeight="1" x14ac:dyDescent="0.2">
      <c r="A90" s="1"/>
      <c r="B90" s="23" t="s">
        <v>556</v>
      </c>
      <c r="C90" s="7"/>
      <c r="D90" s="530" t="s">
        <v>2</v>
      </c>
      <c r="E90" s="51"/>
      <c r="F90" s="573"/>
      <c r="G90" s="7"/>
      <c r="H90" s="530" t="s">
        <v>3</v>
      </c>
      <c r="I90" s="51"/>
      <c r="J90" s="573"/>
      <c r="K90" s="7"/>
      <c r="L90" s="530" t="s">
        <v>4</v>
      </c>
      <c r="M90" s="51"/>
      <c r="N90" s="573"/>
      <c r="O90" s="7"/>
      <c r="P90" s="530" t="s">
        <v>5</v>
      </c>
      <c r="Q90" s="51"/>
      <c r="R90" s="573"/>
      <c r="S90" s="7"/>
      <c r="T90" s="530" t="s">
        <v>6</v>
      </c>
      <c r="U90" s="51"/>
      <c r="V90" s="573"/>
      <c r="W90" s="7"/>
      <c r="X90" s="530" t="s">
        <v>7</v>
      </c>
      <c r="Y90" s="51"/>
      <c r="Z90" s="573"/>
      <c r="AA90" s="7"/>
      <c r="AB90" s="530" t="s">
        <v>8</v>
      </c>
      <c r="AC90" s="51"/>
      <c r="AD90" s="51"/>
      <c r="AE90" s="424" t="s">
        <v>10</v>
      </c>
      <c r="AF90" s="51"/>
      <c r="AG90" s="51"/>
      <c r="AH90" s="51"/>
      <c r="AI90" s="531"/>
    </row>
    <row r="91" spans="1:35" ht="21.95" customHeight="1" x14ac:dyDescent="0.2">
      <c r="A91" s="1"/>
      <c r="B91" s="129" t="s">
        <v>324</v>
      </c>
      <c r="C91" s="611"/>
      <c r="D91" s="156" t="s">
        <v>167</v>
      </c>
      <c r="E91" s="156"/>
      <c r="F91" s="612"/>
      <c r="G91" s="611"/>
      <c r="H91" s="156" t="s">
        <v>167</v>
      </c>
      <c r="I91" s="156"/>
      <c r="J91" s="612"/>
      <c r="K91" s="611" t="s">
        <v>557</v>
      </c>
      <c r="L91" s="156"/>
      <c r="M91" s="156"/>
      <c r="N91" s="612"/>
      <c r="O91" s="611" t="s">
        <v>557</v>
      </c>
      <c r="P91" s="156"/>
      <c r="Q91" s="156"/>
      <c r="R91" s="612"/>
      <c r="S91" s="611" t="s">
        <v>557</v>
      </c>
      <c r="T91" s="156"/>
      <c r="U91" s="156"/>
      <c r="V91" s="612"/>
      <c r="W91" s="611" t="s">
        <v>558</v>
      </c>
      <c r="X91" s="624"/>
      <c r="Y91" s="624"/>
      <c r="Z91" s="625"/>
      <c r="AA91" s="611" t="s">
        <v>559</v>
      </c>
      <c r="AB91" s="156"/>
      <c r="AC91" s="156"/>
      <c r="AD91" s="613"/>
      <c r="AE91" s="128">
        <v>56</v>
      </c>
      <c r="AF91" s="156"/>
      <c r="AG91" s="156" t="s">
        <v>28</v>
      </c>
      <c r="AH91" s="613"/>
      <c r="AI91" s="489"/>
    </row>
    <row r="92" spans="1:35" ht="21.95" customHeight="1" x14ac:dyDescent="0.2">
      <c r="A92" s="1"/>
      <c r="B92" s="129" t="s">
        <v>325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/>
      <c r="L92" s="156" t="s">
        <v>167</v>
      </c>
      <c r="M92" s="156"/>
      <c r="N92" s="612"/>
      <c r="O92" s="611"/>
      <c r="P92" s="156" t="s">
        <v>167</v>
      </c>
      <c r="Q92" s="156"/>
      <c r="R92" s="612"/>
      <c r="S92" s="611"/>
      <c r="T92" s="156" t="s">
        <v>167</v>
      </c>
      <c r="U92" s="156"/>
      <c r="V92" s="612"/>
      <c r="W92" s="611"/>
      <c r="X92" s="156" t="s">
        <v>167</v>
      </c>
      <c r="Y92" s="156"/>
      <c r="Z92" s="612"/>
      <c r="AA92" s="156" t="s">
        <v>167</v>
      </c>
      <c r="AB92" s="156"/>
      <c r="AC92" s="156"/>
      <c r="AD92" s="613"/>
      <c r="AE92" s="128">
        <v>0</v>
      </c>
      <c r="AF92" s="156"/>
      <c r="AG92" s="156"/>
      <c r="AH92" s="613"/>
      <c r="AI92" s="489"/>
    </row>
    <row r="93" spans="1:35" ht="21.95" customHeight="1" x14ac:dyDescent="0.2">
      <c r="A93" s="1"/>
      <c r="B93" s="129" t="s">
        <v>326</v>
      </c>
      <c r="C93" s="611" t="s">
        <v>557</v>
      </c>
      <c r="D93" s="156"/>
      <c r="E93" s="156"/>
      <c r="F93" s="612"/>
      <c r="G93" s="611" t="s">
        <v>557</v>
      </c>
      <c r="H93" s="156"/>
      <c r="I93" s="156"/>
      <c r="J93" s="612"/>
      <c r="K93" s="121"/>
      <c r="L93" s="156" t="s">
        <v>167</v>
      </c>
      <c r="M93" s="156"/>
      <c r="N93" s="612"/>
      <c r="O93" s="121"/>
      <c r="P93" s="156" t="s">
        <v>167</v>
      </c>
      <c r="Q93" s="156"/>
      <c r="R93" s="612"/>
      <c r="S93" s="121"/>
      <c r="T93" s="156" t="s">
        <v>167</v>
      </c>
      <c r="U93" s="156"/>
      <c r="V93" s="612"/>
      <c r="W93" s="626" t="s">
        <v>560</v>
      </c>
      <c r="X93" s="134"/>
      <c r="Y93" s="134"/>
      <c r="Z93" s="627"/>
      <c r="AA93" s="626" t="s">
        <v>561</v>
      </c>
      <c r="AB93" s="134"/>
      <c r="AC93" s="134"/>
      <c r="AD93" s="628"/>
      <c r="AE93" s="128">
        <v>46</v>
      </c>
      <c r="AF93" s="156"/>
      <c r="AG93" s="156"/>
      <c r="AH93" s="613"/>
      <c r="AI93" s="489"/>
    </row>
    <row r="94" spans="1:35" ht="21.95" customHeight="1" x14ac:dyDescent="0.2">
      <c r="A94" s="1"/>
      <c r="B94" s="16" t="s">
        <v>236</v>
      </c>
      <c r="C94" s="618" t="s">
        <v>420</v>
      </c>
      <c r="D94" s="53"/>
      <c r="E94" s="53"/>
      <c r="F94" s="619"/>
      <c r="G94" s="618" t="s">
        <v>421</v>
      </c>
      <c r="H94" s="53"/>
      <c r="I94" s="53"/>
      <c r="J94" s="619"/>
      <c r="K94" s="618" t="s">
        <v>421</v>
      </c>
      <c r="L94" s="53"/>
      <c r="M94" s="53"/>
      <c r="N94" s="619"/>
      <c r="O94" s="618" t="s">
        <v>421</v>
      </c>
      <c r="P94" s="53"/>
      <c r="Q94" s="53"/>
      <c r="R94" s="619"/>
      <c r="S94" s="618" t="s">
        <v>422</v>
      </c>
      <c r="T94" s="53"/>
      <c r="U94" s="53"/>
      <c r="V94" s="620"/>
      <c r="W94" s="57"/>
      <c r="X94" s="620" t="s">
        <v>167</v>
      </c>
      <c r="Y94" s="53"/>
      <c r="Z94" s="619"/>
      <c r="AA94" s="57"/>
      <c r="AB94" s="620" t="s">
        <v>167</v>
      </c>
      <c r="AC94" s="53"/>
      <c r="AD94" s="619"/>
      <c r="AE94" s="629">
        <v>37.5</v>
      </c>
      <c r="AF94" s="53"/>
      <c r="AG94" s="53"/>
      <c r="AH94" s="620"/>
      <c r="AI94" s="544"/>
    </row>
    <row r="95" spans="1:35" ht="21.95" customHeight="1" x14ac:dyDescent="0.2">
      <c r="A95" s="621"/>
      <c r="B95" s="1"/>
      <c r="C95" s="360"/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585"/>
      <c r="B96" s="296" t="s">
        <v>469</v>
      </c>
      <c r="C96" s="497">
        <v>1</v>
      </c>
      <c r="D96" s="177">
        <v>2</v>
      </c>
      <c r="E96" s="177">
        <v>3</v>
      </c>
      <c r="F96" s="177">
        <v>4</v>
      </c>
      <c r="G96" s="497">
        <v>5</v>
      </c>
      <c r="H96" s="497">
        <v>6</v>
      </c>
      <c r="I96" s="497">
        <v>7</v>
      </c>
      <c r="J96" s="497">
        <v>8</v>
      </c>
      <c r="K96" s="497">
        <v>9</v>
      </c>
      <c r="L96" s="177">
        <v>10</v>
      </c>
      <c r="M96" s="177">
        <v>11</v>
      </c>
      <c r="N96" s="177">
        <v>12</v>
      </c>
      <c r="O96" s="177">
        <v>13</v>
      </c>
      <c r="P96" s="497">
        <v>14</v>
      </c>
      <c r="Q96" s="497">
        <v>15</v>
      </c>
      <c r="R96" s="177">
        <v>16</v>
      </c>
      <c r="S96" s="177">
        <v>17</v>
      </c>
      <c r="T96" s="177">
        <v>18</v>
      </c>
      <c r="U96" s="177">
        <v>19</v>
      </c>
      <c r="V96" s="177">
        <v>20</v>
      </c>
      <c r="W96" s="497">
        <v>21</v>
      </c>
      <c r="X96" s="497">
        <v>22</v>
      </c>
      <c r="Y96" s="177">
        <v>23</v>
      </c>
      <c r="Z96" s="177">
        <v>24</v>
      </c>
      <c r="AA96" s="177">
        <v>25</v>
      </c>
      <c r="AB96" s="177">
        <v>26</v>
      </c>
      <c r="AC96" s="177">
        <v>27</v>
      </c>
      <c r="AD96" s="497">
        <v>28</v>
      </c>
      <c r="AE96" s="497">
        <v>29</v>
      </c>
      <c r="AF96" s="177">
        <v>30</v>
      </c>
      <c r="AG96" s="177"/>
      <c r="AH96" s="499" t="s">
        <v>470</v>
      </c>
      <c r="AI96" s="500" t="s">
        <v>471</v>
      </c>
    </row>
    <row r="97" spans="1:35" ht="21.95" customHeight="1" x14ac:dyDescent="0.2">
      <c r="A97" s="622">
        <v>1</v>
      </c>
      <c r="B97" s="318" t="s">
        <v>562</v>
      </c>
      <c r="C97" s="587" t="s">
        <v>475</v>
      </c>
      <c r="D97" s="587" t="s">
        <v>522</v>
      </c>
      <c r="E97" s="587" t="s">
        <v>522</v>
      </c>
      <c r="F97" s="587" t="s">
        <v>475</v>
      </c>
      <c r="G97" s="587" t="s">
        <v>475</v>
      </c>
      <c r="H97" s="587" t="s">
        <v>475</v>
      </c>
      <c r="I97" s="587" t="s">
        <v>563</v>
      </c>
      <c r="J97" s="587" t="s">
        <v>564</v>
      </c>
      <c r="K97" s="588" t="s">
        <v>566</v>
      </c>
      <c r="L97" s="587" t="s">
        <v>566</v>
      </c>
      <c r="M97" s="587" t="s">
        <v>566</v>
      </c>
      <c r="N97" s="587" t="s">
        <v>522</v>
      </c>
      <c r="O97" s="587" t="s">
        <v>475</v>
      </c>
      <c r="P97" s="587" t="s">
        <v>475</v>
      </c>
      <c r="Q97" s="587" t="s">
        <v>475</v>
      </c>
      <c r="R97" s="587" t="s">
        <v>475</v>
      </c>
      <c r="S97" s="587" t="s">
        <v>475</v>
      </c>
      <c r="T97" s="587" t="s">
        <v>522</v>
      </c>
      <c r="U97" s="587" t="s">
        <v>522</v>
      </c>
      <c r="V97" s="587" t="s">
        <v>522</v>
      </c>
      <c r="W97" s="587" t="s">
        <v>568</v>
      </c>
      <c r="X97" s="587" t="s">
        <v>569</v>
      </c>
      <c r="Y97" s="587" t="s">
        <v>475</v>
      </c>
      <c r="Z97" s="587" t="s">
        <v>475</v>
      </c>
      <c r="AA97" s="587" t="s">
        <v>475</v>
      </c>
      <c r="AB97" s="587" t="s">
        <v>475</v>
      </c>
      <c r="AC97" s="587" t="s">
        <v>475</v>
      </c>
      <c r="AD97" s="587" t="s">
        <v>475</v>
      </c>
      <c r="AE97" s="587" t="s">
        <v>475</v>
      </c>
      <c r="AF97" s="587" t="s">
        <v>522</v>
      </c>
      <c r="AG97" s="587"/>
      <c r="AH97" s="505">
        <v>0</v>
      </c>
      <c r="AI97" s="506">
        <v>0</v>
      </c>
    </row>
    <row r="98" spans="1:35" ht="21.95" customHeight="1" x14ac:dyDescent="0.2">
      <c r="A98" s="622">
        <v>2</v>
      </c>
      <c r="B98" s="318" t="s">
        <v>570</v>
      </c>
      <c r="C98" s="587" t="s">
        <v>564</v>
      </c>
      <c r="D98" s="553">
        <v>11</v>
      </c>
      <c r="E98" s="553">
        <v>11</v>
      </c>
      <c r="F98" s="553" t="s">
        <v>475</v>
      </c>
      <c r="G98" s="588" t="s">
        <v>566</v>
      </c>
      <c r="H98" s="588" t="s">
        <v>566</v>
      </c>
      <c r="I98" s="587" t="s">
        <v>475</v>
      </c>
      <c r="J98" s="588" t="s">
        <v>475</v>
      </c>
      <c r="K98" s="587" t="s">
        <v>475</v>
      </c>
      <c r="L98" s="587" t="s">
        <v>475</v>
      </c>
      <c r="M98" s="1516" t="s">
        <v>522</v>
      </c>
      <c r="N98" s="1516" t="s">
        <v>571</v>
      </c>
      <c r="O98" s="587" t="s">
        <v>522</v>
      </c>
      <c r="P98" s="587" t="s">
        <v>568</v>
      </c>
      <c r="Q98" s="587" t="s">
        <v>569</v>
      </c>
      <c r="R98" s="587" t="s">
        <v>475</v>
      </c>
      <c r="S98" s="587" t="s">
        <v>475</v>
      </c>
      <c r="T98" s="587" t="s">
        <v>475</v>
      </c>
      <c r="U98" s="587" t="s">
        <v>475</v>
      </c>
      <c r="V98" s="587" t="s">
        <v>475</v>
      </c>
      <c r="W98" s="587" t="s">
        <v>475</v>
      </c>
      <c r="X98" s="553" t="s">
        <v>475</v>
      </c>
      <c r="Y98" s="553" t="s">
        <v>522</v>
      </c>
      <c r="Z98" s="553" t="s">
        <v>522</v>
      </c>
      <c r="AA98" s="553" t="s">
        <v>475</v>
      </c>
      <c r="AB98" s="553" t="s">
        <v>475</v>
      </c>
      <c r="AC98" s="587" t="s">
        <v>475</v>
      </c>
      <c r="AD98" s="588" t="s">
        <v>563</v>
      </c>
      <c r="AE98" s="587" t="s">
        <v>564</v>
      </c>
      <c r="AF98" s="1524" t="s">
        <v>565</v>
      </c>
      <c r="AG98" s="588"/>
      <c r="AH98" s="505">
        <v>0</v>
      </c>
      <c r="AI98" s="1701">
        <v>5</v>
      </c>
    </row>
    <row r="99" spans="1:35" ht="21.95" customHeight="1" thickBot="1" x14ac:dyDescent="0.25">
      <c r="A99" s="622">
        <v>3</v>
      </c>
      <c r="B99" s="552" t="s">
        <v>572</v>
      </c>
      <c r="C99" s="588" t="s">
        <v>569</v>
      </c>
      <c r="D99" s="587" t="s">
        <v>475</v>
      </c>
      <c r="E99" s="587" t="s">
        <v>475</v>
      </c>
      <c r="F99" s="587" t="s">
        <v>475</v>
      </c>
      <c r="G99" s="587" t="s">
        <v>475</v>
      </c>
      <c r="H99" s="587" t="s">
        <v>475</v>
      </c>
      <c r="I99" s="587" t="s">
        <v>475</v>
      </c>
      <c r="J99" s="588" t="s">
        <v>475</v>
      </c>
      <c r="K99" s="587" t="s">
        <v>522</v>
      </c>
      <c r="L99" s="587" t="s">
        <v>522</v>
      </c>
      <c r="M99" s="587" t="s">
        <v>475</v>
      </c>
      <c r="N99" s="587" t="s">
        <v>475</v>
      </c>
      <c r="O99" s="587" t="s">
        <v>475</v>
      </c>
      <c r="P99" s="588" t="s">
        <v>563</v>
      </c>
      <c r="Q99" s="587" t="s">
        <v>564</v>
      </c>
      <c r="R99" s="1060" t="s">
        <v>565</v>
      </c>
      <c r="S99" s="1060" t="s">
        <v>566</v>
      </c>
      <c r="T99" s="1060" t="s">
        <v>566</v>
      </c>
      <c r="U99" s="1075" t="s">
        <v>566</v>
      </c>
      <c r="V99" s="1060" t="s">
        <v>567</v>
      </c>
      <c r="W99" s="1060" t="s">
        <v>475</v>
      </c>
      <c r="X99" s="1060" t="s">
        <v>475</v>
      </c>
      <c r="Y99" s="587" t="s">
        <v>475</v>
      </c>
      <c r="Z99" s="587" t="s">
        <v>475</v>
      </c>
      <c r="AA99" s="1524" t="s">
        <v>522</v>
      </c>
      <c r="AB99" s="588" t="s">
        <v>522</v>
      </c>
      <c r="AC99" s="587" t="s">
        <v>522</v>
      </c>
      <c r="AD99" s="587" t="s">
        <v>568</v>
      </c>
      <c r="AE99" s="588" t="s">
        <v>569</v>
      </c>
      <c r="AF99" s="587" t="s">
        <v>475</v>
      </c>
      <c r="AG99" s="588"/>
      <c r="AH99" s="651">
        <v>0</v>
      </c>
      <c r="AI99" s="523">
        <v>0</v>
      </c>
    </row>
    <row r="100" spans="1:35" ht="21.95" customHeight="1" thickBot="1" x14ac:dyDescent="0.25">
      <c r="A100" s="622">
        <v>4</v>
      </c>
      <c r="B100" s="552" t="s">
        <v>573</v>
      </c>
      <c r="C100" s="587" t="s">
        <v>475</v>
      </c>
      <c r="D100" s="587" t="s">
        <v>475</v>
      </c>
      <c r="E100" s="587" t="s">
        <v>475</v>
      </c>
      <c r="F100" s="587" t="s">
        <v>522</v>
      </c>
      <c r="G100" s="588" t="s">
        <v>522</v>
      </c>
      <c r="H100" s="587" t="s">
        <v>522</v>
      </c>
      <c r="I100" s="587" t="s">
        <v>568</v>
      </c>
      <c r="J100" s="588" t="s">
        <v>569</v>
      </c>
      <c r="K100" s="587" t="s">
        <v>475</v>
      </c>
      <c r="L100" s="587" t="s">
        <v>475</v>
      </c>
      <c r="M100" s="587" t="s">
        <v>475</v>
      </c>
      <c r="N100" s="587" t="s">
        <v>475</v>
      </c>
      <c r="O100" s="587" t="s">
        <v>475</v>
      </c>
      <c r="P100" s="587" t="s">
        <v>475</v>
      </c>
      <c r="Q100" s="587" t="s">
        <v>475</v>
      </c>
      <c r="R100" s="587" t="s">
        <v>522</v>
      </c>
      <c r="S100" s="587" t="s">
        <v>522</v>
      </c>
      <c r="T100" s="587" t="s">
        <v>475</v>
      </c>
      <c r="U100" s="587" t="s">
        <v>475</v>
      </c>
      <c r="V100" s="587" t="s">
        <v>475</v>
      </c>
      <c r="W100" s="588" t="s">
        <v>563</v>
      </c>
      <c r="X100" s="587" t="s">
        <v>564</v>
      </c>
      <c r="Y100" s="1550" t="s">
        <v>565</v>
      </c>
      <c r="Z100" s="1708" t="s">
        <v>566</v>
      </c>
      <c r="AA100" s="1708" t="s">
        <v>566</v>
      </c>
      <c r="AB100" s="1708" t="s">
        <v>566</v>
      </c>
      <c r="AC100" s="1550" t="s">
        <v>567</v>
      </c>
      <c r="AD100" s="587" t="s">
        <v>475</v>
      </c>
      <c r="AE100" s="587" t="s">
        <v>475</v>
      </c>
      <c r="AF100" s="587" t="s">
        <v>475</v>
      </c>
      <c r="AG100" s="588"/>
      <c r="AH100" s="651">
        <v>0</v>
      </c>
      <c r="AI100" s="1702">
        <v>5</v>
      </c>
    </row>
    <row r="101" spans="1:35" ht="21.95" customHeight="1" x14ac:dyDescent="0.2">
      <c r="A101" s="623"/>
      <c r="B101" s="630"/>
      <c r="C101" s="590"/>
      <c r="D101" s="590"/>
      <c r="E101" s="590"/>
      <c r="F101" s="590"/>
      <c r="G101" s="590"/>
      <c r="H101" s="590"/>
      <c r="I101" s="590"/>
      <c r="J101" s="590"/>
      <c r="K101" s="590"/>
      <c r="L101" s="590"/>
      <c r="M101" s="590"/>
      <c r="N101" s="590"/>
      <c r="O101" s="590"/>
      <c r="P101" s="590"/>
      <c r="Q101" s="590"/>
      <c r="R101" s="590"/>
      <c r="S101" s="590"/>
      <c r="T101" s="590"/>
      <c r="U101" s="590"/>
      <c r="V101" s="590"/>
      <c r="W101" s="590"/>
      <c r="X101" s="590"/>
      <c r="Y101" s="590"/>
      <c r="Z101" s="590"/>
      <c r="AA101" s="590"/>
      <c r="AB101" s="590"/>
      <c r="AC101" s="590"/>
      <c r="AD101" s="590"/>
      <c r="AE101" s="590"/>
      <c r="AF101" s="590"/>
      <c r="AG101" s="590"/>
      <c r="AH101" s="591"/>
      <c r="AI101" s="591"/>
    </row>
    <row r="102" spans="1:35" ht="21.95" customHeight="1" x14ac:dyDescent="0.2">
      <c r="A102" s="1" t="s">
        <v>574</v>
      </c>
      <c r="D102" s="360"/>
      <c r="E102" s="360"/>
      <c r="F102" s="360"/>
      <c r="G102" s="57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</row>
    <row r="103" spans="1:35" ht="21.95" customHeight="1" x14ac:dyDescent="0.2">
      <c r="A103" s="1"/>
      <c r="B103" s="23" t="s">
        <v>556</v>
      </c>
      <c r="C103" s="7"/>
      <c r="D103" s="530" t="s">
        <v>2</v>
      </c>
      <c r="E103" s="51"/>
      <c r="F103" s="573"/>
      <c r="G103" s="7"/>
      <c r="H103" s="530" t="s">
        <v>3</v>
      </c>
      <c r="I103" s="51"/>
      <c r="J103" s="573"/>
      <c r="K103" s="7"/>
      <c r="L103" s="530" t="s">
        <v>4</v>
      </c>
      <c r="M103" s="51"/>
      <c r="N103" s="573"/>
      <c r="O103" s="7"/>
      <c r="P103" s="530" t="s">
        <v>5</v>
      </c>
      <c r="Q103" s="51"/>
      <c r="R103" s="573"/>
      <c r="S103" s="7"/>
      <c r="T103" s="530" t="s">
        <v>6</v>
      </c>
      <c r="U103" s="51"/>
      <c r="V103" s="573"/>
      <c r="W103" s="7"/>
      <c r="X103" s="530" t="s">
        <v>7</v>
      </c>
      <c r="Y103" s="51"/>
      <c r="Z103" s="573"/>
      <c r="AA103" s="7"/>
      <c r="AB103" s="530" t="s">
        <v>8</v>
      </c>
      <c r="AC103" s="51"/>
      <c r="AD103" s="51"/>
      <c r="AE103" s="424" t="s">
        <v>10</v>
      </c>
      <c r="AF103" s="51"/>
      <c r="AG103" s="51"/>
      <c r="AH103" s="51"/>
      <c r="AI103" s="531"/>
    </row>
    <row r="104" spans="1:35" ht="21.95" customHeight="1" x14ac:dyDescent="0.2">
      <c r="A104" s="1"/>
      <c r="B104" s="129" t="s">
        <v>324</v>
      </c>
      <c r="C104" s="121" t="s">
        <v>167</v>
      </c>
      <c r="D104" s="156"/>
      <c r="E104" s="156"/>
      <c r="F104" s="612"/>
      <c r="G104" s="121" t="s">
        <v>709</v>
      </c>
      <c r="H104" s="156"/>
      <c r="I104" s="156"/>
      <c r="J104" s="612"/>
      <c r="K104" s="121" t="s">
        <v>709</v>
      </c>
      <c r="L104" s="156"/>
      <c r="M104" s="156"/>
      <c r="N104" s="612"/>
      <c r="O104" s="121" t="s">
        <v>709</v>
      </c>
      <c r="P104" s="156"/>
      <c r="Q104" s="156"/>
      <c r="R104" s="612"/>
      <c r="S104" s="121" t="s">
        <v>697</v>
      </c>
      <c r="T104" s="156"/>
      <c r="U104" s="156"/>
      <c r="V104" s="612"/>
      <c r="W104" s="1724" t="s">
        <v>579</v>
      </c>
      <c r="X104" s="624"/>
      <c r="Y104" s="624"/>
      <c r="Z104" s="625"/>
      <c r="AA104" s="611"/>
      <c r="AB104" s="156"/>
      <c r="AC104" s="156"/>
      <c r="AD104" s="613"/>
      <c r="AE104" s="128"/>
      <c r="AF104" s="156"/>
      <c r="AG104" s="156" t="s">
        <v>28</v>
      </c>
      <c r="AH104" s="613"/>
      <c r="AI104" s="489"/>
    </row>
    <row r="105" spans="1:35" ht="21.95" customHeight="1" x14ac:dyDescent="0.2">
      <c r="A105" s="1"/>
      <c r="B105" s="129" t="s">
        <v>325</v>
      </c>
      <c r="C105" s="121" t="s">
        <v>710</v>
      </c>
      <c r="D105" s="156"/>
      <c r="E105" s="156"/>
      <c r="F105" s="612"/>
      <c r="G105" s="121" t="s">
        <v>711</v>
      </c>
      <c r="H105" s="156"/>
      <c r="I105" s="156"/>
      <c r="J105" s="612"/>
      <c r="K105" s="121" t="s">
        <v>711</v>
      </c>
      <c r="L105" s="156"/>
      <c r="M105" s="156"/>
      <c r="N105" s="612"/>
      <c r="O105" s="121" t="s">
        <v>711</v>
      </c>
      <c r="P105" s="156"/>
      <c r="Q105" s="156"/>
      <c r="R105" s="612"/>
      <c r="S105" s="121" t="s">
        <v>167</v>
      </c>
      <c r="T105" s="156"/>
      <c r="U105" s="156"/>
      <c r="V105" s="612"/>
      <c r="W105" s="121"/>
      <c r="X105" s="156"/>
      <c r="Y105" s="156"/>
      <c r="Z105" s="612"/>
      <c r="AA105" s="156"/>
      <c r="AB105" s="156"/>
      <c r="AC105" s="156"/>
      <c r="AD105" s="613"/>
      <c r="AE105" s="128"/>
      <c r="AF105" s="156"/>
      <c r="AG105" s="156"/>
      <c r="AH105" s="613"/>
      <c r="AI105" s="489"/>
    </row>
    <row r="106" spans="1:35" ht="21.95" customHeight="1" x14ac:dyDescent="0.2">
      <c r="A106" s="1"/>
      <c r="B106" s="129" t="s">
        <v>326</v>
      </c>
      <c r="C106" s="121" t="s">
        <v>575</v>
      </c>
      <c r="D106" s="156"/>
      <c r="E106" s="156"/>
      <c r="F106" s="612"/>
      <c r="G106" s="121" t="s">
        <v>712</v>
      </c>
      <c r="H106" s="156"/>
      <c r="I106" s="156"/>
      <c r="J106" s="612"/>
      <c r="K106" s="121" t="s">
        <v>712</v>
      </c>
      <c r="L106" s="156"/>
      <c r="M106" s="156"/>
      <c r="N106" s="612"/>
      <c r="O106" s="121" t="s">
        <v>712</v>
      </c>
      <c r="P106" s="156"/>
      <c r="Q106" s="156"/>
      <c r="R106" s="612"/>
      <c r="S106" s="121" t="s">
        <v>713</v>
      </c>
      <c r="T106" s="156"/>
      <c r="U106" s="156"/>
      <c r="V106" s="612"/>
      <c r="W106" s="631" t="s">
        <v>579</v>
      </c>
      <c r="X106" s="134"/>
      <c r="Y106" s="134"/>
      <c r="Z106" s="627"/>
      <c r="AA106" s="626"/>
      <c r="AB106" s="134"/>
      <c r="AC106" s="134"/>
      <c r="AD106" s="628"/>
      <c r="AE106" s="128"/>
      <c r="AF106" s="156"/>
      <c r="AG106" s="156"/>
      <c r="AH106" s="613"/>
      <c r="AI106" s="489"/>
    </row>
    <row r="107" spans="1:35" ht="21.95" customHeight="1" thickBot="1" x14ac:dyDescent="0.25">
      <c r="A107" s="1"/>
      <c r="B107" s="16" t="s">
        <v>236</v>
      </c>
      <c r="C107" s="57" t="s">
        <v>714</v>
      </c>
      <c r="D107" s="53"/>
      <c r="E107" s="53"/>
      <c r="F107" s="619"/>
      <c r="G107" s="57" t="s">
        <v>714</v>
      </c>
      <c r="H107" s="53"/>
      <c r="I107" s="53"/>
      <c r="J107" s="619"/>
      <c r="K107" s="57" t="s">
        <v>714</v>
      </c>
      <c r="L107" s="53"/>
      <c r="M107" s="53"/>
      <c r="N107" s="619"/>
      <c r="O107" s="57" t="s">
        <v>714</v>
      </c>
      <c r="P107" s="53"/>
      <c r="Q107" s="53"/>
      <c r="R107" s="619"/>
      <c r="S107" s="57" t="s">
        <v>715</v>
      </c>
      <c r="T107" s="53"/>
      <c r="U107" s="53"/>
      <c r="V107" s="620"/>
      <c r="W107" s="57"/>
      <c r="X107" s="620"/>
      <c r="Y107" s="53"/>
      <c r="Z107" s="619"/>
      <c r="AA107" s="57"/>
      <c r="AB107" s="620"/>
      <c r="AC107" s="53"/>
      <c r="AD107" s="619"/>
      <c r="AE107" s="629"/>
      <c r="AF107" s="53"/>
      <c r="AG107" s="53"/>
      <c r="AH107" s="620"/>
      <c r="AI107" s="544"/>
    </row>
    <row r="108" spans="1:35" ht="21.95" customHeight="1" x14ac:dyDescent="0.2">
      <c r="A108" s="621"/>
      <c r="B108" s="1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585"/>
      <c r="B109" s="296" t="s">
        <v>469</v>
      </c>
      <c r="C109" s="497">
        <v>1</v>
      </c>
      <c r="D109" s="177">
        <v>2</v>
      </c>
      <c r="E109" s="177">
        <v>3</v>
      </c>
      <c r="F109" s="177">
        <v>4</v>
      </c>
      <c r="G109" s="497">
        <v>5</v>
      </c>
      <c r="H109" s="497">
        <v>6</v>
      </c>
      <c r="I109" s="497">
        <v>7</v>
      </c>
      <c r="J109" s="497">
        <v>8</v>
      </c>
      <c r="K109" s="497">
        <v>9</v>
      </c>
      <c r="L109" s="177">
        <v>10</v>
      </c>
      <c r="M109" s="177">
        <v>11</v>
      </c>
      <c r="N109" s="177">
        <v>12</v>
      </c>
      <c r="O109" s="177">
        <v>13</v>
      </c>
      <c r="P109" s="497">
        <v>14</v>
      </c>
      <c r="Q109" s="497">
        <v>15</v>
      </c>
      <c r="R109" s="177">
        <v>16</v>
      </c>
      <c r="S109" s="177">
        <v>17</v>
      </c>
      <c r="T109" s="177">
        <v>18</v>
      </c>
      <c r="U109" s="177">
        <v>19</v>
      </c>
      <c r="V109" s="177">
        <v>20</v>
      </c>
      <c r="W109" s="497">
        <v>21</v>
      </c>
      <c r="X109" s="497">
        <v>22</v>
      </c>
      <c r="Y109" s="177">
        <v>23</v>
      </c>
      <c r="Z109" s="177">
        <v>24</v>
      </c>
      <c r="AA109" s="177">
        <v>25</v>
      </c>
      <c r="AB109" s="177">
        <v>26</v>
      </c>
      <c r="AC109" s="177">
        <v>27</v>
      </c>
      <c r="AD109" s="497">
        <v>28</v>
      </c>
      <c r="AE109" s="497">
        <v>29</v>
      </c>
      <c r="AF109" s="177">
        <v>30</v>
      </c>
      <c r="AG109" s="177"/>
      <c r="AH109" s="499" t="s">
        <v>470</v>
      </c>
      <c r="AI109" s="500" t="s">
        <v>471</v>
      </c>
    </row>
    <row r="110" spans="1:35" ht="21.95" customHeight="1" x14ac:dyDescent="0.2">
      <c r="A110" s="622">
        <v>1</v>
      </c>
      <c r="B110" s="552" t="s">
        <v>530</v>
      </c>
      <c r="C110" s="587"/>
      <c r="D110" s="553">
        <v>3</v>
      </c>
      <c r="E110" s="553">
        <v>3</v>
      </c>
      <c r="F110" s="553">
        <v>3</v>
      </c>
      <c r="G110" s="553">
        <v>3</v>
      </c>
      <c r="H110" s="553">
        <v>3</v>
      </c>
      <c r="I110" s="553">
        <v>3</v>
      </c>
      <c r="J110" s="553"/>
      <c r="K110" s="1064">
        <v>4</v>
      </c>
      <c r="L110" s="1064">
        <v>4</v>
      </c>
      <c r="M110" s="1064">
        <v>4</v>
      </c>
      <c r="N110" s="1064">
        <v>4</v>
      </c>
      <c r="O110" s="1064">
        <v>4</v>
      </c>
      <c r="P110" s="1064"/>
      <c r="Q110" s="1060"/>
      <c r="R110" s="587" t="s">
        <v>475</v>
      </c>
      <c r="S110" s="1113">
        <v>1</v>
      </c>
      <c r="T110" s="553">
        <v>1</v>
      </c>
      <c r="U110" s="553">
        <v>1</v>
      </c>
      <c r="V110" s="553">
        <v>1</v>
      </c>
      <c r="W110" s="553">
        <v>1</v>
      </c>
      <c r="X110" s="553"/>
      <c r="Y110" s="553">
        <v>2</v>
      </c>
      <c r="Z110" s="1087" t="s">
        <v>531</v>
      </c>
      <c r="AA110" s="1087" t="s">
        <v>531</v>
      </c>
      <c r="AB110" s="553">
        <v>2</v>
      </c>
      <c r="AC110" s="553" t="s">
        <v>475</v>
      </c>
      <c r="AD110" s="553"/>
      <c r="AE110" s="587"/>
      <c r="AF110" s="1709">
        <v>3</v>
      </c>
      <c r="AG110" s="587"/>
      <c r="AH110" s="505">
        <v>0</v>
      </c>
      <c r="AI110" s="1701">
        <v>0</v>
      </c>
    </row>
    <row r="111" spans="1:35" ht="21.95" customHeight="1" x14ac:dyDescent="0.2">
      <c r="A111" s="622">
        <v>2</v>
      </c>
      <c r="B111" s="318" t="s">
        <v>583</v>
      </c>
      <c r="C111" s="553"/>
      <c r="D111" s="1535">
        <v>4</v>
      </c>
      <c r="E111" s="1535">
        <v>4</v>
      </c>
      <c r="F111" s="1535">
        <v>4</v>
      </c>
      <c r="G111" s="553">
        <v>4</v>
      </c>
      <c r="H111" s="553">
        <v>4</v>
      </c>
      <c r="I111" s="553"/>
      <c r="J111" s="587"/>
      <c r="K111" s="587" t="s">
        <v>475</v>
      </c>
      <c r="L111" s="553">
        <v>1</v>
      </c>
      <c r="M111" s="553">
        <v>1</v>
      </c>
      <c r="N111" s="553">
        <v>1</v>
      </c>
      <c r="O111" s="553">
        <v>1</v>
      </c>
      <c r="P111" s="553">
        <v>1</v>
      </c>
      <c r="Q111" s="553"/>
      <c r="R111" s="553">
        <v>2</v>
      </c>
      <c r="S111" s="553">
        <v>2</v>
      </c>
      <c r="T111" s="1515">
        <v>2</v>
      </c>
      <c r="U111" s="1515">
        <v>2</v>
      </c>
      <c r="V111" s="1515" t="s">
        <v>475</v>
      </c>
      <c r="W111" s="1515"/>
      <c r="X111" s="1516"/>
      <c r="Y111" s="1515">
        <v>3</v>
      </c>
      <c r="Z111" s="1515">
        <v>3</v>
      </c>
      <c r="AA111" s="1515">
        <v>3</v>
      </c>
      <c r="AB111" s="1515">
        <v>3</v>
      </c>
      <c r="AC111" s="1515">
        <v>3</v>
      </c>
      <c r="AD111" s="553">
        <v>3</v>
      </c>
      <c r="AE111" s="553"/>
      <c r="AF111" s="1515">
        <v>4</v>
      </c>
      <c r="AG111" s="587"/>
      <c r="AH111" s="505">
        <v>0</v>
      </c>
      <c r="AI111" s="506">
        <v>0</v>
      </c>
    </row>
    <row r="112" spans="1:35" ht="21.95" customHeight="1" x14ac:dyDescent="0.2">
      <c r="A112" s="622">
        <v>3</v>
      </c>
      <c r="B112" s="552" t="s">
        <v>584</v>
      </c>
      <c r="C112" s="587"/>
      <c r="D112" s="587" t="s">
        <v>475</v>
      </c>
      <c r="E112" s="553">
        <v>1</v>
      </c>
      <c r="F112" s="553">
        <v>1</v>
      </c>
      <c r="G112" s="553">
        <v>1</v>
      </c>
      <c r="H112" s="553">
        <v>1</v>
      </c>
      <c r="I112" s="553">
        <v>1</v>
      </c>
      <c r="J112" s="587"/>
      <c r="K112" s="553">
        <v>2</v>
      </c>
      <c r="L112" s="553">
        <v>2</v>
      </c>
      <c r="M112" s="553">
        <v>2</v>
      </c>
      <c r="N112" s="553">
        <v>2</v>
      </c>
      <c r="O112" s="587" t="s">
        <v>475</v>
      </c>
      <c r="P112" s="587"/>
      <c r="Q112" s="587"/>
      <c r="R112" s="553">
        <v>3</v>
      </c>
      <c r="S112" s="553">
        <v>3</v>
      </c>
      <c r="T112" s="553">
        <v>3</v>
      </c>
      <c r="U112" s="553">
        <v>3</v>
      </c>
      <c r="V112" s="553">
        <v>3</v>
      </c>
      <c r="W112" s="553">
        <v>3</v>
      </c>
      <c r="X112" s="587"/>
      <c r="Y112" s="553">
        <v>4</v>
      </c>
      <c r="Z112" s="553">
        <v>4</v>
      </c>
      <c r="AA112" s="553">
        <v>4</v>
      </c>
      <c r="AB112" s="553">
        <v>4</v>
      </c>
      <c r="AC112" s="553">
        <v>4</v>
      </c>
      <c r="AD112" s="587"/>
      <c r="AE112" s="587"/>
      <c r="AF112" s="587" t="s">
        <v>475</v>
      </c>
      <c r="AG112" s="587"/>
      <c r="AH112" s="505">
        <v>0</v>
      </c>
      <c r="AI112" s="1701">
        <v>10</v>
      </c>
    </row>
    <row r="113" spans="1:40" ht="21.95" customHeight="1" thickBot="1" x14ac:dyDescent="0.25">
      <c r="A113" s="622">
        <v>4</v>
      </c>
      <c r="B113" s="552" t="s">
        <v>289</v>
      </c>
      <c r="C113" s="587"/>
      <c r="D113" s="553">
        <v>2</v>
      </c>
      <c r="E113" s="553">
        <v>2</v>
      </c>
      <c r="F113" s="1687">
        <v>2</v>
      </c>
      <c r="G113" s="553">
        <v>2</v>
      </c>
      <c r="H113" s="587" t="s">
        <v>475</v>
      </c>
      <c r="I113" s="587"/>
      <c r="J113" s="553"/>
      <c r="K113" s="553">
        <v>3</v>
      </c>
      <c r="L113" s="553">
        <v>3</v>
      </c>
      <c r="M113" s="553">
        <v>3</v>
      </c>
      <c r="N113" s="553">
        <v>3</v>
      </c>
      <c r="O113" s="1642">
        <v>3</v>
      </c>
      <c r="P113" s="1642">
        <v>3</v>
      </c>
      <c r="Q113" s="587"/>
      <c r="R113" s="553">
        <v>4</v>
      </c>
      <c r="S113" s="553">
        <v>4</v>
      </c>
      <c r="T113" s="553">
        <v>4</v>
      </c>
      <c r="U113" s="553">
        <v>4</v>
      </c>
      <c r="V113" s="553">
        <v>4</v>
      </c>
      <c r="W113" s="553"/>
      <c r="X113" s="587"/>
      <c r="Y113" s="587" t="s">
        <v>475</v>
      </c>
      <c r="Z113" s="553">
        <v>1</v>
      </c>
      <c r="AA113" s="553">
        <v>1</v>
      </c>
      <c r="AB113" s="553">
        <v>1</v>
      </c>
      <c r="AC113" s="553">
        <v>1</v>
      </c>
      <c r="AD113" s="553">
        <v>1</v>
      </c>
      <c r="AE113" s="587"/>
      <c r="AF113" s="553">
        <v>2</v>
      </c>
      <c r="AG113" s="587"/>
      <c r="AH113" s="717">
        <v>0</v>
      </c>
      <c r="AI113" s="1703">
        <v>4</v>
      </c>
    </row>
    <row r="114" spans="1:40" ht="21.95" customHeight="1" x14ac:dyDescent="0.2">
      <c r="A114" s="623"/>
      <c r="B114" s="630"/>
      <c r="C114" s="590"/>
      <c r="D114" s="590"/>
      <c r="E114" s="590"/>
      <c r="F114" s="590"/>
      <c r="G114" s="590"/>
      <c r="H114" s="590"/>
      <c r="I114" s="590"/>
      <c r="J114" s="590"/>
      <c r="K114" s="590"/>
      <c r="L114" s="590"/>
      <c r="M114" s="590"/>
      <c r="N114" s="590"/>
      <c r="O114" s="590"/>
      <c r="P114" s="590"/>
      <c r="Q114" s="590"/>
      <c r="R114" s="590"/>
      <c r="S114" s="590"/>
      <c r="T114" s="590"/>
      <c r="U114" s="590"/>
      <c r="V114" s="590"/>
      <c r="W114" s="590"/>
      <c r="X114" s="590"/>
      <c r="Y114" s="590"/>
      <c r="Z114" s="590"/>
      <c r="AA114" s="590"/>
      <c r="AB114" s="590"/>
      <c r="AC114" s="590"/>
      <c r="AD114" s="590"/>
      <c r="AE114" s="590"/>
      <c r="AF114" s="590"/>
      <c r="AG114" s="590"/>
      <c r="AH114" s="591"/>
      <c r="AI114" s="591"/>
    </row>
    <row r="115" spans="1:40" ht="21.95" customHeight="1" x14ac:dyDescent="0.2">
      <c r="A115" s="311" t="s">
        <v>585</v>
      </c>
      <c r="C115" s="590"/>
      <c r="D115" s="590"/>
      <c r="E115" s="590"/>
      <c r="F115" s="590"/>
      <c r="G115" s="590"/>
      <c r="H115" s="590"/>
      <c r="I115" s="590"/>
      <c r="J115" s="590"/>
      <c r="K115" s="590"/>
      <c r="L115" s="590"/>
      <c r="M115" s="590"/>
      <c r="N115" s="590"/>
      <c r="O115" s="590"/>
      <c r="P115" s="590"/>
      <c r="Q115" s="590"/>
      <c r="R115" s="590"/>
      <c r="S115" s="590"/>
      <c r="T115" s="590"/>
      <c r="U115" s="590"/>
      <c r="V115" s="590"/>
      <c r="W115" s="590"/>
      <c r="X115" s="590"/>
      <c r="Y115" s="590"/>
      <c r="Z115" s="590"/>
      <c r="AA115" s="590"/>
      <c r="AB115" s="590"/>
      <c r="AC115" s="590"/>
      <c r="AD115" s="590"/>
      <c r="AE115" s="590"/>
      <c r="AF115" s="590"/>
      <c r="AG115" s="590"/>
      <c r="AH115" s="591"/>
      <c r="AI115" s="591"/>
      <c r="AJ115" s="360"/>
    </row>
    <row r="116" spans="1:40" ht="21.95" customHeight="1" x14ac:dyDescent="0.2">
      <c r="A116" s="298" t="s">
        <v>468</v>
      </c>
      <c r="B116" s="298"/>
      <c r="C116" s="152"/>
      <c r="D116" s="298" t="s">
        <v>2</v>
      </c>
      <c r="E116" s="185"/>
      <c r="F116" s="152"/>
      <c r="G116" s="298" t="s">
        <v>3</v>
      </c>
      <c r="H116" s="185"/>
      <c r="I116" s="152"/>
      <c r="J116" s="298" t="s">
        <v>4</v>
      </c>
      <c r="K116" s="185"/>
      <c r="L116" s="152"/>
      <c r="M116" s="298" t="s">
        <v>5</v>
      </c>
      <c r="N116" s="185"/>
      <c r="O116" s="152"/>
      <c r="P116" s="298" t="s">
        <v>6</v>
      </c>
      <c r="Q116" s="185"/>
      <c r="R116" s="133"/>
      <c r="S116" s="198" t="s">
        <v>7</v>
      </c>
      <c r="T116" s="185"/>
      <c r="U116" s="152"/>
      <c r="V116" s="298" t="s">
        <v>8</v>
      </c>
      <c r="W116" s="185"/>
      <c r="X116" s="632" t="s">
        <v>10</v>
      </c>
      <c r="Y116" s="185"/>
      <c r="Z116" s="185"/>
      <c r="AA116" s="598"/>
      <c r="AB116" s="482"/>
      <c r="AC116" s="482"/>
      <c r="AD116" s="482"/>
      <c r="AE116" s="482"/>
      <c r="AF116" s="482"/>
      <c r="AG116" s="483"/>
      <c r="AH116" s="360"/>
      <c r="AI116" s="360"/>
      <c r="AJ116" s="360"/>
    </row>
    <row r="117" spans="1:40" ht="21.95" customHeight="1" x14ac:dyDescent="0.2">
      <c r="A117" s="1786">
        <v>8517</v>
      </c>
      <c r="B117" s="501" t="s">
        <v>586</v>
      </c>
      <c r="C117" s="631" t="s">
        <v>124</v>
      </c>
      <c r="D117" s="628"/>
      <c r="E117" s="633"/>
      <c r="F117" s="631" t="s">
        <v>124</v>
      </c>
      <c r="G117" s="634"/>
      <c r="H117" s="633"/>
      <c r="I117" s="121" t="s">
        <v>124</v>
      </c>
      <c r="J117" s="613"/>
      <c r="K117" s="635"/>
      <c r="L117" s="121" t="s">
        <v>124</v>
      </c>
      <c r="M117" s="613"/>
      <c r="N117" s="635"/>
      <c r="O117" s="121" t="s">
        <v>125</v>
      </c>
      <c r="P117" s="613"/>
      <c r="Q117" s="476"/>
      <c r="R117" s="636" t="s">
        <v>28</v>
      </c>
      <c r="S117" s="613"/>
      <c r="T117" s="635"/>
      <c r="U117" s="613" t="s">
        <v>28</v>
      </c>
      <c r="V117" s="613"/>
      <c r="W117" s="476"/>
      <c r="X117" s="144" t="s">
        <v>28</v>
      </c>
      <c r="Y117" s="360"/>
      <c r="Z117" s="360"/>
      <c r="AA117" s="360"/>
      <c r="AB117" s="360"/>
      <c r="AC117" s="360"/>
      <c r="AD117" s="360"/>
      <c r="AE117" s="360"/>
      <c r="AF117" s="360"/>
      <c r="AG117" s="637"/>
      <c r="AH117" s="360"/>
      <c r="AI117" s="360"/>
      <c r="AJ117" s="360"/>
    </row>
    <row r="118" spans="1:40" ht="21.95" customHeight="1" x14ac:dyDescent="0.2">
      <c r="A118" s="638">
        <v>8502</v>
      </c>
      <c r="B118" s="639" t="s">
        <v>587</v>
      </c>
      <c r="C118" s="121" t="s">
        <v>11</v>
      </c>
      <c r="D118" s="613"/>
      <c r="E118" s="476"/>
      <c r="F118" s="121" t="s">
        <v>11</v>
      </c>
      <c r="G118" s="613"/>
      <c r="H118" s="635"/>
      <c r="I118" s="121" t="s">
        <v>11</v>
      </c>
      <c r="J118" s="613"/>
      <c r="K118" s="635"/>
      <c r="L118" s="121" t="s">
        <v>11</v>
      </c>
      <c r="M118" s="613"/>
      <c r="N118" s="635"/>
      <c r="O118" s="121" t="s">
        <v>12</v>
      </c>
      <c r="P118" s="613"/>
      <c r="Q118" s="476"/>
      <c r="R118" s="640"/>
      <c r="S118" s="641"/>
      <c r="T118" s="635"/>
      <c r="U118" s="613"/>
      <c r="V118" s="613"/>
      <c r="W118" s="476"/>
      <c r="X118" s="475"/>
      <c r="Y118" s="482"/>
      <c r="Z118" s="482"/>
      <c r="AA118" s="482"/>
      <c r="AB118" s="482"/>
      <c r="AC118" s="482"/>
      <c r="AD118" s="482"/>
      <c r="AE118" s="482"/>
      <c r="AF118" s="482"/>
      <c r="AG118" s="483"/>
      <c r="AH118" s="360"/>
      <c r="AI118" s="360"/>
      <c r="AJ118" s="360"/>
    </row>
    <row r="119" spans="1:40" ht="21.95" customHeight="1" x14ac:dyDescent="0.2">
      <c r="A119" s="273"/>
      <c r="B119" s="524"/>
      <c r="C119" s="353"/>
      <c r="D119" s="353"/>
      <c r="E119" s="73"/>
      <c r="F119" s="353"/>
      <c r="G119" s="353"/>
      <c r="H119" s="73"/>
      <c r="I119" s="353"/>
      <c r="J119" s="353"/>
      <c r="K119" s="73"/>
      <c r="L119" s="353"/>
      <c r="M119" s="353"/>
      <c r="N119" s="73"/>
      <c r="O119" s="353"/>
      <c r="P119" s="353"/>
      <c r="Q119" s="73"/>
      <c r="R119" s="167"/>
      <c r="S119" s="353"/>
      <c r="T119" s="73"/>
      <c r="U119" s="353"/>
      <c r="V119" s="353"/>
      <c r="W119" s="73"/>
      <c r="X119" s="73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</row>
    <row r="120" spans="1:40" ht="21.95" customHeight="1" x14ac:dyDescent="0.2">
      <c r="A120" s="642"/>
      <c r="B120" s="1638" t="s">
        <v>469</v>
      </c>
      <c r="C120" s="1640">
        <v>1</v>
      </c>
      <c r="D120" s="1442">
        <v>2</v>
      </c>
      <c r="E120" s="1442">
        <v>3</v>
      </c>
      <c r="F120" s="1442">
        <v>4</v>
      </c>
      <c r="G120" s="1640">
        <v>5</v>
      </c>
      <c r="H120" s="1640">
        <v>6</v>
      </c>
      <c r="I120" s="1640">
        <v>7</v>
      </c>
      <c r="J120" s="1640">
        <v>8</v>
      </c>
      <c r="K120" s="1640">
        <v>9</v>
      </c>
      <c r="L120" s="1442">
        <v>10</v>
      </c>
      <c r="M120" s="1442">
        <v>11</v>
      </c>
      <c r="N120" s="1442">
        <v>12</v>
      </c>
      <c r="O120" s="1442">
        <v>13</v>
      </c>
      <c r="P120" s="1640">
        <v>14</v>
      </c>
      <c r="Q120" s="1640">
        <v>15</v>
      </c>
      <c r="R120" s="1442">
        <v>16</v>
      </c>
      <c r="S120" s="1442">
        <v>17</v>
      </c>
      <c r="T120" s="1442">
        <v>18</v>
      </c>
      <c r="U120" s="1442">
        <v>19</v>
      </c>
      <c r="V120" s="1442">
        <v>20</v>
      </c>
      <c r="W120" s="1640">
        <v>21</v>
      </c>
      <c r="X120" s="1640">
        <v>22</v>
      </c>
      <c r="Y120" s="1442">
        <v>23</v>
      </c>
      <c r="Z120" s="1442">
        <v>24</v>
      </c>
      <c r="AA120" s="1442">
        <v>25</v>
      </c>
      <c r="AB120" s="1442">
        <v>26</v>
      </c>
      <c r="AC120" s="1442">
        <v>27</v>
      </c>
      <c r="AD120" s="1640">
        <v>28</v>
      </c>
      <c r="AE120" s="1640">
        <v>29</v>
      </c>
      <c r="AF120" s="1442">
        <v>30</v>
      </c>
      <c r="AG120" s="1442"/>
      <c r="AH120" s="1639" t="s">
        <v>470</v>
      </c>
      <c r="AI120" s="644" t="s">
        <v>471</v>
      </c>
    </row>
    <row r="121" spans="1:40" ht="21.95" customHeight="1" x14ac:dyDescent="0.2">
      <c r="A121" s="645">
        <v>1</v>
      </c>
      <c r="B121" s="1641" t="s">
        <v>588</v>
      </c>
      <c r="C121" s="1534"/>
      <c r="D121" s="1534" t="s">
        <v>552</v>
      </c>
      <c r="E121" s="1534" t="s">
        <v>552</v>
      </c>
      <c r="F121" s="1534" t="s">
        <v>552</v>
      </c>
      <c r="G121" s="1534"/>
      <c r="H121" s="1534"/>
      <c r="I121" s="1534"/>
      <c r="J121" s="1534"/>
      <c r="K121" s="1534"/>
      <c r="L121" s="1534" t="s">
        <v>552</v>
      </c>
      <c r="M121" s="1534" t="s">
        <v>552</v>
      </c>
      <c r="N121" s="1534" t="s">
        <v>552</v>
      </c>
      <c r="O121" s="1534" t="s">
        <v>552</v>
      </c>
      <c r="P121" s="1534"/>
      <c r="Q121" s="1534"/>
      <c r="R121" s="1534" t="s">
        <v>552</v>
      </c>
      <c r="S121" s="1534" t="s">
        <v>552</v>
      </c>
      <c r="T121" s="1534" t="s">
        <v>552</v>
      </c>
      <c r="U121" s="1534" t="s">
        <v>552</v>
      </c>
      <c r="V121" s="1534" t="s">
        <v>552</v>
      </c>
      <c r="W121" s="1534"/>
      <c r="X121" s="1534"/>
      <c r="Y121" s="1534" t="s">
        <v>552</v>
      </c>
      <c r="Z121" s="1534" t="s">
        <v>552</v>
      </c>
      <c r="AA121" s="1534" t="s">
        <v>552</v>
      </c>
      <c r="AB121" s="1534" t="s">
        <v>552</v>
      </c>
      <c r="AC121" s="1534" t="s">
        <v>552</v>
      </c>
      <c r="AD121" s="1534"/>
      <c r="AE121" s="1534"/>
      <c r="AF121" s="1534" t="s">
        <v>552</v>
      </c>
      <c r="AG121" s="1485"/>
      <c r="AH121" s="646">
        <v>185</v>
      </c>
      <c r="AI121" s="647">
        <v>37</v>
      </c>
    </row>
    <row r="122" spans="1:40" ht="21.95" customHeight="1" x14ac:dyDescent="0.2">
      <c r="A122" s="645">
        <v>2</v>
      </c>
      <c r="B122" s="552" t="s">
        <v>590</v>
      </c>
      <c r="C122" s="514"/>
      <c r="D122" s="514" t="s">
        <v>596</v>
      </c>
      <c r="E122" s="514" t="s">
        <v>596</v>
      </c>
      <c r="F122" s="514" t="s">
        <v>596</v>
      </c>
      <c r="G122" s="514"/>
      <c r="H122" s="514"/>
      <c r="I122" s="514"/>
      <c r="J122" s="514"/>
      <c r="K122" s="514">
        <v>3</v>
      </c>
      <c r="L122" s="514">
        <v>4</v>
      </c>
      <c r="M122" s="514">
        <v>4</v>
      </c>
      <c r="N122" s="514">
        <v>4</v>
      </c>
      <c r="O122" s="514">
        <v>4</v>
      </c>
      <c r="P122" s="514">
        <v>3</v>
      </c>
      <c r="Q122" s="514"/>
      <c r="R122" s="514">
        <v>5</v>
      </c>
      <c r="S122" s="514">
        <v>5</v>
      </c>
      <c r="T122" s="514">
        <v>5</v>
      </c>
      <c r="U122" s="514">
        <v>5</v>
      </c>
      <c r="V122" s="514" t="s">
        <v>475</v>
      </c>
      <c r="W122" s="514"/>
      <c r="X122" s="514"/>
      <c r="Y122" s="1543" t="s">
        <v>552</v>
      </c>
      <c r="Z122" s="1543" t="s">
        <v>552</v>
      </c>
      <c r="AA122" s="1543" t="s">
        <v>552</v>
      </c>
      <c r="AB122" s="1543" t="s">
        <v>552</v>
      </c>
      <c r="AC122" s="1543" t="s">
        <v>552</v>
      </c>
      <c r="AD122" s="514"/>
      <c r="AE122" s="514"/>
      <c r="AF122" s="514">
        <v>10</v>
      </c>
      <c r="AG122" s="503"/>
      <c r="AH122" s="505">
        <v>6</v>
      </c>
      <c r="AI122" s="506">
        <v>0</v>
      </c>
    </row>
    <row r="123" spans="1:40" ht="21.95" customHeight="1" x14ac:dyDescent="0.2">
      <c r="A123" s="645">
        <v>3</v>
      </c>
      <c r="B123" s="152" t="s">
        <v>591</v>
      </c>
      <c r="C123" s="1543"/>
      <c r="D123" s="1543" t="s">
        <v>552</v>
      </c>
      <c r="E123" s="1543" t="s">
        <v>552</v>
      </c>
      <c r="F123" s="1543" t="s">
        <v>552</v>
      </c>
      <c r="G123" s="1634"/>
      <c r="H123" s="1634"/>
      <c r="I123" s="1634"/>
      <c r="J123" s="1634"/>
      <c r="K123" s="1634"/>
      <c r="L123" s="1634" t="s">
        <v>552</v>
      </c>
      <c r="M123" s="1634" t="s">
        <v>552</v>
      </c>
      <c r="N123" s="1634" t="s">
        <v>552</v>
      </c>
      <c r="O123" s="1634" t="s">
        <v>552</v>
      </c>
      <c r="P123" s="1634"/>
      <c r="Q123" s="1634"/>
      <c r="R123" s="1634" t="s">
        <v>552</v>
      </c>
      <c r="S123" s="1634" t="s">
        <v>552</v>
      </c>
      <c r="T123" s="1634" t="s">
        <v>552</v>
      </c>
      <c r="U123" s="1634" t="s">
        <v>552</v>
      </c>
      <c r="V123" s="1634" t="s">
        <v>552</v>
      </c>
      <c r="W123" s="1634"/>
      <c r="X123" s="1634"/>
      <c r="Y123" s="1634" t="s">
        <v>552</v>
      </c>
      <c r="Z123" s="1634" t="s">
        <v>552</v>
      </c>
      <c r="AA123" s="1634" t="s">
        <v>552</v>
      </c>
      <c r="AB123" s="1634" t="s">
        <v>552</v>
      </c>
      <c r="AC123" s="1634" t="s">
        <v>552</v>
      </c>
      <c r="AD123" s="1634"/>
      <c r="AE123" s="1634"/>
      <c r="AF123" s="1634" t="s">
        <v>552</v>
      </c>
      <c r="AG123" s="503"/>
      <c r="AH123" s="505">
        <v>0</v>
      </c>
      <c r="AI123" s="506">
        <v>37</v>
      </c>
    </row>
    <row r="124" spans="1:40" ht="21.95" customHeight="1" x14ac:dyDescent="0.2">
      <c r="A124" s="645">
        <v>4</v>
      </c>
      <c r="B124" s="152" t="s">
        <v>592</v>
      </c>
      <c r="C124" s="514"/>
      <c r="D124" s="514" t="s">
        <v>552</v>
      </c>
      <c r="E124" s="514" t="s">
        <v>552</v>
      </c>
      <c r="F124" s="514" t="s">
        <v>552</v>
      </c>
      <c r="G124" s="514"/>
      <c r="H124" s="514"/>
      <c r="I124" s="514"/>
      <c r="J124" s="514"/>
      <c r="K124" s="514">
        <v>8</v>
      </c>
      <c r="L124" s="514">
        <v>8</v>
      </c>
      <c r="M124" s="514">
        <v>8</v>
      </c>
      <c r="N124" s="514">
        <v>8</v>
      </c>
      <c r="O124" s="514">
        <v>8</v>
      </c>
      <c r="P124" s="514" t="s">
        <v>504</v>
      </c>
      <c r="Q124" s="514" t="s">
        <v>504</v>
      </c>
      <c r="R124" s="514" t="s">
        <v>475</v>
      </c>
      <c r="S124" s="514" t="s">
        <v>475</v>
      </c>
      <c r="T124" s="514" t="s">
        <v>475</v>
      </c>
      <c r="U124" s="514" t="s">
        <v>475</v>
      </c>
      <c r="V124" s="514">
        <v>8</v>
      </c>
      <c r="W124" s="514"/>
      <c r="X124" s="514"/>
      <c r="Y124" s="514" t="s">
        <v>552</v>
      </c>
      <c r="Z124" s="514">
        <v>7</v>
      </c>
      <c r="AA124" s="514">
        <v>7</v>
      </c>
      <c r="AB124" s="514">
        <v>7</v>
      </c>
      <c r="AC124" s="514">
        <v>7</v>
      </c>
      <c r="AD124" s="514"/>
      <c r="AE124" s="514"/>
      <c r="AF124" s="1543" t="s">
        <v>552</v>
      </c>
      <c r="AG124" s="503"/>
      <c r="AH124" s="505">
        <v>0</v>
      </c>
      <c r="AI124" s="1701">
        <v>35</v>
      </c>
    </row>
    <row r="125" spans="1:40" ht="21.95" customHeight="1" x14ac:dyDescent="0.2">
      <c r="A125" s="645">
        <v>5</v>
      </c>
      <c r="B125" s="552" t="s">
        <v>690</v>
      </c>
      <c r="C125" s="514" t="s">
        <v>507</v>
      </c>
      <c r="D125" s="514" t="s">
        <v>475</v>
      </c>
      <c r="E125" s="514" t="s">
        <v>475</v>
      </c>
      <c r="F125" s="514">
        <v>11</v>
      </c>
      <c r="G125" s="514"/>
      <c r="H125" s="514"/>
      <c r="I125" s="514"/>
      <c r="J125" s="514"/>
      <c r="K125" s="514">
        <v>10</v>
      </c>
      <c r="L125" s="514">
        <v>10</v>
      </c>
      <c r="M125" s="514">
        <v>10</v>
      </c>
      <c r="N125" s="514">
        <v>10</v>
      </c>
      <c r="O125" s="514" t="s">
        <v>475</v>
      </c>
      <c r="P125" s="1534" t="s">
        <v>525</v>
      </c>
      <c r="Q125" s="514"/>
      <c r="R125" s="514">
        <v>3</v>
      </c>
      <c r="S125" s="514">
        <v>3</v>
      </c>
      <c r="T125" s="514">
        <v>3</v>
      </c>
      <c r="U125" s="514">
        <v>3</v>
      </c>
      <c r="V125" s="514">
        <v>3</v>
      </c>
      <c r="W125" s="514"/>
      <c r="X125" s="514" t="s">
        <v>550</v>
      </c>
      <c r="Y125" s="514">
        <v>1</v>
      </c>
      <c r="Z125" s="514">
        <v>1</v>
      </c>
      <c r="AA125" s="514" t="s">
        <v>522</v>
      </c>
      <c r="AB125" s="514" t="s">
        <v>475</v>
      </c>
      <c r="AC125" s="514">
        <v>1</v>
      </c>
      <c r="AD125" s="514"/>
      <c r="AE125" s="514"/>
      <c r="AF125" s="514">
        <v>4</v>
      </c>
      <c r="AG125" s="503"/>
      <c r="AH125" s="505">
        <v>0</v>
      </c>
      <c r="AI125" s="506">
        <v>0</v>
      </c>
    </row>
    <row r="126" spans="1:40" ht="21.95" customHeight="1" x14ac:dyDescent="0.2">
      <c r="A126" s="645">
        <v>6</v>
      </c>
      <c r="B126" s="152" t="s">
        <v>692</v>
      </c>
      <c r="C126" s="514"/>
      <c r="D126" s="514" t="s">
        <v>552</v>
      </c>
      <c r="E126" s="514" t="s">
        <v>552</v>
      </c>
      <c r="F126" s="514" t="s">
        <v>552</v>
      </c>
      <c r="G126" s="514"/>
      <c r="H126" s="514"/>
      <c r="I126" s="514"/>
      <c r="J126" s="514"/>
      <c r="K126" s="514" t="s">
        <v>513</v>
      </c>
      <c r="L126" s="514" t="s">
        <v>513</v>
      </c>
      <c r="M126" s="514" t="s">
        <v>513</v>
      </c>
      <c r="N126" s="514" t="s">
        <v>513</v>
      </c>
      <c r="O126" s="514" t="s">
        <v>513</v>
      </c>
      <c r="P126" s="514" t="s">
        <v>550</v>
      </c>
      <c r="Q126" s="514" t="s">
        <v>550</v>
      </c>
      <c r="R126" s="514" t="s">
        <v>475</v>
      </c>
      <c r="S126" s="514" t="s">
        <v>475</v>
      </c>
      <c r="T126" s="514" t="s">
        <v>475</v>
      </c>
      <c r="U126" s="514" t="s">
        <v>475</v>
      </c>
      <c r="V126" s="514" t="s">
        <v>475</v>
      </c>
      <c r="W126" s="514" t="s">
        <v>505</v>
      </c>
      <c r="X126" s="514"/>
      <c r="Y126" s="553">
        <v>4</v>
      </c>
      <c r="Z126" s="553">
        <v>4</v>
      </c>
      <c r="AA126" s="553">
        <v>4</v>
      </c>
      <c r="AB126" s="553">
        <v>4</v>
      </c>
      <c r="AC126" s="553">
        <v>4</v>
      </c>
      <c r="AD126" s="514"/>
      <c r="AE126" s="514"/>
      <c r="AF126" s="514" t="s">
        <v>513</v>
      </c>
      <c r="AG126" s="503"/>
      <c r="AH126" s="505">
        <v>0</v>
      </c>
      <c r="AI126" s="506">
        <v>0</v>
      </c>
      <c r="AN126" t="s">
        <v>716</v>
      </c>
    </row>
    <row r="127" spans="1:40" ht="21.95" customHeight="1" x14ac:dyDescent="0.2">
      <c r="A127" s="645">
        <v>7</v>
      </c>
      <c r="B127" s="152" t="s">
        <v>594</v>
      </c>
      <c r="C127" s="514" t="s">
        <v>503</v>
      </c>
      <c r="D127" s="514">
        <v>9</v>
      </c>
      <c r="E127" s="514">
        <v>9</v>
      </c>
      <c r="F127" s="514">
        <v>9</v>
      </c>
      <c r="G127" s="514" t="s">
        <v>484</v>
      </c>
      <c r="H127" s="514" t="s">
        <v>484</v>
      </c>
      <c r="I127" s="514" t="s">
        <v>484</v>
      </c>
      <c r="J127" s="514" t="s">
        <v>484</v>
      </c>
      <c r="K127" s="514" t="s">
        <v>484</v>
      </c>
      <c r="L127" s="514">
        <v>5</v>
      </c>
      <c r="M127" s="514">
        <v>5</v>
      </c>
      <c r="N127" s="514">
        <v>5</v>
      </c>
      <c r="O127" s="1534" t="s">
        <v>717</v>
      </c>
      <c r="P127" s="514"/>
      <c r="Q127" s="514" t="s">
        <v>484</v>
      </c>
      <c r="R127" s="514" t="s">
        <v>513</v>
      </c>
      <c r="S127" s="514">
        <v>8</v>
      </c>
      <c r="T127" s="514">
        <v>8</v>
      </c>
      <c r="U127" s="514">
        <v>8</v>
      </c>
      <c r="V127" s="514">
        <v>5</v>
      </c>
      <c r="W127" s="514"/>
      <c r="X127" s="514" t="s">
        <v>484</v>
      </c>
      <c r="Y127" s="514">
        <v>10</v>
      </c>
      <c r="Z127" s="514">
        <v>10</v>
      </c>
      <c r="AA127" s="514">
        <v>10</v>
      </c>
      <c r="AB127" s="514">
        <v>10</v>
      </c>
      <c r="AC127" s="514">
        <v>10</v>
      </c>
      <c r="AD127" s="514" t="s">
        <v>484</v>
      </c>
      <c r="AE127" s="514"/>
      <c r="AF127" s="514">
        <v>3</v>
      </c>
      <c r="AG127" s="503"/>
      <c r="AH127" s="505">
        <v>0</v>
      </c>
      <c r="AI127" s="506">
        <v>0</v>
      </c>
    </row>
    <row r="128" spans="1:40" ht="21.95" customHeight="1" x14ac:dyDescent="0.2">
      <c r="A128" s="645">
        <v>8</v>
      </c>
      <c r="B128" s="657" t="s">
        <v>718</v>
      </c>
      <c r="C128" s="514"/>
      <c r="D128" s="514">
        <v>6</v>
      </c>
      <c r="E128" s="514">
        <v>6</v>
      </c>
      <c r="F128" s="514">
        <v>6</v>
      </c>
      <c r="G128" s="514">
        <v>6</v>
      </c>
      <c r="H128" s="514">
        <v>6</v>
      </c>
      <c r="I128" s="514" t="s">
        <v>508</v>
      </c>
      <c r="J128" s="514" t="s">
        <v>504</v>
      </c>
      <c r="K128" s="514" t="s">
        <v>475</v>
      </c>
      <c r="L128" s="514" t="s">
        <v>475</v>
      </c>
      <c r="M128" s="514" t="s">
        <v>475</v>
      </c>
      <c r="N128" s="514" t="s">
        <v>475</v>
      </c>
      <c r="O128" s="514" t="s">
        <v>475</v>
      </c>
      <c r="P128" s="514"/>
      <c r="Q128" s="514"/>
      <c r="R128" s="514">
        <v>6</v>
      </c>
      <c r="S128" s="514">
        <v>4</v>
      </c>
      <c r="T128" s="514">
        <v>4</v>
      </c>
      <c r="U128" s="514">
        <v>4</v>
      </c>
      <c r="V128" s="514">
        <v>4</v>
      </c>
      <c r="W128" s="514" t="s">
        <v>550</v>
      </c>
      <c r="X128" s="514"/>
      <c r="Y128" s="514">
        <v>3</v>
      </c>
      <c r="Z128" s="514">
        <v>3</v>
      </c>
      <c r="AA128" s="514">
        <v>3</v>
      </c>
      <c r="AB128" s="514">
        <v>3</v>
      </c>
      <c r="AC128" s="514">
        <v>3</v>
      </c>
      <c r="AD128" s="514"/>
      <c r="AE128" s="514"/>
      <c r="AF128" s="514" t="s">
        <v>475</v>
      </c>
      <c r="AG128" s="503"/>
      <c r="AH128" s="648">
        <v>185</v>
      </c>
      <c r="AI128" s="649">
        <v>37</v>
      </c>
    </row>
    <row r="129" spans="1:35" ht="21.95" customHeight="1" x14ac:dyDescent="0.2">
      <c r="A129" s="645">
        <v>9</v>
      </c>
      <c r="B129" s="657"/>
      <c r="C129" s="514"/>
      <c r="D129" s="514"/>
      <c r="E129" s="514"/>
      <c r="F129" s="514"/>
      <c r="G129" s="514"/>
      <c r="H129" s="514"/>
      <c r="I129" s="514"/>
      <c r="J129" s="514"/>
      <c r="K129" s="514"/>
      <c r="L129" s="514"/>
      <c r="M129" s="514"/>
      <c r="N129" s="514"/>
      <c r="O129" s="514"/>
      <c r="P129" s="514"/>
      <c r="Q129" s="514"/>
      <c r="R129" s="514"/>
      <c r="S129" s="514"/>
      <c r="T129" s="514"/>
      <c r="U129" s="514"/>
      <c r="V129" s="514"/>
      <c r="W129" s="514"/>
      <c r="X129" s="514"/>
      <c r="Y129" s="514"/>
      <c r="Z129" s="514"/>
      <c r="AA129" s="514"/>
      <c r="AB129" s="514"/>
      <c r="AC129" s="514"/>
      <c r="AD129" s="514"/>
      <c r="AE129" s="514"/>
      <c r="AF129" s="514"/>
      <c r="AG129" s="504"/>
      <c r="AH129" s="648"/>
      <c r="AI129" s="649"/>
    </row>
    <row r="130" spans="1:35" ht="21.95" customHeight="1" x14ac:dyDescent="0.2">
      <c r="A130" s="645">
        <v>10</v>
      </c>
      <c r="B130" s="657"/>
      <c r="C130" s="514"/>
      <c r="D130" s="514"/>
      <c r="E130" s="514"/>
      <c r="F130" s="514"/>
      <c r="G130" s="514"/>
      <c r="H130" s="514"/>
      <c r="I130" s="514"/>
      <c r="J130" s="514"/>
      <c r="K130" s="514"/>
      <c r="L130" s="514"/>
      <c r="M130" s="514"/>
      <c r="N130" s="514"/>
      <c r="O130" s="514"/>
      <c r="P130" s="514"/>
      <c r="Q130" s="514"/>
      <c r="R130" s="514"/>
      <c r="S130" s="514"/>
      <c r="T130" s="514"/>
      <c r="U130" s="514"/>
      <c r="V130" s="514"/>
      <c r="W130" s="514"/>
      <c r="X130" s="514"/>
      <c r="Y130" s="514"/>
      <c r="Z130" s="514"/>
      <c r="AA130" s="514"/>
      <c r="AB130" s="514"/>
      <c r="AC130" s="514"/>
      <c r="AD130" s="514"/>
      <c r="AE130" s="514"/>
      <c r="AF130" s="514"/>
      <c r="AG130" s="504"/>
      <c r="AH130" s="648"/>
      <c r="AI130" s="649"/>
    </row>
    <row r="131" spans="1:35" ht="21.95" customHeight="1" thickBot="1" x14ac:dyDescent="0.25">
      <c r="A131" s="645">
        <v>11</v>
      </c>
      <c r="B131" s="152"/>
      <c r="C131" s="514"/>
      <c r="D131" s="514"/>
      <c r="E131" s="514"/>
      <c r="F131" s="514"/>
      <c r="G131" s="514"/>
      <c r="H131" s="514"/>
      <c r="I131" s="514"/>
      <c r="J131" s="514"/>
      <c r="K131" s="514"/>
      <c r="L131" s="514"/>
      <c r="M131" s="514"/>
      <c r="N131" s="514"/>
      <c r="O131" s="514"/>
      <c r="P131" s="514"/>
      <c r="Q131" s="514"/>
      <c r="R131" s="514"/>
      <c r="S131" s="514"/>
      <c r="T131" s="514"/>
      <c r="U131" s="514"/>
      <c r="V131" s="514"/>
      <c r="W131" s="514"/>
      <c r="X131" s="514"/>
      <c r="Y131" s="514"/>
      <c r="Z131" s="514"/>
      <c r="AA131" s="514"/>
      <c r="AB131" s="514"/>
      <c r="AC131" s="514"/>
      <c r="AD131" s="514"/>
      <c r="AE131" s="514"/>
      <c r="AF131" s="514"/>
      <c r="AG131" s="650"/>
      <c r="AH131" s="651">
        <v>185</v>
      </c>
      <c r="AI131" s="523">
        <v>37</v>
      </c>
    </row>
    <row r="132" spans="1:35" ht="21.95" customHeight="1" x14ac:dyDescent="0.2">
      <c r="A132" s="652"/>
      <c r="B132" s="273"/>
      <c r="C132" s="138"/>
      <c r="D132" s="138"/>
      <c r="E132" s="138"/>
      <c r="F132" s="138"/>
      <c r="G132" s="138"/>
      <c r="H132" s="138"/>
      <c r="I132" s="138"/>
      <c r="J132" s="138"/>
      <c r="K132" s="138"/>
      <c r="L132" s="138"/>
      <c r="M132" s="138"/>
      <c r="N132" s="138"/>
      <c r="O132" s="138"/>
      <c r="P132" s="138"/>
      <c r="Q132" s="138"/>
      <c r="R132" s="138"/>
      <c r="S132" s="138"/>
      <c r="T132" s="138"/>
      <c r="U132" s="138"/>
      <c r="V132" s="138"/>
      <c r="W132" s="138"/>
      <c r="X132" s="138"/>
      <c r="Y132" s="138"/>
      <c r="Z132" s="138"/>
      <c r="AA132" s="138"/>
      <c r="AB132" s="138"/>
      <c r="AC132" s="138"/>
      <c r="AD132" s="138"/>
      <c r="AE132" s="138"/>
      <c r="AF132" s="138"/>
      <c r="AG132" s="138"/>
      <c r="AH132" s="591"/>
      <c r="AI132" s="591"/>
    </row>
    <row r="133" spans="1:35" ht="21" customHeight="1" x14ac:dyDescent="0.25">
      <c r="A133" s="653" t="s">
        <v>695</v>
      </c>
    </row>
    <row r="134" spans="1:35" ht="21" customHeight="1" x14ac:dyDescent="0.2">
      <c r="A134" s="585"/>
      <c r="B134" s="296" t="s">
        <v>469</v>
      </c>
      <c r="C134" s="497">
        <v>1</v>
      </c>
      <c r="D134" s="177">
        <v>2</v>
      </c>
      <c r="E134" s="177">
        <v>3</v>
      </c>
      <c r="F134" s="177">
        <v>4</v>
      </c>
      <c r="G134" s="497">
        <v>5</v>
      </c>
      <c r="H134" s="497">
        <v>6</v>
      </c>
      <c r="I134" s="497">
        <v>7</v>
      </c>
      <c r="J134" s="497">
        <v>8</v>
      </c>
      <c r="K134" s="497">
        <v>9</v>
      </c>
      <c r="L134" s="177">
        <v>10</v>
      </c>
      <c r="M134" s="177">
        <v>11</v>
      </c>
      <c r="N134" s="177">
        <v>12</v>
      </c>
      <c r="O134" s="177">
        <v>13</v>
      </c>
      <c r="P134" s="497">
        <v>14</v>
      </c>
      <c r="Q134" s="497">
        <v>15</v>
      </c>
      <c r="R134" s="177">
        <v>16</v>
      </c>
      <c r="S134" s="177">
        <v>17</v>
      </c>
      <c r="T134" s="177">
        <v>18</v>
      </c>
      <c r="U134" s="177">
        <v>19</v>
      </c>
      <c r="V134" s="177">
        <v>20</v>
      </c>
      <c r="W134" s="497">
        <v>21</v>
      </c>
      <c r="X134" s="497">
        <v>22</v>
      </c>
      <c r="Y134" s="177">
        <v>23</v>
      </c>
      <c r="Z134" s="177">
        <v>24</v>
      </c>
      <c r="AA134" s="177">
        <v>25</v>
      </c>
      <c r="AB134" s="177">
        <v>26</v>
      </c>
      <c r="AC134" s="177">
        <v>27</v>
      </c>
      <c r="AD134" s="497">
        <v>28</v>
      </c>
      <c r="AE134" s="497">
        <v>29</v>
      </c>
      <c r="AF134" s="177">
        <v>30</v>
      </c>
      <c r="AG134" s="177"/>
      <c r="AH134" s="655"/>
    </row>
    <row r="135" spans="1:35" ht="21" customHeight="1" x14ac:dyDescent="0.2">
      <c r="A135" s="585">
        <v>1</v>
      </c>
      <c r="B135" s="1688" t="s">
        <v>719</v>
      </c>
      <c r="C135" s="171"/>
      <c r="D135" s="171">
        <v>1</v>
      </c>
      <c r="E135" s="171">
        <v>1</v>
      </c>
      <c r="F135" s="171">
        <v>1</v>
      </c>
      <c r="G135" s="171"/>
      <c r="H135" s="171"/>
      <c r="I135" s="171"/>
      <c r="J135" s="171"/>
      <c r="K135" s="171"/>
      <c r="L135" s="171">
        <v>1</v>
      </c>
      <c r="M135" s="171">
        <v>1</v>
      </c>
      <c r="N135" s="171">
        <v>1</v>
      </c>
      <c r="O135" s="171">
        <v>1</v>
      </c>
      <c r="P135" s="171"/>
      <c r="Q135" s="171" t="s">
        <v>505</v>
      </c>
      <c r="R135" s="171">
        <v>4</v>
      </c>
      <c r="S135" s="1564">
        <v>9</v>
      </c>
      <c r="T135" s="1564">
        <v>9</v>
      </c>
      <c r="U135" s="1564">
        <v>9</v>
      </c>
      <c r="V135" s="1564">
        <v>9</v>
      </c>
      <c r="W135" s="171"/>
      <c r="X135" s="171"/>
      <c r="Y135" s="1564" t="s">
        <v>538</v>
      </c>
      <c r="Z135" s="1564" t="s">
        <v>513</v>
      </c>
      <c r="AA135" s="1564" t="s">
        <v>513</v>
      </c>
      <c r="AB135" s="1564" t="s">
        <v>513</v>
      </c>
      <c r="AC135" s="1564" t="s">
        <v>513</v>
      </c>
      <c r="AD135" s="171" t="s">
        <v>507</v>
      </c>
      <c r="AE135" s="171" t="s">
        <v>507</v>
      </c>
      <c r="AF135" s="171" t="s">
        <v>475</v>
      </c>
      <c r="AG135" s="171"/>
      <c r="AH135" s="655"/>
    </row>
    <row r="136" spans="1:35" ht="21" customHeight="1" x14ac:dyDescent="0.2">
      <c r="A136" s="585">
        <v>2</v>
      </c>
      <c r="B136" s="1623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655"/>
    </row>
    <row r="137" spans="1:35" ht="21" customHeight="1" x14ac:dyDescent="0.2">
      <c r="A137" s="585">
        <v>3</v>
      </c>
      <c r="B137" s="552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656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655"/>
    </row>
    <row r="138" spans="1:35" ht="21" customHeight="1" x14ac:dyDescent="0.2">
      <c r="A138" s="585">
        <v>4</v>
      </c>
      <c r="B138" s="552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656"/>
      <c r="AC138" s="171"/>
      <c r="AD138" s="171"/>
      <c r="AE138" s="171"/>
      <c r="AF138" s="171"/>
      <c r="AG138" s="171"/>
      <c r="AH138" s="655"/>
    </row>
    <row r="139" spans="1:35" ht="21" customHeight="1" x14ac:dyDescent="0.2">
      <c r="A139" s="585">
        <v>5</v>
      </c>
      <c r="B139" s="552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655"/>
    </row>
    <row r="140" spans="1:35" ht="21" customHeight="1" x14ac:dyDescent="0.2">
      <c r="A140" s="585"/>
      <c r="B140" s="318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656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655"/>
    </row>
    <row r="141" spans="1:35" ht="21.95" customHeight="1" x14ac:dyDescent="0.2">
      <c r="A141" s="1" t="s">
        <v>603</v>
      </c>
      <c r="B141" s="273"/>
      <c r="C141" s="138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  <c r="AA141" s="138"/>
      <c r="AB141" s="138"/>
      <c r="AC141" s="138"/>
      <c r="AD141" s="138"/>
      <c r="AE141" s="138"/>
      <c r="AF141" s="138"/>
      <c r="AG141" s="138"/>
    </row>
    <row r="142" spans="1:35" ht="21.95" customHeight="1" x14ac:dyDescent="0.2">
      <c r="A142" s="1"/>
      <c r="B142" s="200" t="s">
        <v>604</v>
      </c>
      <c r="C142" s="7"/>
      <c r="D142" s="530" t="s">
        <v>2</v>
      </c>
      <c r="E142" s="51"/>
      <c r="F142" s="573"/>
      <c r="G142" s="7"/>
      <c r="H142" s="530" t="s">
        <v>3</v>
      </c>
      <c r="I142" s="51"/>
      <c r="J142" s="573"/>
      <c r="K142" s="7"/>
      <c r="L142" s="530" t="s">
        <v>4</v>
      </c>
      <c r="M142" s="51"/>
      <c r="N142" s="573"/>
      <c r="O142" s="7"/>
      <c r="P142" s="530" t="s">
        <v>5</v>
      </c>
      <c r="Q142" s="51"/>
      <c r="R142" s="573"/>
      <c r="S142" s="7"/>
      <c r="T142" s="530" t="s">
        <v>6</v>
      </c>
      <c r="U142" s="51"/>
      <c r="V142" s="573"/>
      <c r="W142" s="7"/>
      <c r="X142" s="530" t="s">
        <v>7</v>
      </c>
      <c r="Y142" s="51"/>
      <c r="Z142" s="573"/>
      <c r="AA142" s="7"/>
      <c r="AB142" s="530" t="s">
        <v>8</v>
      </c>
      <c r="AC142" s="51"/>
      <c r="AD142" s="51"/>
      <c r="AE142" s="424" t="s">
        <v>10</v>
      </c>
      <c r="AF142" s="51"/>
      <c r="AG142" s="51"/>
      <c r="AH142" s="51"/>
      <c r="AI142" s="531"/>
    </row>
    <row r="143" spans="1:35" ht="21.95" customHeight="1" x14ac:dyDescent="0.2">
      <c r="A143" s="1"/>
      <c r="B143" s="305">
        <v>3701</v>
      </c>
      <c r="C143" s="641" t="s">
        <v>124</v>
      </c>
      <c r="D143" s="658"/>
      <c r="E143" s="55"/>
      <c r="F143" s="580"/>
      <c r="G143" s="641" t="s">
        <v>124</v>
      </c>
      <c r="H143" s="659"/>
      <c r="I143" s="55"/>
      <c r="J143" s="580"/>
      <c r="K143" s="641" t="s">
        <v>124</v>
      </c>
      <c r="L143" s="659"/>
      <c r="M143" s="55"/>
      <c r="N143" s="580"/>
      <c r="O143" s="641" t="s">
        <v>124</v>
      </c>
      <c r="P143" s="659"/>
      <c r="Q143" s="55"/>
      <c r="R143" s="580"/>
      <c r="S143" s="14" t="s">
        <v>125</v>
      </c>
      <c r="T143" s="659"/>
      <c r="U143" s="55"/>
      <c r="V143" s="580"/>
      <c r="W143" s="14"/>
      <c r="X143" s="659"/>
      <c r="Y143" s="55"/>
      <c r="Z143" s="580"/>
      <c r="AA143" s="14"/>
      <c r="AB143" s="659"/>
      <c r="AC143" s="55"/>
      <c r="AD143" s="55"/>
      <c r="AE143" s="660"/>
      <c r="AF143" s="55"/>
      <c r="AG143" s="55"/>
      <c r="AH143" s="55"/>
      <c r="AI143" s="661"/>
    </row>
    <row r="144" spans="1:35" ht="21.95" customHeight="1" x14ac:dyDescent="0.2">
      <c r="B144" s="662">
        <v>3700</v>
      </c>
      <c r="C144" s="121" t="s">
        <v>534</v>
      </c>
      <c r="D144" s="156"/>
      <c r="E144" s="156"/>
      <c r="F144" s="612"/>
      <c r="G144" s="121" t="s">
        <v>534</v>
      </c>
      <c r="H144" s="156"/>
      <c r="I144" s="156"/>
      <c r="J144" s="612"/>
      <c r="K144" s="121" t="s">
        <v>534</v>
      </c>
      <c r="L144" s="156"/>
      <c r="M144" s="156"/>
      <c r="N144" s="612"/>
      <c r="O144" s="121" t="s">
        <v>534</v>
      </c>
      <c r="P144" s="156"/>
      <c r="Q144" s="156"/>
      <c r="R144" s="612"/>
      <c r="S144" s="121" t="s">
        <v>116</v>
      </c>
      <c r="T144" s="156"/>
      <c r="U144" s="156"/>
      <c r="V144" s="612"/>
      <c r="W144" s="121"/>
      <c r="X144" s="156"/>
      <c r="Y144" s="156"/>
      <c r="Z144" s="612"/>
      <c r="AA144" s="611"/>
      <c r="AB144" s="156"/>
      <c r="AC144" s="156"/>
      <c r="AD144" s="613"/>
      <c r="AE144" s="663"/>
      <c r="AF144" s="156"/>
      <c r="AG144" s="156" t="s">
        <v>28</v>
      </c>
      <c r="AH144" s="613"/>
      <c r="AI144" s="489"/>
    </row>
    <row r="145" spans="1:35" ht="21.95" customHeight="1" x14ac:dyDescent="0.2">
      <c r="A145" s="1"/>
      <c r="B145" s="129" t="s">
        <v>605</v>
      </c>
      <c r="C145" s="611" t="s">
        <v>606</v>
      </c>
      <c r="D145" s="156"/>
      <c r="E145" s="156"/>
      <c r="F145" s="612"/>
      <c r="G145" s="611" t="s">
        <v>606</v>
      </c>
      <c r="H145" s="156"/>
      <c r="I145" s="156"/>
      <c r="J145" s="612"/>
      <c r="K145" s="611" t="s">
        <v>606</v>
      </c>
      <c r="L145" s="156"/>
      <c r="M145" s="156"/>
      <c r="N145" s="612"/>
      <c r="O145" s="611" t="s">
        <v>606</v>
      </c>
      <c r="P145" s="156"/>
      <c r="Q145" s="156"/>
      <c r="R145" s="612"/>
      <c r="S145" s="611" t="s">
        <v>607</v>
      </c>
      <c r="T145" s="156"/>
      <c r="U145" s="156"/>
      <c r="V145" s="612"/>
      <c r="W145" s="121"/>
      <c r="X145" s="156"/>
      <c r="Y145" s="156"/>
      <c r="Z145" s="612"/>
      <c r="AA145" s="121"/>
      <c r="AB145" s="156"/>
      <c r="AC145" s="156"/>
      <c r="AD145" s="613"/>
      <c r="AE145" s="121"/>
      <c r="AF145" s="156"/>
      <c r="AG145" s="156"/>
      <c r="AH145" s="613"/>
      <c r="AI145" s="489"/>
    </row>
    <row r="146" spans="1:35" ht="21.95" customHeight="1" x14ac:dyDescent="0.2">
      <c r="A146" s="1"/>
      <c r="B146" s="664">
        <v>8500</v>
      </c>
      <c r="C146" s="665" t="s">
        <v>264</v>
      </c>
      <c r="D146" s="55"/>
      <c r="E146" s="55"/>
      <c r="F146" s="666"/>
      <c r="G146" s="665" t="s">
        <v>264</v>
      </c>
      <c r="H146" s="55"/>
      <c r="I146" s="55"/>
      <c r="J146" s="666"/>
      <c r="K146" s="665" t="s">
        <v>264</v>
      </c>
      <c r="L146" s="55"/>
      <c r="M146" s="55"/>
      <c r="N146" s="666"/>
      <c r="O146" s="665" t="s">
        <v>264</v>
      </c>
      <c r="P146" s="55"/>
      <c r="Q146" s="55"/>
      <c r="R146" s="666"/>
      <c r="S146" s="665" t="s">
        <v>265</v>
      </c>
      <c r="T146" s="55"/>
      <c r="U146" s="55"/>
      <c r="V146" s="666"/>
      <c r="W146" s="665"/>
      <c r="X146" s="55"/>
      <c r="Y146" s="55"/>
      <c r="Z146" s="666"/>
      <c r="AA146" s="665"/>
      <c r="AB146" s="55"/>
      <c r="AC146" s="55"/>
      <c r="AD146" s="666"/>
      <c r="AE146" s="665"/>
      <c r="AF146" s="55"/>
      <c r="AG146" s="55"/>
      <c r="AH146" s="641"/>
      <c r="AI146" s="661"/>
    </row>
    <row r="147" spans="1:35" ht="21.95" customHeight="1" x14ac:dyDescent="0.2">
      <c r="A147" s="1"/>
      <c r="B147" s="9">
        <v>8514</v>
      </c>
      <c r="C147" s="667" t="s">
        <v>264</v>
      </c>
      <c r="D147" s="668"/>
      <c r="E147" s="669"/>
      <c r="F147" s="670"/>
      <c r="G147" s="667" t="s">
        <v>264</v>
      </c>
      <c r="H147" s="668"/>
      <c r="I147" s="669"/>
      <c r="J147" s="670"/>
      <c r="K147" s="667" t="s">
        <v>264</v>
      </c>
      <c r="L147" s="668"/>
      <c r="M147" s="669"/>
      <c r="N147" s="670"/>
      <c r="O147" s="667" t="s">
        <v>682</v>
      </c>
      <c r="P147" s="668"/>
      <c r="Q147" s="669"/>
      <c r="R147" s="670"/>
      <c r="S147" s="667" t="s">
        <v>265</v>
      </c>
      <c r="T147" s="668"/>
      <c r="U147" s="669"/>
      <c r="V147" s="670"/>
      <c r="W147" s="14"/>
      <c r="X147" s="659"/>
      <c r="Y147" s="55"/>
      <c r="Z147" s="580"/>
      <c r="AA147" s="14"/>
      <c r="AB147" s="659"/>
      <c r="AC147" s="55"/>
      <c r="AD147" s="55"/>
      <c r="AE147" s="660"/>
      <c r="AF147" s="55"/>
      <c r="AG147" s="55"/>
      <c r="AH147" s="55"/>
      <c r="AI147" s="661"/>
    </row>
    <row r="148" spans="1:35" ht="21.95" customHeight="1" x14ac:dyDescent="0.2">
      <c r="A148" s="1"/>
      <c r="B148" s="671">
        <v>8521</v>
      </c>
      <c r="C148" s="57" t="s">
        <v>534</v>
      </c>
      <c r="D148" s="53"/>
      <c r="E148" s="53"/>
      <c r="F148" s="619"/>
      <c r="G148" s="57" t="s">
        <v>534</v>
      </c>
      <c r="H148" s="53"/>
      <c r="I148" s="53"/>
      <c r="J148" s="619"/>
      <c r="K148" s="57" t="s">
        <v>698</v>
      </c>
      <c r="L148" s="53"/>
      <c r="M148" s="53"/>
      <c r="N148" s="619"/>
      <c r="O148" s="57" t="s">
        <v>534</v>
      </c>
      <c r="P148" s="53"/>
      <c r="Q148" s="53"/>
      <c r="R148" s="619"/>
      <c r="S148" s="57" t="s">
        <v>116</v>
      </c>
      <c r="T148" s="53"/>
      <c r="U148" s="53"/>
      <c r="V148" s="619"/>
      <c r="W148" s="57"/>
      <c r="X148" s="53"/>
      <c r="Y148" s="53"/>
      <c r="Z148" s="619"/>
      <c r="AA148" s="618"/>
      <c r="AB148" s="53"/>
      <c r="AC148" s="53"/>
      <c r="AD148" s="620"/>
      <c r="AE148" s="672"/>
      <c r="AF148" s="53"/>
      <c r="AG148" s="53" t="s">
        <v>28</v>
      </c>
      <c r="AH148" s="620"/>
      <c r="AI148" s="544"/>
    </row>
    <row r="149" spans="1:35" ht="21.95" customHeight="1" x14ac:dyDescent="0.2">
      <c r="A149" s="1"/>
      <c r="B149" s="72"/>
      <c r="C149" s="311"/>
      <c r="F149" s="353"/>
      <c r="G149" s="311"/>
      <c r="J149" s="353"/>
      <c r="K149" s="311"/>
      <c r="N149" s="353"/>
      <c r="O149" s="311"/>
      <c r="R149" s="353"/>
      <c r="S149" s="311"/>
      <c r="V149" s="353"/>
      <c r="W149" s="353"/>
      <c r="Z149" s="353"/>
      <c r="AA149" s="353"/>
      <c r="AD149" s="353"/>
      <c r="AE149" s="353"/>
      <c r="AH149" s="353"/>
    </row>
    <row r="150" spans="1:35" ht="21.95" customHeight="1" x14ac:dyDescent="0.2">
      <c r="A150" s="1" t="s">
        <v>659</v>
      </c>
      <c r="B150" s="72"/>
      <c r="C150" s="311"/>
      <c r="F150" s="353"/>
      <c r="G150" s="311"/>
      <c r="J150" s="353"/>
      <c r="K150" s="311"/>
      <c r="N150" s="353"/>
      <c r="O150" s="311"/>
      <c r="R150" s="353"/>
      <c r="S150" s="311"/>
      <c r="V150" s="353"/>
      <c r="W150" s="353"/>
      <c r="Z150" s="353"/>
      <c r="AA150" s="353"/>
      <c r="AD150" s="353"/>
      <c r="AE150" s="353"/>
      <c r="AH150" s="353"/>
    </row>
    <row r="151" spans="1:35" ht="21.95" customHeight="1" x14ac:dyDescent="0.2">
      <c r="A151" s="585"/>
      <c r="B151" s="296" t="s">
        <v>469</v>
      </c>
      <c r="C151" s="497">
        <v>1</v>
      </c>
      <c r="D151" s="177">
        <v>2</v>
      </c>
      <c r="E151" s="177">
        <v>3</v>
      </c>
      <c r="F151" s="177">
        <v>4</v>
      </c>
      <c r="G151" s="497">
        <v>5</v>
      </c>
      <c r="H151" s="497">
        <v>6</v>
      </c>
      <c r="I151" s="497">
        <v>7</v>
      </c>
      <c r="J151" s="497">
        <v>8</v>
      </c>
      <c r="K151" s="497">
        <v>9</v>
      </c>
      <c r="L151" s="177">
        <v>10</v>
      </c>
      <c r="M151" s="177">
        <v>11</v>
      </c>
      <c r="N151" s="177">
        <v>12</v>
      </c>
      <c r="O151" s="177">
        <v>13</v>
      </c>
      <c r="P151" s="497">
        <v>14</v>
      </c>
      <c r="Q151" s="497">
        <v>15</v>
      </c>
      <c r="R151" s="177">
        <v>16</v>
      </c>
      <c r="S151" s="177">
        <v>17</v>
      </c>
      <c r="T151" s="177">
        <v>18</v>
      </c>
      <c r="U151" s="177">
        <v>19</v>
      </c>
      <c r="V151" s="177">
        <v>20</v>
      </c>
      <c r="W151" s="497">
        <v>21</v>
      </c>
      <c r="X151" s="497">
        <v>22</v>
      </c>
      <c r="Y151" s="177">
        <v>23</v>
      </c>
      <c r="Z151" s="177">
        <v>24</v>
      </c>
      <c r="AA151" s="177">
        <v>25</v>
      </c>
      <c r="AB151" s="177">
        <v>26</v>
      </c>
      <c r="AC151" s="177">
        <v>27</v>
      </c>
      <c r="AD151" s="497">
        <v>28</v>
      </c>
      <c r="AE151" s="497">
        <v>29</v>
      </c>
      <c r="AF151" s="177">
        <v>30</v>
      </c>
      <c r="AG151" s="177"/>
      <c r="AH151" s="499" t="s">
        <v>470</v>
      </c>
      <c r="AI151" s="500" t="s">
        <v>471</v>
      </c>
    </row>
    <row r="152" spans="1:35" ht="21.95" customHeight="1" x14ac:dyDescent="0.2">
      <c r="A152" s="585"/>
      <c r="B152" s="673" t="s">
        <v>610</v>
      </c>
      <c r="C152" s="503"/>
      <c r="D152" s="503" t="s">
        <v>552</v>
      </c>
      <c r="E152" s="503" t="s">
        <v>552</v>
      </c>
      <c r="F152" s="503" t="s">
        <v>552</v>
      </c>
      <c r="G152" s="503"/>
      <c r="H152" s="503"/>
      <c r="I152" s="503"/>
      <c r="J152" s="503"/>
      <c r="K152" s="503"/>
      <c r="L152" s="503" t="s">
        <v>552</v>
      </c>
      <c r="M152" s="503" t="s">
        <v>552</v>
      </c>
      <c r="N152" s="503" t="s">
        <v>552</v>
      </c>
      <c r="O152" s="503" t="s">
        <v>552</v>
      </c>
      <c r="P152" s="503"/>
      <c r="Q152" s="503"/>
      <c r="R152" s="503" t="s">
        <v>552</v>
      </c>
      <c r="S152" s="503" t="s">
        <v>552</v>
      </c>
      <c r="T152" s="503" t="s">
        <v>552</v>
      </c>
      <c r="U152" s="503" t="s">
        <v>552</v>
      </c>
      <c r="V152" s="503" t="s">
        <v>552</v>
      </c>
      <c r="W152" s="503"/>
      <c r="X152" s="503"/>
      <c r="Y152" s="503" t="s">
        <v>552</v>
      </c>
      <c r="Z152" s="503" t="s">
        <v>552</v>
      </c>
      <c r="AA152" s="503" t="s">
        <v>552</v>
      </c>
      <c r="AB152" s="503" t="s">
        <v>552</v>
      </c>
      <c r="AC152" s="503" t="s">
        <v>552</v>
      </c>
      <c r="AD152" s="503"/>
      <c r="AE152" s="503"/>
      <c r="AF152" s="1655" t="s">
        <v>552</v>
      </c>
      <c r="AG152" s="503"/>
      <c r="AH152" s="703">
        <v>0</v>
      </c>
      <c r="AI152" s="704">
        <v>0</v>
      </c>
    </row>
    <row r="153" spans="1:35" ht="21.95" customHeight="1" x14ac:dyDescent="0.2">
      <c r="A153" s="674">
        <v>8500</v>
      </c>
      <c r="B153" s="675" t="s">
        <v>156</v>
      </c>
      <c r="C153" s="503"/>
      <c r="D153" s="1513" t="s">
        <v>552</v>
      </c>
      <c r="E153" s="1513" t="s">
        <v>552</v>
      </c>
      <c r="F153" s="1513" t="s">
        <v>552</v>
      </c>
      <c r="G153" s="503"/>
      <c r="H153" s="503"/>
      <c r="I153" s="503"/>
      <c r="J153" s="503"/>
      <c r="K153" s="503"/>
      <c r="L153" s="503" t="s">
        <v>552</v>
      </c>
      <c r="M153" s="503" t="s">
        <v>552</v>
      </c>
      <c r="N153" s="503" t="s">
        <v>552</v>
      </c>
      <c r="O153" s="503" t="s">
        <v>552</v>
      </c>
      <c r="P153" s="503"/>
      <c r="Q153" s="503"/>
      <c r="R153" s="503" t="s">
        <v>552</v>
      </c>
      <c r="S153" s="503" t="s">
        <v>552</v>
      </c>
      <c r="T153" s="503" t="s">
        <v>552</v>
      </c>
      <c r="U153" s="503" t="s">
        <v>552</v>
      </c>
      <c r="V153" s="503" t="s">
        <v>552</v>
      </c>
      <c r="W153" s="503"/>
      <c r="X153" s="503"/>
      <c r="Y153" s="503" t="s">
        <v>552</v>
      </c>
      <c r="Z153" s="503" t="s">
        <v>552</v>
      </c>
      <c r="AA153" s="503" t="s">
        <v>552</v>
      </c>
      <c r="AB153" s="503" t="s">
        <v>552</v>
      </c>
      <c r="AC153" s="503" t="s">
        <v>552</v>
      </c>
      <c r="AD153" s="503"/>
      <c r="AE153" s="503"/>
      <c r="AF153" s="1513" t="s">
        <v>552</v>
      </c>
      <c r="AG153" s="503"/>
      <c r="AH153" s="648">
        <v>0</v>
      </c>
      <c r="AI153" s="649">
        <v>37</v>
      </c>
    </row>
    <row r="154" spans="1:35" ht="21" customHeight="1" x14ac:dyDescent="0.2">
      <c r="A154" s="441"/>
      <c r="B154" s="673" t="s">
        <v>611</v>
      </c>
      <c r="C154" s="503"/>
      <c r="D154" s="503" t="s">
        <v>552</v>
      </c>
      <c r="E154" s="503" t="s">
        <v>552</v>
      </c>
      <c r="F154" s="503" t="s">
        <v>552</v>
      </c>
      <c r="G154" s="503"/>
      <c r="H154" s="503"/>
      <c r="I154" s="503"/>
      <c r="J154" s="503"/>
      <c r="K154" s="503"/>
      <c r="L154" s="1538" t="s">
        <v>552</v>
      </c>
      <c r="M154" s="1538" t="s">
        <v>552</v>
      </c>
      <c r="N154" s="1538" t="s">
        <v>552</v>
      </c>
      <c r="O154" s="1538" t="s">
        <v>552</v>
      </c>
      <c r="P154" s="503"/>
      <c r="Q154" s="503"/>
      <c r="R154" s="503" t="s">
        <v>552</v>
      </c>
      <c r="S154" s="503" t="s">
        <v>552</v>
      </c>
      <c r="T154" s="503" t="s">
        <v>552</v>
      </c>
      <c r="U154" s="503" t="s">
        <v>552</v>
      </c>
      <c r="V154" s="503" t="s">
        <v>552</v>
      </c>
      <c r="W154" s="503"/>
      <c r="X154" s="503"/>
      <c r="Y154" s="503" t="s">
        <v>552</v>
      </c>
      <c r="Z154" s="503" t="s">
        <v>552</v>
      </c>
      <c r="AA154" s="503" t="s">
        <v>552</v>
      </c>
      <c r="AB154" s="503" t="s">
        <v>552</v>
      </c>
      <c r="AC154" s="503" t="s">
        <v>552</v>
      </c>
      <c r="AD154" s="503"/>
      <c r="AE154" s="503"/>
      <c r="AF154" s="503" t="s">
        <v>552</v>
      </c>
      <c r="AG154" s="503"/>
      <c r="AH154" s="648">
        <v>1</v>
      </c>
      <c r="AI154" s="1704">
        <v>37</v>
      </c>
    </row>
    <row r="155" spans="1:35" ht="21" customHeight="1" x14ac:dyDescent="0.2">
      <c r="A155" s="441">
        <v>8521</v>
      </c>
      <c r="B155" s="673" t="s">
        <v>613</v>
      </c>
      <c r="C155" s="503"/>
      <c r="D155" s="503" t="s">
        <v>552</v>
      </c>
      <c r="E155" s="503" t="s">
        <v>552</v>
      </c>
      <c r="F155" s="503" t="s">
        <v>552</v>
      </c>
      <c r="G155" s="503"/>
      <c r="H155" s="503"/>
      <c r="I155" s="503"/>
      <c r="J155" s="503"/>
      <c r="K155" s="503"/>
      <c r="L155" s="503" t="s">
        <v>552</v>
      </c>
      <c r="M155" s="503" t="s">
        <v>552</v>
      </c>
      <c r="N155" s="503" t="s">
        <v>552</v>
      </c>
      <c r="O155" s="503" t="s">
        <v>552</v>
      </c>
      <c r="P155" s="503"/>
      <c r="Q155" s="503"/>
      <c r="R155" s="503" t="s">
        <v>552</v>
      </c>
      <c r="S155" s="503" t="s">
        <v>552</v>
      </c>
      <c r="T155" s="503" t="s">
        <v>552</v>
      </c>
      <c r="U155" s="503" t="s">
        <v>552</v>
      </c>
      <c r="V155" s="503" t="s">
        <v>552</v>
      </c>
      <c r="W155" s="503"/>
      <c r="X155" s="503"/>
      <c r="Y155" s="503" t="s">
        <v>552</v>
      </c>
      <c r="Z155" s="503" t="s">
        <v>552</v>
      </c>
      <c r="AA155" s="503" t="s">
        <v>552</v>
      </c>
      <c r="AB155" s="503" t="s">
        <v>552</v>
      </c>
      <c r="AC155" s="503" t="s">
        <v>552</v>
      </c>
      <c r="AD155" s="503"/>
      <c r="AE155" s="503"/>
      <c r="AF155" s="1513" t="s">
        <v>552</v>
      </c>
      <c r="AG155" s="503"/>
      <c r="AH155" s="648">
        <v>0</v>
      </c>
      <c r="AI155" s="649">
        <v>0</v>
      </c>
    </row>
    <row r="156" spans="1:35" ht="21" customHeight="1" x14ac:dyDescent="0.2">
      <c r="A156" s="441"/>
      <c r="B156" s="673"/>
      <c r="C156" s="503"/>
      <c r="D156" s="503" t="s">
        <v>552</v>
      </c>
      <c r="E156" s="503" t="s">
        <v>552</v>
      </c>
      <c r="F156" s="503" t="s">
        <v>552</v>
      </c>
      <c r="G156" s="503"/>
      <c r="H156" s="503"/>
      <c r="I156" s="503"/>
      <c r="J156" s="503"/>
      <c r="K156" s="503"/>
      <c r="L156" s="503" t="s">
        <v>552</v>
      </c>
      <c r="M156" s="503" t="s">
        <v>552</v>
      </c>
      <c r="N156" s="503" t="s">
        <v>552</v>
      </c>
      <c r="O156" s="503" t="s">
        <v>552</v>
      </c>
      <c r="P156" s="503"/>
      <c r="Q156" s="503"/>
      <c r="R156" s="503" t="s">
        <v>552</v>
      </c>
      <c r="S156" s="503" t="s">
        <v>552</v>
      </c>
      <c r="T156" s="503" t="s">
        <v>552</v>
      </c>
      <c r="U156" s="503" t="s">
        <v>552</v>
      </c>
      <c r="V156" s="503" t="s">
        <v>552</v>
      </c>
      <c r="W156" s="503"/>
      <c r="X156" s="503"/>
      <c r="Y156" s="1059" t="s">
        <v>552</v>
      </c>
      <c r="Z156" s="1059" t="s">
        <v>552</v>
      </c>
      <c r="AA156" s="1059" t="s">
        <v>552</v>
      </c>
      <c r="AB156" s="1059" t="s">
        <v>552</v>
      </c>
      <c r="AC156" s="1059" t="s">
        <v>552</v>
      </c>
      <c r="AD156" s="1059"/>
      <c r="AE156" s="1059"/>
      <c r="AF156" s="503" t="s">
        <v>552</v>
      </c>
      <c r="AG156" s="503"/>
      <c r="AH156" s="648"/>
      <c r="AI156" s="649"/>
    </row>
    <row r="157" spans="1:35" ht="21" customHeight="1" x14ac:dyDescent="0.2">
      <c r="A157" s="441">
        <v>8514</v>
      </c>
      <c r="B157" s="676" t="s">
        <v>615</v>
      </c>
      <c r="C157" s="503"/>
      <c r="D157" s="1655" t="s">
        <v>552</v>
      </c>
      <c r="E157" s="1655" t="s">
        <v>552</v>
      </c>
      <c r="F157" s="1655" t="s">
        <v>552</v>
      </c>
      <c r="G157" s="503"/>
      <c r="H157" s="503"/>
      <c r="I157" s="503"/>
      <c r="J157" s="503"/>
      <c r="K157" s="503"/>
      <c r="L157" s="503" t="s">
        <v>552</v>
      </c>
      <c r="M157" s="503" t="s">
        <v>552</v>
      </c>
      <c r="N157" s="503" t="s">
        <v>552</v>
      </c>
      <c r="O157" s="503" t="s">
        <v>552</v>
      </c>
      <c r="P157" s="503"/>
      <c r="Q157" s="503"/>
      <c r="R157" s="503" t="s">
        <v>552</v>
      </c>
      <c r="S157" s="503" t="s">
        <v>552</v>
      </c>
      <c r="T157" s="503" t="s">
        <v>552</v>
      </c>
      <c r="U157" s="503" t="s">
        <v>552</v>
      </c>
      <c r="V157" s="503" t="s">
        <v>552</v>
      </c>
      <c r="W157" s="503"/>
      <c r="X157" s="503"/>
      <c r="Y157" s="503" t="s">
        <v>552</v>
      </c>
      <c r="Z157" s="503" t="s">
        <v>552</v>
      </c>
      <c r="AA157" s="503" t="s">
        <v>552</v>
      </c>
      <c r="AB157" s="503" t="s">
        <v>552</v>
      </c>
      <c r="AC157" s="503" t="s">
        <v>552</v>
      </c>
      <c r="AD157" s="503"/>
      <c r="AE157" s="503"/>
      <c r="AF157" s="503" t="s">
        <v>552</v>
      </c>
      <c r="AG157" s="503"/>
      <c r="AH157" s="648">
        <v>0</v>
      </c>
      <c r="AI157" s="649">
        <v>37</v>
      </c>
    </row>
    <row r="158" spans="1:35" ht="21" customHeight="1" x14ac:dyDescent="0.2">
      <c r="A158" s="441">
        <v>3701</v>
      </c>
      <c r="B158" s="673" t="s">
        <v>433</v>
      </c>
      <c r="C158" s="503"/>
      <c r="D158" s="503" t="s">
        <v>552</v>
      </c>
      <c r="E158" s="503" t="s">
        <v>552</v>
      </c>
      <c r="F158" s="503" t="s">
        <v>552</v>
      </c>
      <c r="G158" s="503"/>
      <c r="H158" s="503"/>
      <c r="I158" s="503"/>
      <c r="J158" s="503"/>
      <c r="K158" s="503"/>
      <c r="L158" s="1538" t="s">
        <v>552</v>
      </c>
      <c r="M158" s="1538" t="s">
        <v>552</v>
      </c>
      <c r="N158" s="1538" t="s">
        <v>552</v>
      </c>
      <c r="O158" s="1538" t="s">
        <v>552</v>
      </c>
      <c r="P158" s="503"/>
      <c r="Q158" s="503"/>
      <c r="R158" s="503" t="s">
        <v>552</v>
      </c>
      <c r="S158" s="503" t="s">
        <v>552</v>
      </c>
      <c r="T158" s="503" t="s">
        <v>552</v>
      </c>
      <c r="U158" s="503" t="s">
        <v>552</v>
      </c>
      <c r="V158" s="503" t="s">
        <v>552</v>
      </c>
      <c r="W158" s="503"/>
      <c r="X158" s="503"/>
      <c r="Y158" s="1549" t="s">
        <v>552</v>
      </c>
      <c r="Z158" s="1628" t="s">
        <v>552</v>
      </c>
      <c r="AA158" s="1628" t="s">
        <v>552</v>
      </c>
      <c r="AB158" s="1628" t="s">
        <v>552</v>
      </c>
      <c r="AC158" s="1628" t="s">
        <v>552</v>
      </c>
      <c r="AD158" s="1628"/>
      <c r="AE158" s="1628"/>
      <c r="AF158" s="1628" t="s">
        <v>552</v>
      </c>
      <c r="AG158" s="503"/>
      <c r="AH158" s="648">
        <v>0</v>
      </c>
      <c r="AI158" s="649">
        <v>0</v>
      </c>
    </row>
    <row r="159" spans="1:35" ht="21.95" customHeight="1" x14ac:dyDescent="0.2">
      <c r="A159" s="441">
        <v>3701</v>
      </c>
      <c r="B159" s="673" t="s">
        <v>431</v>
      </c>
      <c r="C159" s="503"/>
      <c r="D159" s="1513" t="s">
        <v>552</v>
      </c>
      <c r="E159" s="1513" t="s">
        <v>552</v>
      </c>
      <c r="F159" s="1513" t="s">
        <v>552</v>
      </c>
      <c r="G159" s="503"/>
      <c r="H159" s="503"/>
      <c r="I159" s="503"/>
      <c r="J159" s="503"/>
      <c r="K159" s="503"/>
      <c r="L159" s="503" t="s">
        <v>552</v>
      </c>
      <c r="M159" s="503" t="s">
        <v>552</v>
      </c>
      <c r="N159" s="503" t="s">
        <v>552</v>
      </c>
      <c r="O159" s="503" t="s">
        <v>552</v>
      </c>
      <c r="P159" s="503"/>
      <c r="Q159" s="503"/>
      <c r="R159" s="503" t="s">
        <v>552</v>
      </c>
      <c r="S159" s="503" t="s">
        <v>552</v>
      </c>
      <c r="T159" s="503" t="s">
        <v>552</v>
      </c>
      <c r="U159" s="1513" t="s">
        <v>552</v>
      </c>
      <c r="V159" s="1513" t="s">
        <v>552</v>
      </c>
      <c r="W159" s="503"/>
      <c r="X159" s="503"/>
      <c r="Y159" s="503" t="s">
        <v>552</v>
      </c>
      <c r="Z159" s="503" t="s">
        <v>552</v>
      </c>
      <c r="AA159" s="503" t="s">
        <v>552</v>
      </c>
      <c r="AB159" s="503" t="s">
        <v>552</v>
      </c>
      <c r="AC159" s="503" t="s">
        <v>552</v>
      </c>
      <c r="AD159" s="503"/>
      <c r="AE159" s="503"/>
      <c r="AF159" s="503" t="s">
        <v>552</v>
      </c>
      <c r="AG159" s="503"/>
      <c r="AH159" s="648">
        <v>8</v>
      </c>
      <c r="AI159" s="649">
        <v>37</v>
      </c>
    </row>
    <row r="160" spans="1:35" ht="21.95" customHeight="1" x14ac:dyDescent="0.2">
      <c r="A160" s="441">
        <v>3701</v>
      </c>
      <c r="B160" s="673" t="s">
        <v>434</v>
      </c>
      <c r="C160" s="503"/>
      <c r="D160" s="1538" t="s">
        <v>552</v>
      </c>
      <c r="E160" s="1538" t="s">
        <v>552</v>
      </c>
      <c r="F160" s="1538" t="s">
        <v>552</v>
      </c>
      <c r="G160" s="503"/>
      <c r="H160" s="503"/>
      <c r="I160" s="503"/>
      <c r="J160" s="503"/>
      <c r="K160" s="503"/>
      <c r="L160" s="1513" t="s">
        <v>552</v>
      </c>
      <c r="M160" s="1510" t="s">
        <v>552</v>
      </c>
      <c r="N160" s="1510" t="s">
        <v>617</v>
      </c>
      <c r="O160" s="503" t="s">
        <v>552</v>
      </c>
      <c r="P160" s="503"/>
      <c r="Q160" s="503"/>
      <c r="R160" s="503" t="s">
        <v>552</v>
      </c>
      <c r="S160" s="503" t="s">
        <v>552</v>
      </c>
      <c r="T160" s="503" t="s">
        <v>552</v>
      </c>
      <c r="U160" s="503" t="s">
        <v>552</v>
      </c>
      <c r="V160" s="503" t="s">
        <v>552</v>
      </c>
      <c r="W160" s="503"/>
      <c r="X160" s="503"/>
      <c r="Y160" s="503" t="s">
        <v>552</v>
      </c>
      <c r="Z160" s="1440" t="s">
        <v>552</v>
      </c>
      <c r="AA160" s="1440" t="s">
        <v>552</v>
      </c>
      <c r="AB160" s="1440" t="s">
        <v>552</v>
      </c>
      <c r="AC160" s="1440" t="s">
        <v>552</v>
      </c>
      <c r="AD160" s="503"/>
      <c r="AE160" s="503"/>
      <c r="AF160" s="1513">
        <v>19</v>
      </c>
      <c r="AG160" s="503"/>
      <c r="AH160" s="648">
        <v>0</v>
      </c>
      <c r="AI160" s="649">
        <v>0</v>
      </c>
    </row>
    <row r="161" spans="1:35" ht="21.95" customHeight="1" x14ac:dyDescent="0.2">
      <c r="A161" s="441">
        <v>3701</v>
      </c>
      <c r="B161" s="673" t="s">
        <v>436</v>
      </c>
      <c r="C161" s="503"/>
      <c r="D161" s="503" t="s">
        <v>552</v>
      </c>
      <c r="E161" s="1440" t="s">
        <v>552</v>
      </c>
      <c r="F161" s="1440" t="s">
        <v>552</v>
      </c>
      <c r="G161" s="503"/>
      <c r="H161" s="503"/>
      <c r="I161" s="503"/>
      <c r="J161" s="503"/>
      <c r="K161" s="503"/>
      <c r="L161" s="1440">
        <v>19</v>
      </c>
      <c r="M161" s="1440">
        <v>19</v>
      </c>
      <c r="N161" s="1440">
        <v>19</v>
      </c>
      <c r="O161" s="1440">
        <v>17</v>
      </c>
      <c r="P161" s="503"/>
      <c r="Q161" s="503"/>
      <c r="R161" s="503" t="s">
        <v>552</v>
      </c>
      <c r="S161" s="503" t="s">
        <v>552</v>
      </c>
      <c r="T161" s="503" t="s">
        <v>552</v>
      </c>
      <c r="U161" s="503" t="s">
        <v>552</v>
      </c>
      <c r="V161" s="503" t="s">
        <v>552</v>
      </c>
      <c r="W161" s="503"/>
      <c r="X161" s="503"/>
      <c r="Y161" s="503" t="s">
        <v>552</v>
      </c>
      <c r="Z161" s="503" t="s">
        <v>552</v>
      </c>
      <c r="AA161" s="503" t="s">
        <v>552</v>
      </c>
      <c r="AB161" s="503" t="s">
        <v>552</v>
      </c>
      <c r="AC161" s="503" t="s">
        <v>552</v>
      </c>
      <c r="AD161" s="503"/>
      <c r="AE161" s="503"/>
      <c r="AF161" s="503" t="s">
        <v>552</v>
      </c>
      <c r="AG161" s="503"/>
      <c r="AH161" s="648">
        <v>0</v>
      </c>
      <c r="AI161" s="649">
        <v>0</v>
      </c>
    </row>
    <row r="162" spans="1:35" ht="21.95" customHeight="1" x14ac:dyDescent="0.2">
      <c r="A162" s="441">
        <v>3701</v>
      </c>
      <c r="B162" s="673" t="s">
        <v>437</v>
      </c>
      <c r="C162" s="503"/>
      <c r="D162" s="1628" t="s">
        <v>552</v>
      </c>
      <c r="E162" s="1628" t="s">
        <v>552</v>
      </c>
      <c r="F162" s="1628" t="s">
        <v>552</v>
      </c>
      <c r="G162" s="503"/>
      <c r="H162" s="503"/>
      <c r="I162" s="503"/>
      <c r="J162" s="503"/>
      <c r="K162" s="503"/>
      <c r="L162" s="503" t="s">
        <v>552</v>
      </c>
      <c r="M162" s="503" t="s">
        <v>552</v>
      </c>
      <c r="N162" s="503" t="s">
        <v>552</v>
      </c>
      <c r="O162" s="503" t="s">
        <v>552</v>
      </c>
      <c r="P162" s="503"/>
      <c r="Q162" s="503"/>
      <c r="R162" s="503" t="s">
        <v>552</v>
      </c>
      <c r="S162" s="1440" t="s">
        <v>552</v>
      </c>
      <c r="T162" s="1440" t="s">
        <v>552</v>
      </c>
      <c r="U162" s="1440" t="s">
        <v>552</v>
      </c>
      <c r="V162" s="1440" t="s">
        <v>552</v>
      </c>
      <c r="W162" s="503"/>
      <c r="X162" s="503"/>
      <c r="Y162" s="503">
        <v>19</v>
      </c>
      <c r="Z162" s="1440">
        <v>19</v>
      </c>
      <c r="AA162" s="1440">
        <v>19</v>
      </c>
      <c r="AB162" s="1440">
        <v>19</v>
      </c>
      <c r="AC162" s="1440">
        <v>17</v>
      </c>
      <c r="AD162" s="503"/>
      <c r="AE162" s="503"/>
      <c r="AF162" s="503" t="s">
        <v>552</v>
      </c>
      <c r="AG162" s="503"/>
      <c r="AH162" s="648">
        <v>0</v>
      </c>
      <c r="AI162" s="649">
        <v>0</v>
      </c>
    </row>
    <row r="163" spans="1:35" ht="21.95" customHeight="1" x14ac:dyDescent="0.2">
      <c r="A163" s="441">
        <v>3701</v>
      </c>
      <c r="B163" s="673" t="s">
        <v>618</v>
      </c>
      <c r="C163" s="503"/>
      <c r="D163" s="1538" t="s">
        <v>552</v>
      </c>
      <c r="E163" s="1538" t="s">
        <v>552</v>
      </c>
      <c r="F163" s="503" t="s">
        <v>552</v>
      </c>
      <c r="G163" s="503"/>
      <c r="H163" s="503"/>
      <c r="I163" s="503"/>
      <c r="J163" s="503"/>
      <c r="K163" s="503"/>
      <c r="L163" s="503" t="s">
        <v>552</v>
      </c>
      <c r="M163" s="503" t="s">
        <v>552</v>
      </c>
      <c r="N163" s="503" t="s">
        <v>552</v>
      </c>
      <c r="O163" s="503" t="s">
        <v>552</v>
      </c>
      <c r="P163" s="503"/>
      <c r="Q163" s="503"/>
      <c r="R163" s="503" t="s">
        <v>552</v>
      </c>
      <c r="S163" s="503" t="s">
        <v>552</v>
      </c>
      <c r="T163" s="503" t="s">
        <v>552</v>
      </c>
      <c r="U163" s="503" t="s">
        <v>552</v>
      </c>
      <c r="V163" s="503" t="s">
        <v>552</v>
      </c>
      <c r="W163" s="503"/>
      <c r="X163" s="503"/>
      <c r="Y163" s="503" t="s">
        <v>552</v>
      </c>
      <c r="Z163" s="503" t="s">
        <v>552</v>
      </c>
      <c r="AA163" s="503" t="s">
        <v>552</v>
      </c>
      <c r="AB163" s="503" t="s">
        <v>552</v>
      </c>
      <c r="AC163" s="503" t="s">
        <v>552</v>
      </c>
      <c r="AD163" s="503"/>
      <c r="AE163" s="503"/>
      <c r="AF163" s="1513" t="s">
        <v>552</v>
      </c>
      <c r="AG163" s="503"/>
      <c r="AH163" s="648">
        <v>0</v>
      </c>
      <c r="AI163" s="649">
        <v>0</v>
      </c>
    </row>
    <row r="164" spans="1:35" ht="21.95" customHeight="1" x14ac:dyDescent="0.2">
      <c r="A164" s="441">
        <v>3701</v>
      </c>
      <c r="B164" s="552" t="s">
        <v>619</v>
      </c>
      <c r="C164" s="503"/>
      <c r="D164" s="503" t="s">
        <v>552</v>
      </c>
      <c r="E164" s="503" t="s">
        <v>552</v>
      </c>
      <c r="F164" s="503" t="s">
        <v>552</v>
      </c>
      <c r="G164" s="503"/>
      <c r="H164" s="503"/>
      <c r="I164" s="503"/>
      <c r="J164" s="503"/>
      <c r="K164" s="503"/>
      <c r="L164" s="1440" t="s">
        <v>552</v>
      </c>
      <c r="M164" s="1440" t="s">
        <v>552</v>
      </c>
      <c r="N164" s="1440" t="s">
        <v>552</v>
      </c>
      <c r="O164" s="1440" t="s">
        <v>552</v>
      </c>
      <c r="P164" s="503"/>
      <c r="Q164" s="503"/>
      <c r="R164" s="503">
        <v>19</v>
      </c>
      <c r="S164" s="1440">
        <v>19</v>
      </c>
      <c r="T164" s="1440">
        <v>19</v>
      </c>
      <c r="U164" s="1440">
        <v>19</v>
      </c>
      <c r="V164" s="1440">
        <v>17</v>
      </c>
      <c r="W164" s="503"/>
      <c r="X164" s="503"/>
      <c r="Y164" s="503" t="s">
        <v>552</v>
      </c>
      <c r="Z164" s="503" t="s">
        <v>552</v>
      </c>
      <c r="AA164" s="503" t="s">
        <v>552</v>
      </c>
      <c r="AB164" s="503" t="s">
        <v>552</v>
      </c>
      <c r="AC164" s="503" t="s">
        <v>552</v>
      </c>
      <c r="AD164" s="503"/>
      <c r="AE164" s="503"/>
      <c r="AF164" s="503" t="s">
        <v>552</v>
      </c>
      <c r="AG164" s="503"/>
      <c r="AH164" s="648">
        <v>0</v>
      </c>
      <c r="AI164" s="649">
        <v>37</v>
      </c>
    </row>
    <row r="165" spans="1:35" ht="21.95" customHeight="1" x14ac:dyDescent="0.2">
      <c r="A165" s="1433">
        <v>3701</v>
      </c>
      <c r="B165" s="1434" t="s">
        <v>620</v>
      </c>
      <c r="C165" s="503"/>
      <c r="D165" s="503">
        <v>19</v>
      </c>
      <c r="E165" s="1440">
        <v>19</v>
      </c>
      <c r="F165" s="1440">
        <v>19</v>
      </c>
      <c r="G165" s="503"/>
      <c r="H165" s="503"/>
      <c r="I165" s="503"/>
      <c r="J165" s="503"/>
      <c r="K165" s="503"/>
      <c r="L165" s="503" t="s">
        <v>552</v>
      </c>
      <c r="M165" s="503" t="s">
        <v>552</v>
      </c>
      <c r="N165" s="503" t="s">
        <v>552</v>
      </c>
      <c r="O165" s="503" t="s">
        <v>552</v>
      </c>
      <c r="P165" s="503"/>
      <c r="Q165" s="503"/>
      <c r="R165" s="503" t="s">
        <v>552</v>
      </c>
      <c r="S165" s="503" t="s">
        <v>552</v>
      </c>
      <c r="T165" s="503" t="s">
        <v>552</v>
      </c>
      <c r="U165" s="503" t="s">
        <v>552</v>
      </c>
      <c r="V165" s="503" t="s">
        <v>552</v>
      </c>
      <c r="W165" s="503"/>
      <c r="X165" s="503"/>
      <c r="Y165" s="503" t="s">
        <v>552</v>
      </c>
      <c r="Z165" s="503" t="s">
        <v>552</v>
      </c>
      <c r="AA165" s="503" t="s">
        <v>552</v>
      </c>
      <c r="AB165" s="503" t="s">
        <v>552</v>
      </c>
      <c r="AC165" s="503" t="s">
        <v>552</v>
      </c>
      <c r="AD165" s="503"/>
      <c r="AE165" s="503"/>
      <c r="AF165" s="1539" t="s">
        <v>552</v>
      </c>
      <c r="AG165" s="503"/>
      <c r="AH165" s="648">
        <v>0</v>
      </c>
      <c r="AI165" s="649">
        <v>6</v>
      </c>
    </row>
    <row r="166" spans="1:35" ht="21.95" customHeight="1" x14ac:dyDescent="0.2">
      <c r="A166" s="441">
        <v>3701</v>
      </c>
      <c r="B166" s="552" t="s">
        <v>621</v>
      </c>
      <c r="C166" s="503"/>
      <c r="D166" s="1655" t="s">
        <v>552</v>
      </c>
      <c r="E166" s="1655" t="s">
        <v>552</v>
      </c>
      <c r="F166" s="1655" t="s">
        <v>552</v>
      </c>
      <c r="G166" s="503"/>
      <c r="H166" s="503"/>
      <c r="I166" s="503"/>
      <c r="J166" s="503"/>
      <c r="K166" s="503"/>
      <c r="L166" s="1655" t="s">
        <v>552</v>
      </c>
      <c r="M166" s="1655" t="s">
        <v>552</v>
      </c>
      <c r="N166" s="1655" t="s">
        <v>552</v>
      </c>
      <c r="O166" s="1655" t="s">
        <v>552</v>
      </c>
      <c r="P166" s="503"/>
      <c r="Q166" s="503"/>
      <c r="R166" s="503" t="s">
        <v>552</v>
      </c>
      <c r="S166" s="503" t="s">
        <v>552</v>
      </c>
      <c r="T166" s="503" t="s">
        <v>552</v>
      </c>
      <c r="U166" s="503" t="s">
        <v>552</v>
      </c>
      <c r="V166" s="503" t="s">
        <v>552</v>
      </c>
      <c r="W166" s="503"/>
      <c r="X166" s="503"/>
      <c r="Y166" s="503" t="s">
        <v>552</v>
      </c>
      <c r="Z166" s="503" t="s">
        <v>552</v>
      </c>
      <c r="AA166" s="503" t="s">
        <v>552</v>
      </c>
      <c r="AB166" s="503" t="s">
        <v>552</v>
      </c>
      <c r="AC166" s="503" t="s">
        <v>552</v>
      </c>
      <c r="AD166" s="503"/>
      <c r="AE166" s="503"/>
      <c r="AF166" s="503" t="s">
        <v>552</v>
      </c>
      <c r="AG166" s="503"/>
      <c r="AH166" s="648">
        <v>0</v>
      </c>
      <c r="AI166" s="1704">
        <v>4</v>
      </c>
    </row>
    <row r="167" spans="1:35" ht="21.95" customHeight="1" x14ac:dyDescent="0.2">
      <c r="A167" s="441">
        <v>3701</v>
      </c>
      <c r="B167" s="673" t="s">
        <v>622</v>
      </c>
      <c r="C167" s="503"/>
      <c r="D167" s="503" t="s">
        <v>552</v>
      </c>
      <c r="E167" s="503" t="s">
        <v>552</v>
      </c>
      <c r="F167" s="503" t="s">
        <v>552</v>
      </c>
      <c r="G167" s="503"/>
      <c r="H167" s="503"/>
      <c r="I167" s="503"/>
      <c r="J167" s="503"/>
      <c r="K167" s="503"/>
      <c r="L167" s="503" t="s">
        <v>552</v>
      </c>
      <c r="M167" s="1655" t="s">
        <v>552</v>
      </c>
      <c r="N167" s="503" t="s">
        <v>552</v>
      </c>
      <c r="O167" s="503" t="s">
        <v>552</v>
      </c>
      <c r="P167" s="503"/>
      <c r="Q167" s="503"/>
      <c r="R167" s="503" t="s">
        <v>552</v>
      </c>
      <c r="S167" s="503" t="s">
        <v>552</v>
      </c>
      <c r="T167" s="503" t="s">
        <v>552</v>
      </c>
      <c r="U167" s="503" t="s">
        <v>552</v>
      </c>
      <c r="V167" s="503" t="s">
        <v>552</v>
      </c>
      <c r="W167" s="503"/>
      <c r="X167" s="503"/>
      <c r="Y167" s="503" t="s">
        <v>552</v>
      </c>
      <c r="Z167" s="1655" t="s">
        <v>552</v>
      </c>
      <c r="AA167" s="1655" t="s">
        <v>552</v>
      </c>
      <c r="AB167" s="503" t="s">
        <v>552</v>
      </c>
      <c r="AC167" s="503" t="s">
        <v>552</v>
      </c>
      <c r="AD167" s="503"/>
      <c r="AE167" s="503"/>
      <c r="AF167" s="1655" t="s">
        <v>552</v>
      </c>
      <c r="AG167" s="503"/>
      <c r="AH167" s="648">
        <v>0</v>
      </c>
      <c r="AI167" s="1704">
        <v>29</v>
      </c>
    </row>
    <row r="168" spans="1:35" ht="21.95" customHeight="1" x14ac:dyDescent="0.2">
      <c r="A168" s="441">
        <v>3701</v>
      </c>
      <c r="B168" s="673" t="s">
        <v>623</v>
      </c>
      <c r="C168" s="503"/>
      <c r="D168" s="1655" t="s">
        <v>552</v>
      </c>
      <c r="E168" s="1655" t="s">
        <v>552</v>
      </c>
      <c r="F168" s="1655" t="s">
        <v>552</v>
      </c>
      <c r="G168" s="503"/>
      <c r="H168" s="503"/>
      <c r="I168" s="503"/>
      <c r="J168" s="503"/>
      <c r="K168" s="503"/>
      <c r="L168" s="503" t="s">
        <v>552</v>
      </c>
      <c r="M168" s="503" t="s">
        <v>552</v>
      </c>
      <c r="N168" s="503" t="s">
        <v>552</v>
      </c>
      <c r="O168" s="503" t="s">
        <v>552</v>
      </c>
      <c r="P168" s="503"/>
      <c r="Q168" s="503"/>
      <c r="R168" s="503" t="s">
        <v>552</v>
      </c>
      <c r="S168" s="503" t="s">
        <v>552</v>
      </c>
      <c r="T168" s="503" t="s">
        <v>552</v>
      </c>
      <c r="U168" s="503" t="s">
        <v>552</v>
      </c>
      <c r="V168" s="1655" t="s">
        <v>552</v>
      </c>
      <c r="W168" s="503"/>
      <c r="X168" s="503"/>
      <c r="Y168" s="1628" t="s">
        <v>552</v>
      </c>
      <c r="Z168" s="503" t="s">
        <v>552</v>
      </c>
      <c r="AA168" s="503" t="s">
        <v>552</v>
      </c>
      <c r="AB168" s="503" t="s">
        <v>552</v>
      </c>
      <c r="AC168" s="503" t="s">
        <v>552</v>
      </c>
      <c r="AD168" s="503"/>
      <c r="AE168" s="503"/>
      <c r="AF168" s="503" t="s">
        <v>552</v>
      </c>
      <c r="AG168" s="503"/>
      <c r="AH168" s="648">
        <v>0</v>
      </c>
      <c r="AI168" s="1704">
        <v>7</v>
      </c>
    </row>
    <row r="169" spans="1:35" ht="21.95" customHeight="1" x14ac:dyDescent="0.2">
      <c r="A169" s="441"/>
      <c r="B169" s="1111" t="s">
        <v>720</v>
      </c>
      <c r="C169" s="503"/>
      <c r="D169" s="503" t="s">
        <v>552</v>
      </c>
      <c r="E169" s="503" t="s">
        <v>552</v>
      </c>
      <c r="F169" s="1655" t="s">
        <v>552</v>
      </c>
      <c r="G169" s="503"/>
      <c r="H169" s="503"/>
      <c r="I169" s="503"/>
      <c r="J169" s="503"/>
      <c r="K169" s="503"/>
      <c r="L169" s="1655" t="s">
        <v>552</v>
      </c>
      <c r="M169" s="1655" t="s">
        <v>552</v>
      </c>
      <c r="N169" s="1655" t="s">
        <v>552</v>
      </c>
      <c r="O169" s="1655" t="s">
        <v>552</v>
      </c>
      <c r="P169" s="1655"/>
      <c r="Q169" s="1655"/>
      <c r="R169" s="503" t="s">
        <v>552</v>
      </c>
      <c r="S169" s="503" t="s">
        <v>552</v>
      </c>
      <c r="T169" s="503" t="s">
        <v>552</v>
      </c>
      <c r="U169" s="503" t="s">
        <v>552</v>
      </c>
      <c r="V169" s="503" t="s">
        <v>552</v>
      </c>
      <c r="W169" s="503"/>
      <c r="X169" s="503"/>
      <c r="Y169" s="503" t="s">
        <v>552</v>
      </c>
      <c r="Z169" s="503" t="s">
        <v>552</v>
      </c>
      <c r="AA169" s="503" t="s">
        <v>552</v>
      </c>
      <c r="AB169" s="503" t="s">
        <v>552</v>
      </c>
      <c r="AC169" s="503" t="s">
        <v>552</v>
      </c>
      <c r="AD169" s="503"/>
      <c r="AE169" s="503"/>
      <c r="AF169" s="503" t="s">
        <v>552</v>
      </c>
      <c r="AG169" s="503"/>
      <c r="AH169" s="648"/>
      <c r="AI169" s="649"/>
    </row>
    <row r="170" spans="1:35" ht="21.95" customHeight="1" x14ac:dyDescent="0.2">
      <c r="A170" s="621"/>
      <c r="B170" s="677"/>
      <c r="C170" s="525"/>
      <c r="D170" s="525"/>
      <c r="E170" s="525"/>
      <c r="F170" s="525"/>
      <c r="G170" s="525"/>
      <c r="H170" s="525"/>
      <c r="I170" s="525"/>
      <c r="J170" s="525"/>
      <c r="K170" s="525"/>
      <c r="L170" s="525"/>
      <c r="M170" s="525"/>
      <c r="N170" s="525"/>
      <c r="O170" s="525"/>
      <c r="P170" s="525"/>
      <c r="Q170" s="525"/>
      <c r="R170" s="525"/>
      <c r="S170" s="525"/>
      <c r="T170" s="525"/>
      <c r="U170" s="525"/>
      <c r="V170" s="525"/>
      <c r="W170" s="525"/>
      <c r="X170" s="525"/>
      <c r="Y170" s="525"/>
      <c r="Z170" s="525"/>
      <c r="AA170" s="525"/>
      <c r="AB170" s="525"/>
      <c r="AC170" s="525"/>
      <c r="AD170" s="525"/>
      <c r="AE170" s="525"/>
      <c r="AF170" s="590"/>
      <c r="AG170" s="590"/>
      <c r="AH170" s="591"/>
      <c r="AI170" s="591"/>
    </row>
    <row r="171" spans="1:35" ht="21" customHeight="1" x14ac:dyDescent="0.2">
      <c r="A171" s="1" t="s">
        <v>624</v>
      </c>
    </row>
    <row r="172" spans="1:35" ht="21" customHeight="1" x14ac:dyDescent="0.2">
      <c r="B172" s="200" t="s">
        <v>604</v>
      </c>
      <c r="C172" s="7"/>
      <c r="D172" s="530" t="s">
        <v>2</v>
      </c>
      <c r="E172" s="51"/>
      <c r="F172" s="573"/>
      <c r="G172" s="7"/>
      <c r="H172" s="530" t="s">
        <v>3</v>
      </c>
      <c r="I172" s="51"/>
      <c r="J172" s="573"/>
      <c r="K172" s="7"/>
      <c r="L172" s="530" t="s">
        <v>4</v>
      </c>
      <c r="M172" s="51"/>
      <c r="N172" s="573"/>
      <c r="O172" s="7"/>
      <c r="P172" s="530" t="s">
        <v>5</v>
      </c>
      <c r="Q172" s="51"/>
      <c r="R172" s="573"/>
      <c r="S172" s="7"/>
      <c r="T172" s="530" t="s">
        <v>6</v>
      </c>
      <c r="U172" s="51"/>
      <c r="V172" s="573"/>
      <c r="W172" s="7"/>
      <c r="X172" s="530" t="s">
        <v>7</v>
      </c>
      <c r="Y172" s="51"/>
      <c r="Z172" s="573"/>
      <c r="AA172" s="7"/>
      <c r="AB172" s="530" t="s">
        <v>8</v>
      </c>
      <c r="AC172" s="51"/>
      <c r="AD172" s="51"/>
      <c r="AE172" s="424" t="s">
        <v>10</v>
      </c>
      <c r="AF172" s="51"/>
      <c r="AG172" s="51"/>
      <c r="AH172" s="51"/>
      <c r="AI172" s="531"/>
    </row>
    <row r="173" spans="1:35" ht="21" customHeight="1" x14ac:dyDescent="0.2">
      <c r="B173" s="9">
        <v>8502</v>
      </c>
      <c r="C173" s="14" t="s">
        <v>11</v>
      </c>
      <c r="D173" s="659"/>
      <c r="E173" s="55"/>
      <c r="F173" s="580"/>
      <c r="G173" s="14" t="s">
        <v>11</v>
      </c>
      <c r="H173" s="659"/>
      <c r="I173" s="55"/>
      <c r="J173" s="580"/>
      <c r="K173" s="14" t="s">
        <v>11</v>
      </c>
      <c r="L173" s="659"/>
      <c r="M173" s="55"/>
      <c r="N173" s="580"/>
      <c r="O173" s="14" t="s">
        <v>11</v>
      </c>
      <c r="P173" s="659"/>
      <c r="Q173" s="55"/>
      <c r="R173" s="580"/>
      <c r="S173" s="14" t="s">
        <v>12</v>
      </c>
      <c r="T173" s="659"/>
      <c r="U173" s="55"/>
      <c r="V173" s="580"/>
      <c r="W173" s="14"/>
      <c r="X173" s="659"/>
      <c r="Y173" s="55"/>
      <c r="Z173" s="580"/>
      <c r="AA173" s="14"/>
      <c r="AB173" s="659"/>
      <c r="AC173" s="55"/>
      <c r="AD173" s="55"/>
      <c r="AE173" s="660"/>
      <c r="AF173" s="55"/>
      <c r="AG173" s="55"/>
      <c r="AH173" s="55"/>
      <c r="AI173" s="661"/>
    </row>
    <row r="174" spans="1:35" ht="21" customHeight="1" x14ac:dyDescent="0.2">
      <c r="B174" s="662">
        <v>3701</v>
      </c>
      <c r="C174" s="121" t="s">
        <v>11</v>
      </c>
      <c r="D174" s="130"/>
      <c r="E174" s="55"/>
      <c r="F174" s="580"/>
      <c r="G174" s="121" t="s">
        <v>11</v>
      </c>
      <c r="H174" s="659"/>
      <c r="I174" s="55"/>
      <c r="J174" s="580"/>
      <c r="K174" s="121" t="s">
        <v>11</v>
      </c>
      <c r="L174" s="659"/>
      <c r="M174" s="55"/>
      <c r="N174" s="580"/>
      <c r="O174" s="121" t="s">
        <v>11</v>
      </c>
      <c r="P174" s="659"/>
      <c r="Q174" s="55"/>
      <c r="R174" s="580"/>
      <c r="S174" s="14" t="s">
        <v>12</v>
      </c>
      <c r="T174" s="659"/>
      <c r="U174" s="55"/>
      <c r="V174" s="580"/>
      <c r="W174" s="14"/>
      <c r="X174" s="659"/>
      <c r="Y174" s="55"/>
      <c r="Z174" s="580"/>
      <c r="AA174" s="14"/>
      <c r="AB174" s="659"/>
      <c r="AC174" s="55"/>
      <c r="AD174" s="55"/>
      <c r="AE174" s="660"/>
      <c r="AF174" s="55"/>
      <c r="AG174" s="55"/>
      <c r="AH174" s="55"/>
      <c r="AI174" s="661"/>
    </row>
    <row r="175" spans="1:35" ht="21" customHeight="1" x14ac:dyDescent="0.2">
      <c r="B175" s="662">
        <v>3705</v>
      </c>
      <c r="C175" s="121" t="s">
        <v>147</v>
      </c>
      <c r="D175" s="130"/>
      <c r="E175" s="55"/>
      <c r="F175" s="580"/>
      <c r="G175" s="121" t="s">
        <v>147</v>
      </c>
      <c r="H175" s="659"/>
      <c r="I175" s="55"/>
      <c r="J175" s="580"/>
      <c r="K175" s="121" t="s">
        <v>147</v>
      </c>
      <c r="L175" s="659"/>
      <c r="M175" s="55"/>
      <c r="N175" s="580"/>
      <c r="O175" s="121" t="s">
        <v>147</v>
      </c>
      <c r="P175" s="659"/>
      <c r="Q175" s="55"/>
      <c r="R175" s="580"/>
      <c r="S175" s="121" t="s">
        <v>536</v>
      </c>
      <c r="T175" s="659"/>
      <c r="U175" s="55"/>
      <c r="V175" s="580"/>
      <c r="W175" s="14"/>
      <c r="X175" s="659"/>
      <c r="Y175" s="55"/>
      <c r="Z175" s="580"/>
      <c r="AA175" s="14"/>
      <c r="AB175" s="659"/>
      <c r="AC175" s="55"/>
      <c r="AD175" s="55"/>
      <c r="AE175" s="660"/>
      <c r="AF175" s="55"/>
      <c r="AG175" s="55"/>
      <c r="AH175" s="55"/>
      <c r="AI175" s="661"/>
    </row>
    <row r="176" spans="1:35" ht="21" customHeight="1" x14ac:dyDescent="0.2">
      <c r="B176" s="662" t="s">
        <v>625</v>
      </c>
      <c r="C176" s="611" t="s">
        <v>626</v>
      </c>
      <c r="D176" s="130"/>
      <c r="E176" s="55"/>
      <c r="F176" s="580"/>
      <c r="G176" s="611" t="s">
        <v>626</v>
      </c>
      <c r="H176" s="659"/>
      <c r="I176" s="55"/>
      <c r="J176" s="580"/>
      <c r="K176" s="611" t="s">
        <v>626</v>
      </c>
      <c r="L176" s="659"/>
      <c r="M176" s="55"/>
      <c r="N176" s="580"/>
      <c r="O176" s="611" t="s">
        <v>626</v>
      </c>
      <c r="P176" s="659"/>
      <c r="Q176" s="55"/>
      <c r="R176" s="580"/>
      <c r="S176" s="611" t="s">
        <v>626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5" ht="21" customHeight="1" x14ac:dyDescent="0.2">
      <c r="B177" s="662" t="s">
        <v>627</v>
      </c>
      <c r="C177" s="611" t="s">
        <v>628</v>
      </c>
      <c r="D177" s="130"/>
      <c r="E177" s="55"/>
      <c r="F177" s="580"/>
      <c r="G177" s="659" t="s">
        <v>629</v>
      </c>
      <c r="H177" s="659"/>
      <c r="I177" s="55"/>
      <c r="J177" s="580"/>
      <c r="K177" s="659" t="s">
        <v>630</v>
      </c>
      <c r="L177" s="659"/>
      <c r="M177" s="55"/>
      <c r="N177" s="580"/>
      <c r="O177" s="659" t="s">
        <v>630</v>
      </c>
      <c r="P177" s="659"/>
      <c r="Q177" s="55"/>
      <c r="R177" s="580"/>
      <c r="S177" s="659" t="s">
        <v>631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5" ht="21" customHeight="1" x14ac:dyDescent="0.2">
      <c r="B178" s="662" t="s">
        <v>324</v>
      </c>
      <c r="C178" s="611" t="s">
        <v>632</v>
      </c>
      <c r="D178" s="130"/>
      <c r="E178" s="55"/>
      <c r="F178" s="580"/>
      <c r="G178" s="611" t="s">
        <v>632</v>
      </c>
      <c r="H178" s="130"/>
      <c r="I178" s="55"/>
      <c r="J178" s="580"/>
      <c r="K178" s="611" t="s">
        <v>632</v>
      </c>
      <c r="L178" s="130"/>
      <c r="M178" s="55"/>
      <c r="N178" s="580"/>
      <c r="O178" s="611" t="s">
        <v>632</v>
      </c>
      <c r="P178" s="130"/>
      <c r="Q178" s="55"/>
      <c r="R178" s="580"/>
      <c r="S178" s="659" t="s">
        <v>633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5" ht="21" customHeight="1" x14ac:dyDescent="0.2">
      <c r="B179" s="662" t="s">
        <v>325</v>
      </c>
      <c r="C179" s="611" t="s">
        <v>634</v>
      </c>
      <c r="D179" s="130"/>
      <c r="E179" s="55"/>
      <c r="F179" s="580"/>
      <c r="G179" s="611" t="s">
        <v>634</v>
      </c>
      <c r="H179" s="130"/>
      <c r="I179" s="55"/>
      <c r="J179" s="580"/>
      <c r="K179" s="611" t="s">
        <v>634</v>
      </c>
      <c r="L179" s="130"/>
      <c r="M179" s="55"/>
      <c r="N179" s="580"/>
      <c r="O179" s="611" t="s">
        <v>634</v>
      </c>
      <c r="P179" s="130"/>
      <c r="Q179" s="55"/>
      <c r="R179" s="580"/>
      <c r="S179" s="659" t="s">
        <v>635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5" ht="21" customHeight="1" x14ac:dyDescent="0.2">
      <c r="B180" s="671" t="s">
        <v>326</v>
      </c>
      <c r="C180" s="618" t="s">
        <v>721</v>
      </c>
      <c r="D180" s="48"/>
      <c r="E180" s="678"/>
      <c r="F180" s="239"/>
      <c r="G180" s="618" t="s">
        <v>722</v>
      </c>
      <c r="H180" s="48"/>
      <c r="I180" s="678"/>
      <c r="J180" s="239"/>
      <c r="K180" s="618" t="s">
        <v>722</v>
      </c>
      <c r="L180" s="48"/>
      <c r="M180" s="678"/>
      <c r="N180" s="239"/>
      <c r="O180" s="618" t="s">
        <v>722</v>
      </c>
      <c r="P180" s="48"/>
      <c r="Q180" s="678"/>
      <c r="R180" s="239"/>
      <c r="S180" s="148" t="s">
        <v>723</v>
      </c>
      <c r="T180" s="148"/>
      <c r="U180" s="678"/>
      <c r="V180" s="239"/>
      <c r="W180" s="679"/>
      <c r="X180" s="148"/>
      <c r="Y180" s="678"/>
      <c r="Z180" s="239"/>
      <c r="AA180" s="679"/>
      <c r="AB180" s="148"/>
      <c r="AC180" s="678"/>
      <c r="AD180" s="678"/>
      <c r="AE180" s="680"/>
      <c r="AF180" s="678"/>
      <c r="AG180" s="678"/>
      <c r="AH180" s="678"/>
      <c r="AI180" s="681"/>
    </row>
    <row r="181" spans="1:35" ht="21" customHeight="1" x14ac:dyDescent="0.2">
      <c r="B181" s="273"/>
      <c r="C181" s="311"/>
      <c r="D181" s="72"/>
      <c r="G181" s="311"/>
      <c r="H181" s="72"/>
      <c r="K181" s="311"/>
      <c r="L181" s="72"/>
      <c r="O181" s="311"/>
      <c r="P181" s="72"/>
      <c r="S181" s="311"/>
      <c r="T181" s="311"/>
      <c r="X181" s="311"/>
      <c r="AB181" s="311"/>
      <c r="AE181" s="311"/>
    </row>
    <row r="182" spans="1:35" ht="21" customHeight="1" x14ac:dyDescent="0.2">
      <c r="A182" s="682" t="s">
        <v>638</v>
      </c>
    </row>
    <row r="183" spans="1:35" ht="21" customHeight="1" x14ac:dyDescent="0.2">
      <c r="A183" s="585"/>
      <c r="B183" s="296" t="s">
        <v>469</v>
      </c>
      <c r="C183" s="497">
        <v>1</v>
      </c>
      <c r="D183" s="177">
        <v>2</v>
      </c>
      <c r="E183" s="177">
        <v>3</v>
      </c>
      <c r="F183" s="177">
        <v>4</v>
      </c>
      <c r="G183" s="497">
        <v>5</v>
      </c>
      <c r="H183" s="497">
        <v>6</v>
      </c>
      <c r="I183" s="497">
        <v>7</v>
      </c>
      <c r="J183" s="497">
        <v>8</v>
      </c>
      <c r="K183" s="497">
        <v>9</v>
      </c>
      <c r="L183" s="177">
        <v>10</v>
      </c>
      <c r="M183" s="177">
        <v>11</v>
      </c>
      <c r="N183" s="177">
        <v>12</v>
      </c>
      <c r="O183" s="177">
        <v>13</v>
      </c>
      <c r="P183" s="497">
        <v>14</v>
      </c>
      <c r="Q183" s="497">
        <v>15</v>
      </c>
      <c r="R183" s="177">
        <v>16</v>
      </c>
      <c r="S183" s="177">
        <v>17</v>
      </c>
      <c r="T183" s="177">
        <v>18</v>
      </c>
      <c r="U183" s="177">
        <v>19</v>
      </c>
      <c r="V183" s="177">
        <v>20</v>
      </c>
      <c r="W183" s="497">
        <v>21</v>
      </c>
      <c r="X183" s="497">
        <v>22</v>
      </c>
      <c r="Y183" s="177">
        <v>23</v>
      </c>
      <c r="Z183" s="177">
        <v>24</v>
      </c>
      <c r="AA183" s="177">
        <v>25</v>
      </c>
      <c r="AB183" s="177">
        <v>26</v>
      </c>
      <c r="AC183" s="177">
        <v>27</v>
      </c>
      <c r="AD183" s="497">
        <v>28</v>
      </c>
      <c r="AE183" s="497">
        <v>29</v>
      </c>
      <c r="AF183" s="177">
        <v>30</v>
      </c>
      <c r="AG183" s="177"/>
      <c r="AH183" s="499" t="s">
        <v>470</v>
      </c>
      <c r="AI183" s="500" t="s">
        <v>471</v>
      </c>
    </row>
    <row r="184" spans="1:35" ht="21" customHeight="1" x14ac:dyDescent="0.2">
      <c r="A184" s="441">
        <v>3702</v>
      </c>
      <c r="B184" s="152" t="s">
        <v>639</v>
      </c>
      <c r="C184" s="587"/>
      <c r="D184" s="1660">
        <v>1</v>
      </c>
      <c r="E184" s="1660">
        <v>1</v>
      </c>
      <c r="F184" s="1660">
        <v>1</v>
      </c>
      <c r="G184" s="587"/>
      <c r="H184" s="587"/>
      <c r="I184" s="587"/>
      <c r="J184" s="587"/>
      <c r="K184" s="587"/>
      <c r="L184" s="587">
        <v>2</v>
      </c>
      <c r="M184" s="587">
        <v>2</v>
      </c>
      <c r="N184" s="587">
        <v>2</v>
      </c>
      <c r="O184" s="587">
        <v>2</v>
      </c>
      <c r="P184" s="503"/>
      <c r="Q184" s="503"/>
      <c r="R184" s="587">
        <v>1</v>
      </c>
      <c r="S184" s="1627">
        <v>1</v>
      </c>
      <c r="T184" s="1627">
        <v>1</v>
      </c>
      <c r="U184" s="1627">
        <v>1</v>
      </c>
      <c r="V184" s="1627">
        <v>1</v>
      </c>
      <c r="W184" s="587"/>
      <c r="X184" s="587"/>
      <c r="Y184" s="1627">
        <v>2</v>
      </c>
      <c r="Z184" s="587">
        <v>2</v>
      </c>
      <c r="AA184" s="1631">
        <v>2</v>
      </c>
      <c r="AB184" s="1631">
        <v>2</v>
      </c>
      <c r="AC184" s="587">
        <v>2</v>
      </c>
      <c r="AD184" s="503"/>
      <c r="AE184" s="503"/>
      <c r="AF184" s="587">
        <v>1</v>
      </c>
      <c r="AG184" s="504"/>
      <c r="AH184" s="505">
        <v>0</v>
      </c>
      <c r="AI184" s="506">
        <v>0</v>
      </c>
    </row>
    <row r="185" spans="1:35" ht="21" customHeight="1" x14ac:dyDescent="0.2">
      <c r="A185" s="441">
        <v>3701</v>
      </c>
      <c r="B185" s="152" t="s">
        <v>640</v>
      </c>
      <c r="C185" s="587"/>
      <c r="D185" s="1627" t="s">
        <v>482</v>
      </c>
      <c r="E185" s="1627" t="s">
        <v>482</v>
      </c>
      <c r="F185" s="1627" t="s">
        <v>482</v>
      </c>
      <c r="G185" s="587"/>
      <c r="H185" s="587"/>
      <c r="I185" s="587"/>
      <c r="J185" s="587"/>
      <c r="K185" s="587"/>
      <c r="L185" s="587" t="s">
        <v>482</v>
      </c>
      <c r="M185" s="587" t="s">
        <v>482</v>
      </c>
      <c r="N185" s="587" t="s">
        <v>482</v>
      </c>
      <c r="O185" s="587" t="s">
        <v>482</v>
      </c>
      <c r="P185" s="503"/>
      <c r="Q185" s="503"/>
      <c r="R185" s="587" t="s">
        <v>482</v>
      </c>
      <c r="S185" s="587" t="s">
        <v>482</v>
      </c>
      <c r="T185" s="587" t="s">
        <v>482</v>
      </c>
      <c r="U185" s="587" t="s">
        <v>482</v>
      </c>
      <c r="V185" s="587" t="s">
        <v>482</v>
      </c>
      <c r="W185" s="587"/>
      <c r="X185" s="587"/>
      <c r="Y185" s="587" t="s">
        <v>482</v>
      </c>
      <c r="Z185" s="587" t="s">
        <v>482</v>
      </c>
      <c r="AA185" s="587" t="s">
        <v>482</v>
      </c>
      <c r="AB185" s="587" t="s">
        <v>482</v>
      </c>
      <c r="AC185" s="1627" t="s">
        <v>482</v>
      </c>
      <c r="AD185" s="503"/>
      <c r="AE185" s="503"/>
      <c r="AF185" s="1627" t="s">
        <v>482</v>
      </c>
      <c r="AG185" s="503"/>
      <c r="AH185" s="505">
        <v>0</v>
      </c>
      <c r="AI185" s="506">
        <v>0</v>
      </c>
    </row>
    <row r="186" spans="1:35" ht="21" customHeight="1" x14ac:dyDescent="0.2">
      <c r="A186" s="441">
        <v>3702</v>
      </c>
      <c r="B186" s="152" t="s">
        <v>641</v>
      </c>
      <c r="C186" s="587"/>
      <c r="D186" s="1606">
        <v>2</v>
      </c>
      <c r="E186" s="1606">
        <v>2</v>
      </c>
      <c r="F186" s="1606">
        <v>2</v>
      </c>
      <c r="G186" s="587"/>
      <c r="H186" s="587"/>
      <c r="I186" s="587"/>
      <c r="J186" s="587"/>
      <c r="K186" s="587"/>
      <c r="L186" s="587">
        <v>1</v>
      </c>
      <c r="M186" s="587">
        <v>1</v>
      </c>
      <c r="N186" s="587">
        <v>1</v>
      </c>
      <c r="O186" s="587">
        <v>1</v>
      </c>
      <c r="P186" s="503"/>
      <c r="Q186" s="503"/>
      <c r="R186" s="587">
        <v>2</v>
      </c>
      <c r="S186" s="587">
        <v>2</v>
      </c>
      <c r="T186" s="587">
        <v>2</v>
      </c>
      <c r="U186" s="587">
        <v>2</v>
      </c>
      <c r="V186" s="587">
        <v>2</v>
      </c>
      <c r="W186" s="587"/>
      <c r="X186" s="587"/>
      <c r="Y186" s="587">
        <v>1</v>
      </c>
      <c r="Z186" s="587">
        <v>1</v>
      </c>
      <c r="AA186" s="587">
        <v>1</v>
      </c>
      <c r="AB186" s="587">
        <v>1</v>
      </c>
      <c r="AC186" s="587">
        <v>1</v>
      </c>
      <c r="AD186" s="503"/>
      <c r="AE186" s="503"/>
      <c r="AF186" s="587">
        <v>2</v>
      </c>
      <c r="AG186" s="503"/>
      <c r="AH186" s="505">
        <v>30</v>
      </c>
      <c r="AI186" s="1701">
        <v>37</v>
      </c>
    </row>
    <row r="187" spans="1:35" ht="21" customHeight="1" x14ac:dyDescent="0.2">
      <c r="A187" s="683">
        <v>3706</v>
      </c>
      <c r="B187" s="552"/>
      <c r="C187" s="503"/>
      <c r="D187" s="503"/>
      <c r="E187" s="503"/>
      <c r="F187" s="503"/>
      <c r="G187" s="503"/>
      <c r="H187" s="503"/>
      <c r="I187" s="503"/>
      <c r="J187" s="503"/>
      <c r="K187" s="503"/>
      <c r="L187" s="503"/>
      <c r="M187" s="503"/>
      <c r="N187" s="503"/>
      <c r="O187" s="503"/>
      <c r="P187" s="503"/>
      <c r="Q187" s="503"/>
      <c r="R187" s="503"/>
      <c r="S187" s="503"/>
      <c r="T187" s="503"/>
      <c r="U187" s="503"/>
      <c r="V187" s="503"/>
      <c r="W187" s="503"/>
      <c r="X187" s="503"/>
      <c r="Y187" s="503"/>
      <c r="Z187" s="503"/>
      <c r="AA187" s="503"/>
      <c r="AB187" s="503"/>
      <c r="AC187" s="503"/>
      <c r="AD187" s="503"/>
      <c r="AE187" s="503"/>
      <c r="AF187" s="503"/>
      <c r="AG187" s="503"/>
      <c r="AH187" s="505"/>
      <c r="AI187" s="506"/>
    </row>
    <row r="188" spans="1:35" ht="21" customHeight="1" x14ac:dyDescent="0.2">
      <c r="A188" s="684"/>
      <c r="B188" s="685" t="s">
        <v>642</v>
      </c>
      <c r="C188" s="686"/>
      <c r="D188" s="686"/>
      <c r="E188" s="686"/>
      <c r="F188" s="686"/>
      <c r="G188" s="686"/>
      <c r="H188" s="686"/>
      <c r="I188" s="686"/>
      <c r="J188" s="686"/>
      <c r="K188" s="686"/>
      <c r="L188" s="686"/>
      <c r="M188" s="686"/>
      <c r="N188" s="686"/>
      <c r="O188" s="686"/>
      <c r="P188" s="686"/>
      <c r="Q188" s="686"/>
      <c r="R188" s="686"/>
      <c r="S188" s="686"/>
      <c r="T188" s="686"/>
      <c r="U188" s="686"/>
      <c r="V188" s="686"/>
      <c r="W188" s="686"/>
      <c r="X188" s="686"/>
      <c r="Y188" s="686"/>
      <c r="Z188" s="686"/>
      <c r="AA188" s="686"/>
      <c r="AB188" s="686"/>
      <c r="AC188" s="686"/>
      <c r="AD188" s="686"/>
      <c r="AE188" s="686"/>
      <c r="AF188" s="686"/>
      <c r="AG188" s="687"/>
      <c r="AH188" s="688"/>
      <c r="AI188" s="689"/>
    </row>
    <row r="189" spans="1:35" ht="21" customHeight="1" x14ac:dyDescent="0.2">
      <c r="A189" s="441">
        <v>3702</v>
      </c>
      <c r="B189" s="133" t="s">
        <v>724</v>
      </c>
      <c r="C189" s="587"/>
      <c r="D189" s="587" t="s">
        <v>643</v>
      </c>
      <c r="E189" s="587" t="s">
        <v>643</v>
      </c>
      <c r="F189" s="587" t="s">
        <v>643</v>
      </c>
      <c r="G189" s="587" t="s">
        <v>643</v>
      </c>
      <c r="H189" s="587" t="s">
        <v>643</v>
      </c>
      <c r="I189" s="587"/>
      <c r="J189" s="587"/>
      <c r="K189" s="587" t="s">
        <v>596</v>
      </c>
      <c r="L189" s="1632" t="s">
        <v>596</v>
      </c>
      <c r="M189" s="587" t="s">
        <v>596</v>
      </c>
      <c r="N189" s="587" t="s">
        <v>596</v>
      </c>
      <c r="O189" s="587" t="s">
        <v>596</v>
      </c>
      <c r="P189" s="587"/>
      <c r="Q189" s="587"/>
      <c r="R189" s="587" t="s">
        <v>644</v>
      </c>
      <c r="S189" s="1632" t="s">
        <v>644</v>
      </c>
      <c r="T189" s="587" t="s">
        <v>644</v>
      </c>
      <c r="U189" s="587" t="s">
        <v>644</v>
      </c>
      <c r="V189" s="587" t="s">
        <v>644</v>
      </c>
      <c r="W189" s="503"/>
      <c r="X189" s="503"/>
      <c r="Y189" s="587" t="s">
        <v>643</v>
      </c>
      <c r="Z189" s="1632" t="s">
        <v>643</v>
      </c>
      <c r="AA189" s="587" t="s">
        <v>643</v>
      </c>
      <c r="AB189" s="587" t="s">
        <v>643</v>
      </c>
      <c r="AC189" s="587" t="s">
        <v>643</v>
      </c>
      <c r="AD189" s="587"/>
      <c r="AE189" s="587"/>
      <c r="AF189" s="587" t="s">
        <v>596</v>
      </c>
      <c r="AG189" s="154"/>
      <c r="AH189" s="505">
        <v>0</v>
      </c>
      <c r="AI189" s="506">
        <v>0</v>
      </c>
    </row>
    <row r="190" spans="1:35" ht="21" customHeight="1" x14ac:dyDescent="0.2">
      <c r="A190" s="441"/>
      <c r="B190" s="152" t="s">
        <v>645</v>
      </c>
      <c r="C190" s="587"/>
      <c r="D190" s="1627" t="s">
        <v>596</v>
      </c>
      <c r="E190" s="1627" t="s">
        <v>596</v>
      </c>
      <c r="F190" s="1627" t="s">
        <v>596</v>
      </c>
      <c r="G190" s="587" t="s">
        <v>596</v>
      </c>
      <c r="H190" s="587" t="s">
        <v>596</v>
      </c>
      <c r="I190" s="587"/>
      <c r="J190" s="587"/>
      <c r="K190" s="587" t="s">
        <v>644</v>
      </c>
      <c r="L190" s="587" t="s">
        <v>644</v>
      </c>
      <c r="M190" s="587" t="s">
        <v>644</v>
      </c>
      <c r="N190" s="587" t="s">
        <v>644</v>
      </c>
      <c r="O190" s="587" t="s">
        <v>644</v>
      </c>
      <c r="P190" s="587"/>
      <c r="Q190" s="587"/>
      <c r="R190" s="587" t="s">
        <v>643</v>
      </c>
      <c r="S190" s="587" t="s">
        <v>643</v>
      </c>
      <c r="T190" s="587" t="s">
        <v>643</v>
      </c>
      <c r="U190" s="587" t="s">
        <v>643</v>
      </c>
      <c r="V190" s="587" t="s">
        <v>643</v>
      </c>
      <c r="W190" s="503"/>
      <c r="X190" s="503"/>
      <c r="Y190" s="587" t="s">
        <v>596</v>
      </c>
      <c r="Z190" s="587" t="s">
        <v>596</v>
      </c>
      <c r="AA190" s="587" t="s">
        <v>596</v>
      </c>
      <c r="AB190" s="587" t="s">
        <v>596</v>
      </c>
      <c r="AC190" s="587" t="s">
        <v>596</v>
      </c>
      <c r="AD190" s="587"/>
      <c r="AE190" s="587"/>
      <c r="AF190" s="587" t="s">
        <v>644</v>
      </c>
      <c r="AG190" s="154"/>
      <c r="AH190" s="505">
        <v>0</v>
      </c>
      <c r="AI190" s="1701">
        <v>8</v>
      </c>
    </row>
    <row r="191" spans="1:35" ht="21" customHeight="1" x14ac:dyDescent="0.2">
      <c r="A191" s="441"/>
      <c r="B191" s="152" t="s">
        <v>646</v>
      </c>
      <c r="C191" s="587"/>
      <c r="D191" s="587" t="s">
        <v>644</v>
      </c>
      <c r="E191" s="587" t="s">
        <v>644</v>
      </c>
      <c r="F191" s="587" t="s">
        <v>644</v>
      </c>
      <c r="G191" s="587" t="s">
        <v>644</v>
      </c>
      <c r="H191" s="587" t="s">
        <v>644</v>
      </c>
      <c r="I191" s="587"/>
      <c r="J191" s="587"/>
      <c r="K191" s="587" t="s">
        <v>643</v>
      </c>
      <c r="L191" s="587" t="s">
        <v>643</v>
      </c>
      <c r="M191" s="587" t="s">
        <v>643</v>
      </c>
      <c r="N191" s="587" t="s">
        <v>643</v>
      </c>
      <c r="O191" s="587" t="s">
        <v>643</v>
      </c>
      <c r="P191" s="587"/>
      <c r="Q191" s="587"/>
      <c r="R191" s="587" t="s">
        <v>596</v>
      </c>
      <c r="S191" s="587" t="s">
        <v>596</v>
      </c>
      <c r="T191" s="587" t="s">
        <v>596</v>
      </c>
      <c r="U191" s="587" t="s">
        <v>596</v>
      </c>
      <c r="V191" s="587" t="s">
        <v>596</v>
      </c>
      <c r="W191" s="503"/>
      <c r="X191" s="503"/>
      <c r="Y191" s="1516" t="s">
        <v>644</v>
      </c>
      <c r="Z191" s="587" t="s">
        <v>644</v>
      </c>
      <c r="AA191" s="587" t="s">
        <v>644</v>
      </c>
      <c r="AB191" s="587" t="s">
        <v>644</v>
      </c>
      <c r="AC191" s="587" t="s">
        <v>644</v>
      </c>
      <c r="AD191" s="587"/>
      <c r="AE191" s="587"/>
      <c r="AF191" s="587" t="s">
        <v>643</v>
      </c>
      <c r="AG191" s="154"/>
      <c r="AH191" s="505">
        <v>0</v>
      </c>
      <c r="AI191" s="506">
        <v>0</v>
      </c>
    </row>
    <row r="192" spans="1:35" ht="21" customHeight="1" x14ac:dyDescent="0.2"/>
    <row r="193" spans="1:35" ht="21" customHeight="1" x14ac:dyDescent="0.2"/>
    <row r="194" spans="1:35" ht="21" customHeight="1" x14ac:dyDescent="0.2">
      <c r="A194" s="1" t="s">
        <v>647</v>
      </c>
    </row>
    <row r="195" spans="1:35" ht="21" customHeight="1" x14ac:dyDescent="0.2">
      <c r="B195" s="200" t="s">
        <v>604</v>
      </c>
      <c r="C195" s="7"/>
      <c r="D195" s="530" t="s">
        <v>2</v>
      </c>
      <c r="E195" s="51"/>
      <c r="F195" s="573"/>
      <c r="G195" s="7"/>
      <c r="H195" s="530" t="s">
        <v>3</v>
      </c>
      <c r="I195" s="51"/>
      <c r="J195" s="573"/>
      <c r="K195" s="7"/>
      <c r="L195" s="530" t="s">
        <v>4</v>
      </c>
      <c r="M195" s="51"/>
      <c r="N195" s="573"/>
      <c r="O195" s="7"/>
      <c r="P195" s="530" t="s">
        <v>5</v>
      </c>
      <c r="Q195" s="51"/>
      <c r="R195" s="573"/>
      <c r="S195" s="7"/>
      <c r="T195" s="530" t="s">
        <v>6</v>
      </c>
      <c r="U195" s="51"/>
      <c r="V195" s="573"/>
      <c r="W195" s="7"/>
      <c r="X195" s="530" t="s">
        <v>7</v>
      </c>
      <c r="Y195" s="51"/>
      <c r="Z195" s="573"/>
      <c r="AA195" s="7"/>
      <c r="AB195" s="530" t="s">
        <v>8</v>
      </c>
      <c r="AC195" s="51"/>
      <c r="AD195" s="51"/>
      <c r="AE195" s="424" t="s">
        <v>10</v>
      </c>
      <c r="AF195" s="51"/>
      <c r="AG195" s="51"/>
      <c r="AH195" s="51"/>
      <c r="AI195" s="531"/>
    </row>
    <row r="196" spans="1:35" ht="21" customHeight="1" x14ac:dyDescent="0.2">
      <c r="B196" s="9">
        <v>8500</v>
      </c>
      <c r="C196" s="121" t="s">
        <v>33</v>
      </c>
      <c r="D196" s="659"/>
      <c r="E196" s="55"/>
      <c r="F196" s="580"/>
      <c r="G196" s="121" t="s">
        <v>33</v>
      </c>
      <c r="H196" s="659"/>
      <c r="I196" s="55"/>
      <c r="J196" s="580"/>
      <c r="K196" s="121" t="s">
        <v>33</v>
      </c>
      <c r="L196" s="659"/>
      <c r="M196" s="55"/>
      <c r="N196" s="580"/>
      <c r="O196" s="121" t="s">
        <v>33</v>
      </c>
      <c r="P196" s="659"/>
      <c r="Q196" s="55"/>
      <c r="R196" s="580"/>
      <c r="S196" s="121" t="s">
        <v>34</v>
      </c>
      <c r="T196" s="659"/>
      <c r="U196" s="55"/>
      <c r="V196" s="580"/>
      <c r="W196" s="14"/>
      <c r="X196" s="659"/>
      <c r="Y196" s="55"/>
      <c r="Z196" s="580"/>
      <c r="AA196" s="14"/>
      <c r="AB196" s="659"/>
      <c r="AC196" s="55"/>
      <c r="AD196" s="55"/>
      <c r="AE196" s="660"/>
      <c r="AF196" s="55"/>
      <c r="AG196" s="55"/>
      <c r="AH196" s="55"/>
      <c r="AI196" s="661"/>
    </row>
    <row r="197" spans="1:35" ht="21" customHeight="1" x14ac:dyDescent="0.2">
      <c r="B197" s="162" t="s">
        <v>648</v>
      </c>
      <c r="C197" s="690" t="s">
        <v>649</v>
      </c>
      <c r="D197" s="607"/>
      <c r="E197" s="678"/>
      <c r="F197" s="239"/>
      <c r="G197" s="690" t="s">
        <v>649</v>
      </c>
      <c r="H197" s="148"/>
      <c r="I197" s="678"/>
      <c r="J197" s="239"/>
      <c r="K197" s="690" t="s">
        <v>649</v>
      </c>
      <c r="L197" s="148"/>
      <c r="M197" s="678"/>
      <c r="N197" s="239"/>
      <c r="O197" s="690" t="s">
        <v>650</v>
      </c>
      <c r="P197" s="148"/>
      <c r="Q197" s="678"/>
      <c r="R197" s="239"/>
      <c r="S197" s="690" t="s">
        <v>16</v>
      </c>
      <c r="T197" s="148"/>
      <c r="U197" s="678"/>
      <c r="V197" s="239"/>
      <c r="W197" s="679"/>
      <c r="X197" s="148"/>
      <c r="Y197" s="678"/>
      <c r="Z197" s="239"/>
      <c r="AA197" s="679"/>
      <c r="AB197" s="148"/>
      <c r="AC197" s="678"/>
      <c r="AD197" s="678"/>
      <c r="AE197" s="680"/>
      <c r="AF197" s="678"/>
      <c r="AG197" s="678"/>
      <c r="AH197" s="678"/>
      <c r="AI197" s="681"/>
    </row>
    <row r="198" spans="1:35" ht="21" customHeight="1" x14ac:dyDescent="0.2">
      <c r="A198" s="60" t="s">
        <v>651</v>
      </c>
    </row>
    <row r="199" spans="1:35" ht="21" customHeight="1" x14ac:dyDescent="0.2">
      <c r="A199" s="691"/>
      <c r="B199" s="296" t="s">
        <v>469</v>
      </c>
      <c r="C199" s="497">
        <v>1</v>
      </c>
      <c r="D199" s="177">
        <v>2</v>
      </c>
      <c r="E199" s="177">
        <v>3</v>
      </c>
      <c r="F199" s="177">
        <v>4</v>
      </c>
      <c r="G199" s="497">
        <v>5</v>
      </c>
      <c r="H199" s="497">
        <v>6</v>
      </c>
      <c r="I199" s="497">
        <v>7</v>
      </c>
      <c r="J199" s="497">
        <v>8</v>
      </c>
      <c r="K199" s="497">
        <v>9</v>
      </c>
      <c r="L199" s="177">
        <v>10</v>
      </c>
      <c r="M199" s="177">
        <v>11</v>
      </c>
      <c r="N199" s="177">
        <v>12</v>
      </c>
      <c r="O199" s="177">
        <v>13</v>
      </c>
      <c r="P199" s="497">
        <v>14</v>
      </c>
      <c r="Q199" s="497">
        <v>15</v>
      </c>
      <c r="R199" s="177">
        <v>16</v>
      </c>
      <c r="S199" s="177">
        <v>17</v>
      </c>
      <c r="T199" s="177">
        <v>18</v>
      </c>
      <c r="U199" s="177">
        <v>19</v>
      </c>
      <c r="V199" s="177">
        <v>20</v>
      </c>
      <c r="W199" s="497">
        <v>21</v>
      </c>
      <c r="X199" s="497">
        <v>22</v>
      </c>
      <c r="Y199" s="177">
        <v>23</v>
      </c>
      <c r="Z199" s="177">
        <v>24</v>
      </c>
      <c r="AA199" s="177">
        <v>25</v>
      </c>
      <c r="AB199" s="177">
        <v>26</v>
      </c>
      <c r="AC199" s="177">
        <v>27</v>
      </c>
      <c r="AD199" s="497">
        <v>28</v>
      </c>
      <c r="AE199" s="497">
        <v>29</v>
      </c>
      <c r="AF199" s="177">
        <v>30</v>
      </c>
      <c r="AG199" s="177"/>
      <c r="AH199" s="499" t="s">
        <v>470</v>
      </c>
      <c r="AI199" s="500" t="s">
        <v>471</v>
      </c>
    </row>
    <row r="200" spans="1:35" ht="21" customHeight="1" x14ac:dyDescent="0.2">
      <c r="A200" s="154">
        <v>8500</v>
      </c>
      <c r="B200" s="692" t="s">
        <v>652</v>
      </c>
      <c r="C200" s="587"/>
      <c r="D200" s="587" t="s">
        <v>482</v>
      </c>
      <c r="E200" s="587" t="s">
        <v>482</v>
      </c>
      <c r="F200" s="1606" t="s">
        <v>482</v>
      </c>
      <c r="G200" s="587"/>
      <c r="H200" s="587"/>
      <c r="I200" s="587"/>
      <c r="J200" s="587"/>
      <c r="K200" s="587"/>
      <c r="L200" s="1606" t="s">
        <v>482</v>
      </c>
      <c r="M200" s="587" t="s">
        <v>482</v>
      </c>
      <c r="N200" s="587" t="s">
        <v>482</v>
      </c>
      <c r="O200" s="587" t="s">
        <v>482</v>
      </c>
      <c r="P200" s="503"/>
      <c r="Q200" s="503"/>
      <c r="R200" s="587" t="s">
        <v>482</v>
      </c>
      <c r="S200" s="587" t="s">
        <v>482</v>
      </c>
      <c r="T200" s="1516" t="s">
        <v>617</v>
      </c>
      <c r="U200" s="587" t="s">
        <v>482</v>
      </c>
      <c r="V200" s="587" t="s">
        <v>482</v>
      </c>
      <c r="W200" s="587"/>
      <c r="X200" s="587"/>
      <c r="Y200" s="1631" t="s">
        <v>482</v>
      </c>
      <c r="Z200" s="1631" t="s">
        <v>482</v>
      </c>
      <c r="AA200" s="1631" t="s">
        <v>482</v>
      </c>
      <c r="AB200" s="587" t="s">
        <v>482</v>
      </c>
      <c r="AC200" s="1606" t="s">
        <v>482</v>
      </c>
      <c r="AD200" s="503"/>
      <c r="AE200" s="503"/>
      <c r="AF200" s="1606" t="s">
        <v>482</v>
      </c>
      <c r="AG200" s="504"/>
      <c r="AH200" s="693">
        <v>17</v>
      </c>
      <c r="AI200" s="1705">
        <v>37</v>
      </c>
    </row>
    <row r="201" spans="1:35" ht="21" customHeight="1" x14ac:dyDescent="0.2">
      <c r="A201" s="501" t="s">
        <v>653</v>
      </c>
      <c r="B201" s="152" t="s">
        <v>654</v>
      </c>
      <c r="C201" s="587"/>
      <c r="D201" s="587" t="s">
        <v>482</v>
      </c>
      <c r="E201" s="587" t="s">
        <v>482</v>
      </c>
      <c r="F201" s="587" t="s">
        <v>482</v>
      </c>
      <c r="G201" s="587"/>
      <c r="H201" s="587"/>
      <c r="I201" s="587"/>
      <c r="J201" s="587"/>
      <c r="K201" s="587"/>
      <c r="L201" s="587" t="s">
        <v>482</v>
      </c>
      <c r="M201" s="587" t="s">
        <v>482</v>
      </c>
      <c r="N201" s="587" t="s">
        <v>482</v>
      </c>
      <c r="O201" s="587" t="s">
        <v>482</v>
      </c>
      <c r="P201" s="503"/>
      <c r="Q201" s="503"/>
      <c r="R201" s="587" t="s">
        <v>482</v>
      </c>
      <c r="S201" s="587" t="s">
        <v>482</v>
      </c>
      <c r="T201" s="587" t="s">
        <v>482</v>
      </c>
      <c r="U201" s="587" t="s">
        <v>482</v>
      </c>
      <c r="V201" s="587" t="s">
        <v>482</v>
      </c>
      <c r="W201" s="587"/>
      <c r="X201" s="587"/>
      <c r="Y201" s="587" t="s">
        <v>482</v>
      </c>
      <c r="Z201" s="587" t="s">
        <v>482</v>
      </c>
      <c r="AA201" s="587" t="s">
        <v>482</v>
      </c>
      <c r="AB201" s="587" t="s">
        <v>482</v>
      </c>
      <c r="AC201" s="587" t="s">
        <v>482</v>
      </c>
      <c r="AD201" s="503"/>
      <c r="AE201" s="503"/>
      <c r="AF201" s="587" t="s">
        <v>482</v>
      </c>
      <c r="AG201" s="504"/>
      <c r="AH201" s="693">
        <v>0</v>
      </c>
      <c r="AI201" s="1705">
        <v>7.5</v>
      </c>
    </row>
    <row r="202" spans="1:35" ht="21" customHeight="1" x14ac:dyDescent="0.2">
      <c r="A202" s="152">
        <v>8500</v>
      </c>
      <c r="B202" s="152" t="s">
        <v>655</v>
      </c>
      <c r="C202" s="587"/>
      <c r="D202" s="587" t="s">
        <v>482</v>
      </c>
      <c r="E202" s="587" t="s">
        <v>482</v>
      </c>
      <c r="F202" s="587" t="s">
        <v>482</v>
      </c>
      <c r="G202" s="587"/>
      <c r="H202" s="587"/>
      <c r="I202" s="587"/>
      <c r="J202" s="587"/>
      <c r="K202" s="587"/>
      <c r="L202" s="587" t="s">
        <v>482</v>
      </c>
      <c r="M202" s="587" t="s">
        <v>482</v>
      </c>
      <c r="N202" s="587" t="s">
        <v>482</v>
      </c>
      <c r="O202" s="587" t="s">
        <v>482</v>
      </c>
      <c r="P202" s="503"/>
      <c r="Q202" s="503"/>
      <c r="R202" s="587" t="s">
        <v>482</v>
      </c>
      <c r="S202" s="587" t="s">
        <v>482</v>
      </c>
      <c r="T202" s="587" t="s">
        <v>482</v>
      </c>
      <c r="U202" s="587" t="s">
        <v>482</v>
      </c>
      <c r="V202" s="587" t="s">
        <v>482</v>
      </c>
      <c r="W202" s="587"/>
      <c r="X202" s="587"/>
      <c r="Y202" s="1627" t="s">
        <v>482</v>
      </c>
      <c r="Z202" s="1627" t="s">
        <v>482</v>
      </c>
      <c r="AA202" s="1627" t="s">
        <v>482</v>
      </c>
      <c r="AB202" s="1627" t="s">
        <v>482</v>
      </c>
      <c r="AC202" s="1627" t="s">
        <v>482</v>
      </c>
      <c r="AD202" s="503"/>
      <c r="AE202" s="503"/>
      <c r="AF202" s="587" t="s">
        <v>482</v>
      </c>
      <c r="AG202" s="504"/>
      <c r="AH202" s="693">
        <v>8</v>
      </c>
      <c r="AI202" s="694">
        <v>0</v>
      </c>
    </row>
    <row r="203" spans="1:35" ht="21.95" customHeight="1" x14ac:dyDescent="0.2">
      <c r="A203" s="441"/>
      <c r="B203" s="152" t="s">
        <v>656</v>
      </c>
      <c r="C203" s="587"/>
      <c r="D203" s="587" t="s">
        <v>482</v>
      </c>
      <c r="E203" s="587" t="s">
        <v>482</v>
      </c>
      <c r="F203" s="587" t="s">
        <v>482</v>
      </c>
      <c r="G203" s="587"/>
      <c r="H203" s="587"/>
      <c r="I203" s="587"/>
      <c r="J203" s="587"/>
      <c r="K203" s="587"/>
      <c r="L203" s="1627" t="s">
        <v>482</v>
      </c>
      <c r="M203" s="1627" t="s">
        <v>482</v>
      </c>
      <c r="N203" s="1627" t="s">
        <v>482</v>
      </c>
      <c r="O203" s="1627" t="s">
        <v>482</v>
      </c>
      <c r="P203" s="503"/>
      <c r="Q203" s="503"/>
      <c r="R203" s="1627" t="s">
        <v>482</v>
      </c>
      <c r="S203" s="587" t="s">
        <v>482</v>
      </c>
      <c r="T203" s="587" t="s">
        <v>482</v>
      </c>
      <c r="U203" s="587" t="s">
        <v>482</v>
      </c>
      <c r="V203" s="587" t="s">
        <v>482</v>
      </c>
      <c r="W203" s="587"/>
      <c r="X203" s="587"/>
      <c r="Y203" s="587" t="s">
        <v>482</v>
      </c>
      <c r="Z203" s="587" t="s">
        <v>482</v>
      </c>
      <c r="AA203" s="587" t="s">
        <v>482</v>
      </c>
      <c r="AB203" s="587" t="s">
        <v>482</v>
      </c>
      <c r="AC203" s="587" t="s">
        <v>482</v>
      </c>
      <c r="AD203" s="503"/>
      <c r="AE203" s="503"/>
      <c r="AF203" s="587" t="s">
        <v>482</v>
      </c>
      <c r="AG203" s="504"/>
      <c r="AH203" s="693">
        <v>37</v>
      </c>
      <c r="AI203" s="694">
        <v>0</v>
      </c>
    </row>
    <row r="204" spans="1:35" ht="21.95" customHeight="1" x14ac:dyDescent="0.2">
      <c r="A204" s="512">
        <v>3350</v>
      </c>
      <c r="B204" s="54" t="s">
        <v>657</v>
      </c>
      <c r="C204" s="587"/>
      <c r="D204" s="587" t="s">
        <v>482</v>
      </c>
      <c r="E204" s="587" t="s">
        <v>482</v>
      </c>
      <c r="F204" s="587" t="s">
        <v>482</v>
      </c>
      <c r="G204" s="587"/>
      <c r="H204" s="587"/>
      <c r="I204" s="587"/>
      <c r="J204" s="587"/>
      <c r="K204" s="587"/>
      <c r="L204" s="587" t="s">
        <v>482</v>
      </c>
      <c r="M204" s="587" t="s">
        <v>482</v>
      </c>
      <c r="N204" s="587" t="s">
        <v>482</v>
      </c>
      <c r="O204" s="587" t="s">
        <v>482</v>
      </c>
      <c r="P204" s="503"/>
      <c r="Q204" s="503"/>
      <c r="R204" s="587" t="s">
        <v>482</v>
      </c>
      <c r="S204" s="587" t="s">
        <v>482</v>
      </c>
      <c r="T204" s="587" t="s">
        <v>482</v>
      </c>
      <c r="U204" s="587" t="s">
        <v>482</v>
      </c>
      <c r="V204" s="587" t="s">
        <v>482</v>
      </c>
      <c r="W204" s="587"/>
      <c r="X204" s="587"/>
      <c r="Y204" s="587" t="s">
        <v>482</v>
      </c>
      <c r="Z204" s="587" t="s">
        <v>482</v>
      </c>
      <c r="AA204" s="587" t="s">
        <v>482</v>
      </c>
      <c r="AB204" s="587" t="s">
        <v>482</v>
      </c>
      <c r="AC204" s="587" t="s">
        <v>482</v>
      </c>
      <c r="AD204" s="503"/>
      <c r="AE204" s="503"/>
      <c r="AF204" s="1627" t="s">
        <v>482</v>
      </c>
      <c r="AG204" s="504"/>
      <c r="AH204" s="693">
        <v>0</v>
      </c>
      <c r="AI204" s="694">
        <v>0</v>
      </c>
    </row>
    <row r="205" spans="1:35" ht="21.95" customHeight="1" x14ac:dyDescent="0.2">
      <c r="A205" s="524">
        <v>3701</v>
      </c>
      <c r="B205" s="152" t="s">
        <v>658</v>
      </c>
      <c r="C205" s="587"/>
      <c r="D205" s="587" t="s">
        <v>482</v>
      </c>
      <c r="E205" s="587" t="s">
        <v>482</v>
      </c>
      <c r="F205" s="587" t="s">
        <v>482</v>
      </c>
      <c r="G205" s="587"/>
      <c r="H205" s="587"/>
      <c r="I205" s="587"/>
      <c r="J205" s="587"/>
      <c r="K205" s="587"/>
      <c r="L205" s="1516" t="s">
        <v>482</v>
      </c>
      <c r="M205" s="1516" t="s">
        <v>617</v>
      </c>
      <c r="N205" s="587" t="s">
        <v>482</v>
      </c>
      <c r="O205" s="587" t="s">
        <v>482</v>
      </c>
      <c r="P205" s="503"/>
      <c r="Q205" s="503"/>
      <c r="R205" s="587" t="s">
        <v>482</v>
      </c>
      <c r="S205" s="1516" t="s">
        <v>482</v>
      </c>
      <c r="T205" s="1516" t="s">
        <v>482</v>
      </c>
      <c r="U205" s="1516" t="s">
        <v>482</v>
      </c>
      <c r="V205" s="1516" t="s">
        <v>617</v>
      </c>
      <c r="W205" s="587"/>
      <c r="X205" s="587"/>
      <c r="Y205" s="1606" t="s">
        <v>482</v>
      </c>
      <c r="Z205" s="1606" t="s">
        <v>482</v>
      </c>
      <c r="AA205" s="1606" t="s">
        <v>482</v>
      </c>
      <c r="AB205" s="1627" t="s">
        <v>482</v>
      </c>
      <c r="AC205" s="1627" t="s">
        <v>482</v>
      </c>
      <c r="AD205" s="503"/>
      <c r="AE205" s="503"/>
      <c r="AF205" s="587" t="s">
        <v>482</v>
      </c>
      <c r="AG205" s="504"/>
      <c r="AH205" s="705">
        <v>0</v>
      </c>
      <c r="AI205" s="1706">
        <v>9</v>
      </c>
    </row>
    <row r="206" spans="1:35" ht="25.5" customHeight="1" x14ac:dyDescent="0.2">
      <c r="A206" s="1" t="s">
        <v>683</v>
      </c>
    </row>
    <row r="207" spans="1:35" ht="21" customHeight="1" x14ac:dyDescent="0.2">
      <c r="A207" s="1"/>
      <c r="B207" s="200" t="s">
        <v>604</v>
      </c>
      <c r="C207" s="7"/>
      <c r="D207" s="530" t="s">
        <v>2</v>
      </c>
      <c r="E207" s="51"/>
      <c r="F207" s="573"/>
      <c r="G207" s="7"/>
      <c r="H207" s="530" t="s">
        <v>3</v>
      </c>
      <c r="I207" s="51"/>
      <c r="J207" s="573"/>
      <c r="K207" s="7"/>
      <c r="L207" s="530" t="s">
        <v>4</v>
      </c>
      <c r="M207" s="51"/>
      <c r="N207" s="573"/>
      <c r="O207" s="7"/>
      <c r="P207" s="530" t="s">
        <v>5</v>
      </c>
      <c r="Q207" s="51"/>
      <c r="R207" s="573"/>
      <c r="S207" s="7"/>
      <c r="T207" s="530" t="s">
        <v>6</v>
      </c>
      <c r="U207" s="51"/>
      <c r="V207" s="573"/>
      <c r="W207" s="7"/>
      <c r="X207" s="530" t="s">
        <v>7</v>
      </c>
      <c r="Y207" s="51"/>
      <c r="Z207" s="573"/>
      <c r="AA207" s="7"/>
      <c r="AB207" s="530" t="s">
        <v>8</v>
      </c>
      <c r="AC207" s="51"/>
      <c r="AD207" s="51"/>
      <c r="AE207" s="424" t="s">
        <v>10</v>
      </c>
      <c r="AF207" s="51"/>
      <c r="AG207" s="51"/>
      <c r="AH207" s="51"/>
      <c r="AI207" s="531"/>
    </row>
    <row r="208" spans="1:35" ht="21" customHeight="1" x14ac:dyDescent="0.2">
      <c r="A208" s="1"/>
      <c r="B208" s="9"/>
      <c r="C208" s="14"/>
      <c r="D208" s="659"/>
      <c r="E208" s="55"/>
      <c r="F208" s="580"/>
      <c r="G208" s="14"/>
      <c r="H208" s="659"/>
      <c r="I208" s="55"/>
      <c r="J208" s="580"/>
      <c r="K208" s="14"/>
      <c r="L208" s="659"/>
      <c r="M208" s="55"/>
      <c r="N208" s="580"/>
      <c r="O208" s="14"/>
      <c r="P208" s="659"/>
      <c r="Q208" s="55"/>
      <c r="R208" s="580"/>
      <c r="S208" s="14"/>
      <c r="T208" s="659"/>
      <c r="U208" s="55"/>
      <c r="V208" s="580"/>
      <c r="W208" s="14"/>
      <c r="X208" s="659"/>
      <c r="Y208" s="55"/>
      <c r="Z208" s="580"/>
      <c r="AA208" s="14"/>
      <c r="AB208" s="659"/>
      <c r="AC208" s="55"/>
      <c r="AD208" s="55"/>
      <c r="AE208" s="660"/>
      <c r="AF208" s="55"/>
      <c r="AG208" s="55"/>
      <c r="AH208" s="55"/>
      <c r="AI208" s="661"/>
    </row>
    <row r="209" spans="1:35" ht="21" customHeight="1" x14ac:dyDescent="0.2">
      <c r="B209" s="662"/>
      <c r="C209" s="121"/>
      <c r="D209" s="156"/>
      <c r="E209" s="156"/>
      <c r="F209" s="612"/>
      <c r="G209" s="121"/>
      <c r="H209" s="156"/>
      <c r="I209" s="156"/>
      <c r="J209" s="612"/>
      <c r="K209" s="121"/>
      <c r="L209" s="156"/>
      <c r="M209" s="156"/>
      <c r="N209" s="612"/>
      <c r="O209" s="121"/>
      <c r="P209" s="156"/>
      <c r="Q209" s="156"/>
      <c r="R209" s="612"/>
      <c r="S209" s="121"/>
      <c r="T209" s="156"/>
      <c r="U209" s="156"/>
      <c r="V209" s="612"/>
      <c r="W209" s="121"/>
      <c r="X209" s="156"/>
      <c r="Y209" s="156"/>
      <c r="Z209" s="612"/>
      <c r="AA209" s="611"/>
      <c r="AB209" s="156"/>
      <c r="AC209" s="156"/>
      <c r="AD209" s="613"/>
      <c r="AE209" s="663"/>
      <c r="AF209" s="156"/>
      <c r="AG209" s="156" t="s">
        <v>28</v>
      </c>
      <c r="AH209" s="613"/>
      <c r="AI209" s="489"/>
    </row>
    <row r="210" spans="1:35" ht="21" customHeight="1" x14ac:dyDescent="0.2">
      <c r="A210" s="1"/>
      <c r="B210" s="47"/>
      <c r="C210" s="618"/>
      <c r="D210" s="53"/>
      <c r="E210" s="53"/>
      <c r="F210" s="619"/>
      <c r="G210" s="618"/>
      <c r="H210" s="53"/>
      <c r="I210" s="53"/>
      <c r="J210" s="619"/>
      <c r="K210" s="618"/>
      <c r="L210" s="53"/>
      <c r="M210" s="53"/>
      <c r="N210" s="619"/>
      <c r="O210" s="618"/>
      <c r="P210" s="53"/>
      <c r="Q210" s="53"/>
      <c r="R210" s="619"/>
      <c r="S210" s="618"/>
      <c r="T210" s="53"/>
      <c r="U210" s="53"/>
      <c r="V210" s="619"/>
      <c r="W210" s="57"/>
      <c r="X210" s="53"/>
      <c r="Y210" s="53"/>
      <c r="Z210" s="619"/>
      <c r="AA210" s="57"/>
      <c r="AB210" s="53"/>
      <c r="AC210" s="53"/>
      <c r="AD210" s="620"/>
      <c r="AE210" s="57"/>
      <c r="AF210" s="53"/>
      <c r="AG210" s="53"/>
      <c r="AH210" s="620"/>
      <c r="AI210" s="544"/>
    </row>
    <row r="211" spans="1:35" ht="33" customHeight="1" x14ac:dyDescent="0.2">
      <c r="A211" s="1"/>
      <c r="B211" s="72"/>
      <c r="C211" s="311"/>
      <c r="F211" s="353"/>
      <c r="G211" s="311"/>
      <c r="J211" s="353"/>
      <c r="K211" s="311"/>
      <c r="N211" s="353"/>
      <c r="O211" s="311"/>
      <c r="R211" s="353"/>
      <c r="S211" s="311"/>
      <c r="V211" s="353"/>
      <c r="W211" s="353"/>
      <c r="Z211" s="353"/>
      <c r="AA211" s="353"/>
      <c r="AD211" s="353"/>
      <c r="AE211" s="353"/>
      <c r="AH211" s="353"/>
    </row>
    <row r="212" spans="1:35" ht="21" customHeight="1" x14ac:dyDescent="0.2">
      <c r="A212" s="585" t="s">
        <v>468</v>
      </c>
      <c r="B212" s="296" t="s">
        <v>469</v>
      </c>
      <c r="C212" s="497">
        <v>1</v>
      </c>
      <c r="D212" s="177">
        <v>2</v>
      </c>
      <c r="E212" s="177">
        <v>3</v>
      </c>
      <c r="F212" s="177">
        <v>4</v>
      </c>
      <c r="G212" s="497">
        <v>5</v>
      </c>
      <c r="H212" s="497">
        <v>6</v>
      </c>
      <c r="I212" s="497">
        <v>7</v>
      </c>
      <c r="J212" s="497">
        <v>8</v>
      </c>
      <c r="K212" s="497">
        <v>9</v>
      </c>
      <c r="L212" s="177">
        <v>10</v>
      </c>
      <c r="M212" s="177">
        <v>11</v>
      </c>
      <c r="N212" s="177">
        <v>12</v>
      </c>
      <c r="O212" s="177">
        <v>13</v>
      </c>
      <c r="P212" s="497">
        <v>14</v>
      </c>
      <c r="Q212" s="497">
        <v>15</v>
      </c>
      <c r="R212" s="177">
        <v>16</v>
      </c>
      <c r="S212" s="177">
        <v>17</v>
      </c>
      <c r="T212" s="177">
        <v>18</v>
      </c>
      <c r="U212" s="177">
        <v>19</v>
      </c>
      <c r="V212" s="177">
        <v>20</v>
      </c>
      <c r="W212" s="497">
        <v>21</v>
      </c>
      <c r="X212" s="497">
        <v>22</v>
      </c>
      <c r="Y212" s="177">
        <v>23</v>
      </c>
      <c r="Z212" s="177">
        <v>24</v>
      </c>
      <c r="AA212" s="177">
        <v>25</v>
      </c>
      <c r="AB212" s="177">
        <v>26</v>
      </c>
      <c r="AC212" s="177">
        <v>27</v>
      </c>
      <c r="AD212" s="497">
        <v>28</v>
      </c>
      <c r="AE212" s="497">
        <v>29</v>
      </c>
      <c r="AF212" s="177">
        <v>30</v>
      </c>
      <c r="AG212" s="177"/>
      <c r="AH212" s="499" t="s">
        <v>470</v>
      </c>
      <c r="AI212" s="500" t="s">
        <v>471</v>
      </c>
    </row>
    <row r="213" spans="1:35" ht="21" customHeight="1" x14ac:dyDescent="0.2">
      <c r="A213" s="441"/>
      <c r="B213" s="673" t="s">
        <v>661</v>
      </c>
      <c r="C213" s="587"/>
      <c r="D213" s="587" t="s">
        <v>482</v>
      </c>
      <c r="E213" s="587" t="s">
        <v>482</v>
      </c>
      <c r="F213" s="587" t="s">
        <v>482</v>
      </c>
      <c r="G213" s="587"/>
      <c r="H213" s="587"/>
      <c r="I213" s="587"/>
      <c r="J213" s="587"/>
      <c r="K213" s="587"/>
      <c r="L213" s="1606" t="s">
        <v>482</v>
      </c>
      <c r="M213" s="1606" t="s">
        <v>482</v>
      </c>
      <c r="N213" s="1606" t="s">
        <v>482</v>
      </c>
      <c r="O213" s="1606" t="s">
        <v>482</v>
      </c>
      <c r="P213" s="503"/>
      <c r="Q213" s="503"/>
      <c r="R213" s="1606" t="s">
        <v>482</v>
      </c>
      <c r="S213" s="1606" t="s">
        <v>482</v>
      </c>
      <c r="T213" s="1606" t="s">
        <v>482</v>
      </c>
      <c r="U213" s="1606" t="s">
        <v>482</v>
      </c>
      <c r="V213" s="1606" t="s">
        <v>482</v>
      </c>
      <c r="W213" s="587"/>
      <c r="X213" s="587"/>
      <c r="Y213" s="587" t="s">
        <v>482</v>
      </c>
      <c r="Z213" s="587" t="s">
        <v>482</v>
      </c>
      <c r="AA213" s="587" t="s">
        <v>482</v>
      </c>
      <c r="AB213" s="587" t="s">
        <v>482</v>
      </c>
      <c r="AC213" s="587" t="s">
        <v>482</v>
      </c>
      <c r="AD213" s="503"/>
      <c r="AE213" s="503"/>
      <c r="AF213" s="587" t="s">
        <v>482</v>
      </c>
      <c r="AG213" s="650"/>
      <c r="AH213" s="693">
        <v>7.5</v>
      </c>
      <c r="AI213" s="1705">
        <v>37</v>
      </c>
    </row>
    <row r="214" spans="1:35" ht="21" customHeight="1" x14ac:dyDescent="0.2">
      <c r="A214" s="441"/>
      <c r="B214" s="673" t="s">
        <v>662</v>
      </c>
      <c r="C214" s="587"/>
      <c r="D214" s="1606" t="s">
        <v>482</v>
      </c>
      <c r="E214" s="1606" t="s">
        <v>482</v>
      </c>
      <c r="F214" s="1606" t="s">
        <v>482</v>
      </c>
      <c r="G214" s="587"/>
      <c r="H214" s="587"/>
      <c r="I214" s="587"/>
      <c r="J214" s="587"/>
      <c r="K214" s="587"/>
      <c r="L214" s="587" t="s">
        <v>482</v>
      </c>
      <c r="M214" s="587" t="s">
        <v>482</v>
      </c>
      <c r="N214" s="587" t="s">
        <v>482</v>
      </c>
      <c r="O214" s="587" t="s">
        <v>482</v>
      </c>
      <c r="P214" s="503"/>
      <c r="Q214" s="503"/>
      <c r="R214" s="587" t="s">
        <v>482</v>
      </c>
      <c r="S214" s="587" t="s">
        <v>482</v>
      </c>
      <c r="T214" s="587" t="s">
        <v>482</v>
      </c>
      <c r="U214" s="587" t="s">
        <v>482</v>
      </c>
      <c r="V214" s="587" t="s">
        <v>482</v>
      </c>
      <c r="W214" s="587"/>
      <c r="X214" s="587"/>
      <c r="Y214" s="587" t="s">
        <v>482</v>
      </c>
      <c r="Z214" s="587" t="s">
        <v>482</v>
      </c>
      <c r="AA214" s="587" t="s">
        <v>482</v>
      </c>
      <c r="AB214" s="587" t="s">
        <v>482</v>
      </c>
      <c r="AC214" s="1660" t="s">
        <v>482</v>
      </c>
      <c r="AD214" s="503"/>
      <c r="AE214" s="503"/>
      <c r="AF214" s="1660" t="s">
        <v>482</v>
      </c>
      <c r="AG214" s="650"/>
      <c r="AH214" s="693">
        <v>0</v>
      </c>
      <c r="AI214" s="1705">
        <v>33</v>
      </c>
    </row>
    <row r="215" spans="1:35" ht="21" customHeight="1" x14ac:dyDescent="0.2">
      <c r="A215" s="441"/>
      <c r="B215" s="673" t="s">
        <v>663</v>
      </c>
      <c r="C215" s="587"/>
      <c r="D215" s="1700" t="s">
        <v>482</v>
      </c>
      <c r="E215" s="1700" t="s">
        <v>482</v>
      </c>
      <c r="F215" s="1700" t="s">
        <v>482</v>
      </c>
      <c r="G215" s="587"/>
      <c r="H215" s="587"/>
      <c r="I215" s="587"/>
      <c r="J215" s="587"/>
      <c r="K215" s="587"/>
      <c r="L215" s="587" t="s">
        <v>482</v>
      </c>
      <c r="M215" s="587" t="s">
        <v>482</v>
      </c>
      <c r="N215" s="587" t="s">
        <v>482</v>
      </c>
      <c r="O215" s="587" t="s">
        <v>482</v>
      </c>
      <c r="P215" s="503"/>
      <c r="Q215" s="503"/>
      <c r="R215" s="587" t="s">
        <v>482</v>
      </c>
      <c r="S215" s="587" t="s">
        <v>482</v>
      </c>
      <c r="T215" s="587" t="s">
        <v>482</v>
      </c>
      <c r="U215" s="587" t="s">
        <v>482</v>
      </c>
      <c r="V215" s="587" t="s">
        <v>482</v>
      </c>
      <c r="W215" s="587"/>
      <c r="X215" s="587"/>
      <c r="Y215" s="587" t="s">
        <v>482</v>
      </c>
      <c r="Z215" s="587" t="s">
        <v>482</v>
      </c>
      <c r="AA215" s="587" t="s">
        <v>482</v>
      </c>
      <c r="AB215" s="587" t="s">
        <v>482</v>
      </c>
      <c r="AC215" s="1660" t="s">
        <v>482</v>
      </c>
      <c r="AD215" s="503"/>
      <c r="AE215" s="503"/>
      <c r="AF215" s="587" t="s">
        <v>482</v>
      </c>
      <c r="AG215" s="650"/>
      <c r="AH215" s="693">
        <v>0</v>
      </c>
      <c r="AI215" s="694">
        <v>0</v>
      </c>
    </row>
    <row r="216" spans="1:35" ht="21" customHeight="1" x14ac:dyDescent="0.2">
      <c r="A216" s="441"/>
      <c r="B216" s="673" t="s">
        <v>664</v>
      </c>
      <c r="C216" s="587"/>
      <c r="D216" s="1060" t="s">
        <v>482</v>
      </c>
      <c r="E216" s="1494" t="s">
        <v>482</v>
      </c>
      <c r="F216" s="1494" t="s">
        <v>482</v>
      </c>
      <c r="G216" s="587"/>
      <c r="H216" s="587"/>
      <c r="I216" s="587"/>
      <c r="J216" s="587"/>
      <c r="K216" s="587"/>
      <c r="L216" s="587" t="s">
        <v>482</v>
      </c>
      <c r="M216" s="587" t="s">
        <v>482</v>
      </c>
      <c r="N216" s="587" t="s">
        <v>482</v>
      </c>
      <c r="O216" s="587" t="s">
        <v>482</v>
      </c>
      <c r="P216" s="503"/>
      <c r="Q216" s="503"/>
      <c r="R216" s="587" t="s">
        <v>482</v>
      </c>
      <c r="S216" s="587" t="s">
        <v>482</v>
      </c>
      <c r="T216" s="587" t="s">
        <v>482</v>
      </c>
      <c r="U216" s="587" t="s">
        <v>482</v>
      </c>
      <c r="V216" s="587" t="s">
        <v>482</v>
      </c>
      <c r="W216" s="587"/>
      <c r="X216" s="587"/>
      <c r="Y216" s="587" t="s">
        <v>482</v>
      </c>
      <c r="Z216" s="587" t="s">
        <v>482</v>
      </c>
      <c r="AA216" s="587" t="s">
        <v>482</v>
      </c>
      <c r="AB216" s="587" t="s">
        <v>482</v>
      </c>
      <c r="AC216" s="587" t="s">
        <v>482</v>
      </c>
      <c r="AD216" s="503"/>
      <c r="AE216" s="503"/>
      <c r="AF216" s="587" t="s">
        <v>482</v>
      </c>
      <c r="AG216" s="650"/>
      <c r="AH216" s="693">
        <v>6</v>
      </c>
      <c r="AI216" s="694">
        <v>0</v>
      </c>
    </row>
    <row r="217" spans="1:35" ht="21" customHeight="1" x14ac:dyDescent="0.2">
      <c r="A217" s="441"/>
      <c r="B217" s="673" t="s">
        <v>665</v>
      </c>
      <c r="C217" s="587"/>
      <c r="D217" s="587" t="s">
        <v>482</v>
      </c>
      <c r="E217" s="587" t="s">
        <v>482</v>
      </c>
      <c r="F217" s="587" t="s">
        <v>482</v>
      </c>
      <c r="G217" s="587"/>
      <c r="H217" s="587"/>
      <c r="I217" s="587"/>
      <c r="J217" s="587"/>
      <c r="K217" s="587"/>
      <c r="L217" s="587" t="s">
        <v>482</v>
      </c>
      <c r="M217" s="587" t="s">
        <v>482</v>
      </c>
      <c r="N217" s="587" t="s">
        <v>482</v>
      </c>
      <c r="O217" s="587" t="s">
        <v>482</v>
      </c>
      <c r="P217" s="503"/>
      <c r="Q217" s="503"/>
      <c r="R217" s="1627" t="s">
        <v>482</v>
      </c>
      <c r="S217" s="587" t="s">
        <v>482</v>
      </c>
      <c r="T217" s="587" t="s">
        <v>482</v>
      </c>
      <c r="U217" s="587" t="s">
        <v>482</v>
      </c>
      <c r="V217" s="587" t="s">
        <v>482</v>
      </c>
      <c r="W217" s="587"/>
      <c r="X217" s="587"/>
      <c r="Y217" s="587" t="s">
        <v>482</v>
      </c>
      <c r="Z217" s="1627" t="s">
        <v>482</v>
      </c>
      <c r="AA217" s="1627" t="s">
        <v>482</v>
      </c>
      <c r="AB217" s="1627" t="s">
        <v>482</v>
      </c>
      <c r="AC217" s="1627" t="s">
        <v>482</v>
      </c>
      <c r="AD217" s="503"/>
      <c r="AE217" s="503"/>
      <c r="AF217" s="1627" t="s">
        <v>482</v>
      </c>
      <c r="AG217" s="650"/>
      <c r="AH217" s="693">
        <v>0</v>
      </c>
      <c r="AI217" s="694">
        <v>0</v>
      </c>
    </row>
    <row r="218" spans="1:35" ht="21" customHeight="1" x14ac:dyDescent="0.2">
      <c r="A218" s="441"/>
      <c r="B218" s="673" t="s">
        <v>666</v>
      </c>
      <c r="C218" s="587"/>
      <c r="D218" s="1606" t="s">
        <v>482</v>
      </c>
      <c r="E218" s="1606" t="s">
        <v>482</v>
      </c>
      <c r="F218" s="1606" t="s">
        <v>482</v>
      </c>
      <c r="G218" s="587"/>
      <c r="H218" s="587"/>
      <c r="I218" s="587"/>
      <c r="J218" s="587"/>
      <c r="K218" s="587"/>
      <c r="L218" s="587" t="s">
        <v>482</v>
      </c>
      <c r="M218" s="587" t="s">
        <v>482</v>
      </c>
      <c r="N218" s="587" t="s">
        <v>482</v>
      </c>
      <c r="O218" s="587" t="s">
        <v>482</v>
      </c>
      <c r="P218" s="503"/>
      <c r="Q218" s="503"/>
      <c r="R218" s="587" t="s">
        <v>482</v>
      </c>
      <c r="S218" s="587" t="s">
        <v>482</v>
      </c>
      <c r="T218" s="587" t="s">
        <v>482</v>
      </c>
      <c r="U218" s="587" t="s">
        <v>482</v>
      </c>
      <c r="V218" s="587" t="s">
        <v>482</v>
      </c>
      <c r="W218" s="587"/>
      <c r="X218" s="587"/>
      <c r="Y218" s="587" t="s">
        <v>482</v>
      </c>
      <c r="Z218" s="587" t="s">
        <v>482</v>
      </c>
      <c r="AA218" s="587" t="s">
        <v>482</v>
      </c>
      <c r="AB218" s="587" t="s">
        <v>482</v>
      </c>
      <c r="AC218" s="1519" t="s">
        <v>482</v>
      </c>
      <c r="AD218" s="503"/>
      <c r="AE218" s="503"/>
      <c r="AF218" s="587" t="s">
        <v>482</v>
      </c>
      <c r="AG218" s="650"/>
      <c r="AH218" s="693">
        <v>1</v>
      </c>
      <c r="AI218" s="694">
        <v>8</v>
      </c>
    </row>
    <row r="219" spans="1:35" ht="21" customHeight="1" x14ac:dyDescent="0.2">
      <c r="A219" s="441"/>
      <c r="B219" s="673" t="s">
        <v>667</v>
      </c>
      <c r="C219" s="587"/>
      <c r="D219" s="1606" t="s">
        <v>482</v>
      </c>
      <c r="E219" s="1606" t="s">
        <v>482</v>
      </c>
      <c r="F219" s="1606" t="s">
        <v>482</v>
      </c>
      <c r="G219" s="587"/>
      <c r="H219" s="587"/>
      <c r="I219" s="587"/>
      <c r="J219" s="587"/>
      <c r="K219" s="587"/>
      <c r="L219" s="1606" t="s">
        <v>482</v>
      </c>
      <c r="M219" s="587" t="s">
        <v>482</v>
      </c>
      <c r="N219" s="587" t="s">
        <v>482</v>
      </c>
      <c r="O219" s="587" t="s">
        <v>482</v>
      </c>
      <c r="P219" s="503"/>
      <c r="Q219" s="503"/>
      <c r="R219" s="587" t="s">
        <v>482</v>
      </c>
      <c r="S219" s="587" t="s">
        <v>482</v>
      </c>
      <c r="T219" s="587" t="s">
        <v>482</v>
      </c>
      <c r="U219" s="587" t="s">
        <v>482</v>
      </c>
      <c r="V219" s="587" t="s">
        <v>482</v>
      </c>
      <c r="W219" s="587"/>
      <c r="X219" s="587"/>
      <c r="Y219" s="587" t="s">
        <v>482</v>
      </c>
      <c r="Z219" s="587" t="s">
        <v>482</v>
      </c>
      <c r="AA219" s="587" t="s">
        <v>482</v>
      </c>
      <c r="AB219" s="587" t="s">
        <v>482</v>
      </c>
      <c r="AC219" s="587" t="s">
        <v>482</v>
      </c>
      <c r="AD219" s="503"/>
      <c r="AE219" s="503"/>
      <c r="AF219" s="587" t="s">
        <v>482</v>
      </c>
      <c r="AG219" s="650"/>
      <c r="AH219" s="693">
        <v>0</v>
      </c>
      <c r="AI219" s="1705">
        <v>31</v>
      </c>
    </row>
    <row r="220" spans="1:35" ht="21" customHeight="1" x14ac:dyDescent="0.2">
      <c r="A220" s="441"/>
      <c r="B220" s="673" t="s">
        <v>668</v>
      </c>
      <c r="C220" s="587"/>
      <c r="D220" s="1606" t="s">
        <v>482</v>
      </c>
      <c r="E220" s="1606" t="s">
        <v>482</v>
      </c>
      <c r="F220" s="1606" t="s">
        <v>482</v>
      </c>
      <c r="G220" s="587"/>
      <c r="H220" s="587"/>
      <c r="I220" s="587"/>
      <c r="J220" s="587"/>
      <c r="K220" s="587"/>
      <c r="L220" s="587" t="s">
        <v>482</v>
      </c>
      <c r="M220" s="587" t="s">
        <v>482</v>
      </c>
      <c r="N220" s="587" t="s">
        <v>482</v>
      </c>
      <c r="O220" s="587" t="s">
        <v>482</v>
      </c>
      <c r="P220" s="503"/>
      <c r="Q220" s="503"/>
      <c r="R220" s="587" t="s">
        <v>482</v>
      </c>
      <c r="S220" s="587" t="s">
        <v>482</v>
      </c>
      <c r="T220" s="587" t="s">
        <v>482</v>
      </c>
      <c r="U220" s="587" t="s">
        <v>482</v>
      </c>
      <c r="V220" s="587" t="s">
        <v>482</v>
      </c>
      <c r="W220" s="587"/>
      <c r="X220" s="587"/>
      <c r="Y220" s="587" t="s">
        <v>482</v>
      </c>
      <c r="Z220" s="587" t="s">
        <v>482</v>
      </c>
      <c r="AA220" s="587" t="s">
        <v>482</v>
      </c>
      <c r="AB220" s="587" t="s">
        <v>482</v>
      </c>
      <c r="AC220" s="587" t="s">
        <v>482</v>
      </c>
      <c r="AD220" s="503"/>
      <c r="AE220" s="503"/>
      <c r="AF220" s="587" t="s">
        <v>482</v>
      </c>
      <c r="AG220" s="650"/>
      <c r="AH220" s="693">
        <v>2.5</v>
      </c>
      <c r="AI220" s="694">
        <v>0</v>
      </c>
    </row>
    <row r="221" spans="1:35" ht="21" customHeight="1" x14ac:dyDescent="0.2">
      <c r="A221" s="441"/>
      <c r="B221" s="673" t="s">
        <v>669</v>
      </c>
      <c r="C221" s="587"/>
      <c r="D221" s="1606" t="s">
        <v>482</v>
      </c>
      <c r="E221" s="1606" t="s">
        <v>482</v>
      </c>
      <c r="F221" s="1606" t="s">
        <v>482</v>
      </c>
      <c r="G221" s="587"/>
      <c r="H221" s="587"/>
      <c r="I221" s="587"/>
      <c r="J221" s="587"/>
      <c r="K221" s="587"/>
      <c r="L221" s="1606" t="s">
        <v>482</v>
      </c>
      <c r="M221" s="1606" t="s">
        <v>482</v>
      </c>
      <c r="N221" s="1606" t="s">
        <v>482</v>
      </c>
      <c r="O221" s="1606" t="s">
        <v>482</v>
      </c>
      <c r="P221" s="503"/>
      <c r="Q221" s="503"/>
      <c r="R221" s="587" t="s">
        <v>482</v>
      </c>
      <c r="S221" s="587" t="s">
        <v>482</v>
      </c>
      <c r="T221" s="587" t="s">
        <v>482</v>
      </c>
      <c r="U221" s="587" t="s">
        <v>482</v>
      </c>
      <c r="V221" s="587" t="s">
        <v>482</v>
      </c>
      <c r="W221" s="587"/>
      <c r="X221" s="587"/>
      <c r="Y221" s="587" t="s">
        <v>482</v>
      </c>
      <c r="Z221" s="587" t="s">
        <v>482</v>
      </c>
      <c r="AA221" s="587" t="s">
        <v>482</v>
      </c>
      <c r="AB221" s="587" t="s">
        <v>482</v>
      </c>
      <c r="AC221" s="587" t="s">
        <v>482</v>
      </c>
      <c r="AD221" s="503"/>
      <c r="AE221" s="503"/>
      <c r="AF221" s="1524" t="s">
        <v>482</v>
      </c>
      <c r="AG221" s="650"/>
      <c r="AH221" s="693">
        <v>0</v>
      </c>
      <c r="AI221" s="694">
        <v>0</v>
      </c>
    </row>
    <row r="222" spans="1:35" ht="21" customHeight="1" x14ac:dyDescent="0.2">
      <c r="A222" s="441"/>
      <c r="B222" s="673" t="s">
        <v>670</v>
      </c>
      <c r="C222" s="587"/>
      <c r="D222" s="587" t="s">
        <v>482</v>
      </c>
      <c r="E222" s="587" t="s">
        <v>482</v>
      </c>
      <c r="F222" s="587" t="s">
        <v>482</v>
      </c>
      <c r="G222" s="587"/>
      <c r="H222" s="587"/>
      <c r="I222" s="587"/>
      <c r="J222" s="587"/>
      <c r="K222" s="587"/>
      <c r="L222" s="1689" t="s">
        <v>552</v>
      </c>
      <c r="M222" s="1689" t="s">
        <v>552</v>
      </c>
      <c r="N222" s="1689" t="s">
        <v>552</v>
      </c>
      <c r="O222" s="1689" t="s">
        <v>552</v>
      </c>
      <c r="P222" s="503"/>
      <c r="Q222" s="503"/>
      <c r="R222" s="587" t="s">
        <v>482</v>
      </c>
      <c r="S222" s="587" t="s">
        <v>482</v>
      </c>
      <c r="T222" s="587" t="s">
        <v>482</v>
      </c>
      <c r="U222" s="587" t="s">
        <v>482</v>
      </c>
      <c r="V222" s="587" t="s">
        <v>482</v>
      </c>
      <c r="W222" s="587"/>
      <c r="X222" s="587"/>
      <c r="Y222" s="587" t="s">
        <v>482</v>
      </c>
      <c r="Z222" s="587" t="s">
        <v>482</v>
      </c>
      <c r="AA222" s="587" t="s">
        <v>482</v>
      </c>
      <c r="AB222" s="587" t="s">
        <v>482</v>
      </c>
      <c r="AC222" s="587" t="s">
        <v>482</v>
      </c>
      <c r="AD222" s="503"/>
      <c r="AE222" s="503"/>
      <c r="AF222" s="587" t="s">
        <v>482</v>
      </c>
      <c r="AG222" s="650"/>
      <c r="AH222" s="693">
        <v>8</v>
      </c>
      <c r="AI222" s="694">
        <v>0</v>
      </c>
    </row>
    <row r="223" spans="1:35" ht="21" customHeight="1" x14ac:dyDescent="0.2">
      <c r="A223" s="441"/>
      <c r="B223" s="152" t="s">
        <v>671</v>
      </c>
      <c r="C223" s="587"/>
      <c r="D223" s="587" t="s">
        <v>482</v>
      </c>
      <c r="E223" s="587" t="s">
        <v>482</v>
      </c>
      <c r="F223" s="587" t="s">
        <v>482</v>
      </c>
      <c r="G223" s="587"/>
      <c r="H223" s="587"/>
      <c r="I223" s="587"/>
      <c r="J223" s="587"/>
      <c r="K223" s="587"/>
      <c r="L223" s="587" t="s">
        <v>482</v>
      </c>
      <c r="M223" s="587" t="s">
        <v>482</v>
      </c>
      <c r="N223" s="587" t="s">
        <v>482</v>
      </c>
      <c r="O223" s="587" t="s">
        <v>482</v>
      </c>
      <c r="P223" s="503"/>
      <c r="Q223" s="503"/>
      <c r="R223" s="587" t="s">
        <v>482</v>
      </c>
      <c r="S223" s="587" t="s">
        <v>482</v>
      </c>
      <c r="T223" s="587" t="s">
        <v>482</v>
      </c>
      <c r="U223" s="587" t="s">
        <v>482</v>
      </c>
      <c r="V223" s="587" t="s">
        <v>482</v>
      </c>
      <c r="W223" s="587"/>
      <c r="X223" s="587"/>
      <c r="Y223" s="587" t="s">
        <v>482</v>
      </c>
      <c r="Z223" s="587" t="s">
        <v>482</v>
      </c>
      <c r="AA223" s="587" t="s">
        <v>482</v>
      </c>
      <c r="AB223" s="587" t="s">
        <v>482</v>
      </c>
      <c r="AC223" s="587" t="s">
        <v>482</v>
      </c>
      <c r="AD223" s="503"/>
      <c r="AE223" s="503"/>
      <c r="AF223" s="587" t="s">
        <v>482</v>
      </c>
      <c r="AG223" s="588"/>
      <c r="AH223" s="693">
        <v>0</v>
      </c>
      <c r="AI223" s="694">
        <v>0</v>
      </c>
    </row>
    <row r="224" spans="1:35" ht="21" customHeight="1" x14ac:dyDescent="0.2">
      <c r="A224" s="441"/>
      <c r="B224" s="152" t="s">
        <v>672</v>
      </c>
      <c r="C224" s="587"/>
      <c r="D224" s="587" t="s">
        <v>482</v>
      </c>
      <c r="E224" s="587" t="s">
        <v>482</v>
      </c>
      <c r="F224" s="587" t="s">
        <v>482</v>
      </c>
      <c r="G224" s="587"/>
      <c r="H224" s="587"/>
      <c r="I224" s="587"/>
      <c r="J224" s="587"/>
      <c r="K224" s="587"/>
      <c r="L224" s="587" t="s">
        <v>482</v>
      </c>
      <c r="M224" s="587" t="s">
        <v>482</v>
      </c>
      <c r="N224" s="587" t="s">
        <v>482</v>
      </c>
      <c r="O224" s="587" t="s">
        <v>482</v>
      </c>
      <c r="P224" s="503"/>
      <c r="Q224" s="503"/>
      <c r="R224" s="587" t="s">
        <v>482</v>
      </c>
      <c r="S224" s="587" t="s">
        <v>482</v>
      </c>
      <c r="T224" s="587" t="s">
        <v>482</v>
      </c>
      <c r="U224" s="587" t="s">
        <v>482</v>
      </c>
      <c r="V224" s="587" t="s">
        <v>482</v>
      </c>
      <c r="W224" s="587"/>
      <c r="X224" s="587"/>
      <c r="Y224" s="1700" t="s">
        <v>482</v>
      </c>
      <c r="Z224" s="1700" t="s">
        <v>482</v>
      </c>
      <c r="AA224" s="1548" t="s">
        <v>482</v>
      </c>
      <c r="AB224" s="1548" t="s">
        <v>482</v>
      </c>
      <c r="AC224" s="1548" t="s">
        <v>482</v>
      </c>
      <c r="AD224" s="503"/>
      <c r="AE224" s="503"/>
      <c r="AF224" s="1606" t="s">
        <v>482</v>
      </c>
      <c r="AG224" s="588"/>
      <c r="AH224" s="693">
        <v>0</v>
      </c>
      <c r="AI224" s="694">
        <v>0</v>
      </c>
    </row>
    <row r="225" spans="1:35" ht="21" customHeight="1" x14ac:dyDescent="0.2">
      <c r="A225" s="152"/>
      <c r="B225" s="152" t="s">
        <v>673</v>
      </c>
      <c r="C225" s="587"/>
      <c r="D225" s="587" t="s">
        <v>482</v>
      </c>
      <c r="E225" s="1606" t="s">
        <v>482</v>
      </c>
      <c r="F225" s="1606" t="s">
        <v>482</v>
      </c>
      <c r="G225" s="587"/>
      <c r="H225" s="587"/>
      <c r="I225" s="587"/>
      <c r="J225" s="587"/>
      <c r="K225" s="587"/>
      <c r="L225" s="587" t="s">
        <v>482</v>
      </c>
      <c r="M225" s="587" t="s">
        <v>482</v>
      </c>
      <c r="N225" s="587" t="s">
        <v>482</v>
      </c>
      <c r="O225" s="587" t="s">
        <v>482</v>
      </c>
      <c r="P225" s="503"/>
      <c r="Q225" s="503"/>
      <c r="R225" s="587" t="s">
        <v>482</v>
      </c>
      <c r="S225" s="587" t="s">
        <v>482</v>
      </c>
      <c r="T225" s="587" t="s">
        <v>482</v>
      </c>
      <c r="U225" s="587" t="s">
        <v>482</v>
      </c>
      <c r="V225" s="587" t="s">
        <v>482</v>
      </c>
      <c r="W225" s="587"/>
      <c r="X225" s="587"/>
      <c r="Y225" s="587" t="s">
        <v>482</v>
      </c>
      <c r="Z225" s="587" t="s">
        <v>482</v>
      </c>
      <c r="AA225" s="587" t="s">
        <v>482</v>
      </c>
      <c r="AB225" s="587" t="s">
        <v>482</v>
      </c>
      <c r="AC225" s="587" t="s">
        <v>482</v>
      </c>
      <c r="AD225" s="503"/>
      <c r="AE225" s="503"/>
      <c r="AF225" s="587" t="s">
        <v>482</v>
      </c>
      <c r="AG225" s="154"/>
      <c r="AH225" s="693">
        <v>0</v>
      </c>
      <c r="AI225" s="694">
        <v>0</v>
      </c>
    </row>
    <row r="226" spans="1:35" ht="21" customHeight="1" x14ac:dyDescent="0.2">
      <c r="A226" s="152"/>
      <c r="B226" s="152"/>
      <c r="C226" s="587"/>
      <c r="D226" s="587"/>
      <c r="E226" s="587"/>
      <c r="F226" s="587"/>
      <c r="G226" s="587"/>
      <c r="H226" s="587"/>
      <c r="I226" s="587"/>
      <c r="J226" s="587"/>
      <c r="K226" s="587"/>
      <c r="L226" s="587"/>
      <c r="M226" s="587"/>
      <c r="N226" s="587"/>
      <c r="O226" s="587"/>
      <c r="P226" s="503"/>
      <c r="Q226" s="503"/>
      <c r="R226" s="587"/>
      <c r="S226" s="587"/>
      <c r="T226" s="587"/>
      <c r="U226" s="587"/>
      <c r="V226" s="587"/>
      <c r="W226" s="587"/>
      <c r="X226" s="587"/>
      <c r="Y226" s="587"/>
      <c r="Z226" s="587"/>
      <c r="AA226" s="587"/>
      <c r="AB226" s="587"/>
      <c r="AC226" s="587"/>
      <c r="AD226" s="503"/>
      <c r="AE226" s="503"/>
      <c r="AF226" s="587"/>
      <c r="AG226" s="154"/>
      <c r="AH226" s="693"/>
      <c r="AI226" s="694"/>
    </row>
    <row r="227" spans="1:35" ht="21" customHeight="1" x14ac:dyDescent="0.2">
      <c r="A227" s="152"/>
      <c r="B227" s="152"/>
      <c r="C227" s="587"/>
      <c r="D227" s="587"/>
      <c r="E227" s="587"/>
      <c r="F227" s="587"/>
      <c r="G227" s="587"/>
      <c r="H227" s="587"/>
      <c r="I227" s="587"/>
      <c r="J227" s="587"/>
      <c r="K227" s="587"/>
      <c r="L227" s="587"/>
      <c r="M227" s="587"/>
      <c r="N227" s="587"/>
      <c r="O227" s="587"/>
      <c r="P227" s="503"/>
      <c r="Q227" s="503"/>
      <c r="R227" s="587"/>
      <c r="S227" s="587"/>
      <c r="T227" s="587"/>
      <c r="U227" s="587"/>
      <c r="V227" s="587"/>
      <c r="W227" s="587"/>
      <c r="X227" s="587"/>
      <c r="Y227" s="587"/>
      <c r="Z227" s="587"/>
      <c r="AA227" s="587"/>
      <c r="AB227" s="587"/>
      <c r="AC227" s="587"/>
      <c r="AD227" s="503"/>
      <c r="AE227" s="503"/>
      <c r="AF227" s="587"/>
      <c r="AG227" s="154"/>
      <c r="AH227" s="693"/>
      <c r="AI227" s="694"/>
    </row>
    <row r="228" spans="1:35" ht="21" customHeight="1" x14ac:dyDescent="0.2">
      <c r="A228" s="152"/>
      <c r="B228" s="152"/>
      <c r="C228" s="503"/>
      <c r="D228" s="503"/>
      <c r="E228" s="503"/>
      <c r="F228" s="503"/>
      <c r="G228" s="503"/>
      <c r="H228" s="503"/>
      <c r="I228" s="503"/>
      <c r="J228" s="503"/>
      <c r="K228" s="503"/>
      <c r="L228" s="503"/>
      <c r="M228" s="503"/>
      <c r="N228" s="503"/>
      <c r="O228" s="503"/>
      <c r="P228" s="503"/>
      <c r="Q228" s="503"/>
      <c r="R228" s="503"/>
      <c r="S228" s="503"/>
      <c r="T228" s="503"/>
      <c r="U228" s="503"/>
      <c r="V228" s="503"/>
      <c r="W228" s="503"/>
      <c r="X228" s="503"/>
      <c r="Y228" s="503"/>
      <c r="Z228" s="503"/>
      <c r="AA228" s="503"/>
      <c r="AB228" s="503"/>
      <c r="AC228" s="503"/>
      <c r="AD228" s="503"/>
      <c r="AE228" s="503"/>
      <c r="AF228" s="152"/>
      <c r="AG228" s="154"/>
      <c r="AH228" s="693"/>
      <c r="AI228" s="694"/>
    </row>
    <row r="229" spans="1:35" ht="21" customHeight="1" x14ac:dyDescent="0.2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4"/>
      <c r="AH229" s="328"/>
      <c r="AI229" s="190"/>
    </row>
    <row r="230" spans="1:35" ht="21" customHeight="1" x14ac:dyDescent="0.2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4"/>
      <c r="AH230" s="328"/>
      <c r="AI230" s="190"/>
    </row>
    <row r="231" spans="1:35" ht="21" customHeight="1" x14ac:dyDescent="0.2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4"/>
      <c r="AH231" s="330"/>
      <c r="AI231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0" max="16383" man="1"/>
  </row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AL234"/>
  <sheetViews>
    <sheetView topLeftCell="A130" zoomScale="67" zoomScaleNormal="67" workbookViewId="0">
      <selection activeCell="O42" sqref="O42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.140625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177">
        <v>1</v>
      </c>
      <c r="D10" s="177">
        <v>2</v>
      </c>
      <c r="E10" s="177">
        <v>3</v>
      </c>
      <c r="F10" s="177">
        <v>4</v>
      </c>
      <c r="G10" s="177">
        <v>5</v>
      </c>
      <c r="H10" s="497">
        <v>6</v>
      </c>
      <c r="I10" s="497">
        <v>7</v>
      </c>
      <c r="J10" s="177">
        <v>8</v>
      </c>
      <c r="K10" s="177">
        <v>9</v>
      </c>
      <c r="L10" s="177">
        <v>10</v>
      </c>
      <c r="M10" s="177">
        <v>11</v>
      </c>
      <c r="N10" s="177">
        <v>12</v>
      </c>
      <c r="O10" s="497">
        <v>13</v>
      </c>
      <c r="P10" s="497">
        <v>14</v>
      </c>
      <c r="Q10" s="177">
        <v>15</v>
      </c>
      <c r="R10" s="177">
        <v>16</v>
      </c>
      <c r="S10" s="177">
        <v>17</v>
      </c>
      <c r="T10" s="177">
        <v>18</v>
      </c>
      <c r="U10" s="177">
        <v>19</v>
      </c>
      <c r="V10" s="497">
        <v>20</v>
      </c>
      <c r="W10" s="497">
        <v>21</v>
      </c>
      <c r="X10" s="177">
        <v>22</v>
      </c>
      <c r="Y10" s="177">
        <v>23</v>
      </c>
      <c r="Z10" s="177">
        <v>24</v>
      </c>
      <c r="AA10" s="177">
        <v>25</v>
      </c>
      <c r="AB10" s="177">
        <v>26</v>
      </c>
      <c r="AC10" s="497">
        <v>27</v>
      </c>
      <c r="AD10" s="497">
        <v>28</v>
      </c>
      <c r="AE10" s="177">
        <v>29</v>
      </c>
      <c r="AF10" s="177">
        <v>30</v>
      </c>
      <c r="AG10" s="177">
        <v>31</v>
      </c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x14ac:dyDescent="0.2">
      <c r="A13" s="512">
        <v>8546</v>
      </c>
      <c r="B13" s="513" t="s">
        <v>473</v>
      </c>
      <c r="C13" s="514">
        <v>3</v>
      </c>
      <c r="D13" s="514">
        <v>3</v>
      </c>
      <c r="E13" s="514">
        <v>3</v>
      </c>
      <c r="F13" s="514">
        <v>3</v>
      </c>
      <c r="G13" s="514">
        <v>3</v>
      </c>
      <c r="H13" s="503"/>
      <c r="I13" s="514"/>
      <c r="J13" s="514">
        <v>4</v>
      </c>
      <c r="K13" s="514">
        <v>4</v>
      </c>
      <c r="L13" s="503">
        <v>4</v>
      </c>
      <c r="M13" s="503">
        <v>4</v>
      </c>
      <c r="N13" s="503">
        <v>4</v>
      </c>
      <c r="O13" s="503" t="s">
        <v>476</v>
      </c>
      <c r="P13" s="514" t="s">
        <v>476</v>
      </c>
      <c r="Q13" s="1066" t="s">
        <v>475</v>
      </c>
      <c r="R13" s="1066" t="s">
        <v>475</v>
      </c>
      <c r="S13" s="1066" t="s">
        <v>475</v>
      </c>
      <c r="T13" s="1066" t="s">
        <v>475</v>
      </c>
      <c r="U13" s="1066" t="s">
        <v>475</v>
      </c>
      <c r="V13" s="1066"/>
      <c r="W13" s="1066"/>
      <c r="X13" s="1066">
        <v>1</v>
      </c>
      <c r="Y13" s="1066">
        <v>1</v>
      </c>
      <c r="Z13" s="1066">
        <v>1</v>
      </c>
      <c r="AA13" s="1066">
        <v>1</v>
      </c>
      <c r="AB13" s="1066">
        <v>1</v>
      </c>
      <c r="AC13" s="1066"/>
      <c r="AD13" s="1066"/>
      <c r="AE13" s="1066">
        <v>2</v>
      </c>
      <c r="AF13" s="1066">
        <v>2</v>
      </c>
      <c r="AG13" s="1070">
        <v>2</v>
      </c>
      <c r="AH13" s="516">
        <v>120</v>
      </c>
      <c r="AI13" s="517">
        <v>37</v>
      </c>
    </row>
    <row r="14" spans="1:35" ht="21.95" customHeight="1" x14ac:dyDescent="0.2">
      <c r="A14" s="501">
        <v>8546</v>
      </c>
      <c r="B14" s="346" t="s">
        <v>477</v>
      </c>
      <c r="C14" s="503">
        <v>2</v>
      </c>
      <c r="D14" s="503">
        <v>2</v>
      </c>
      <c r="E14" s="503">
        <v>2</v>
      </c>
      <c r="F14" s="503">
        <v>2</v>
      </c>
      <c r="G14" s="503">
        <v>2</v>
      </c>
      <c r="H14" s="503" t="s">
        <v>474</v>
      </c>
      <c r="I14" s="503" t="s">
        <v>474</v>
      </c>
      <c r="J14" s="503" t="s">
        <v>475</v>
      </c>
      <c r="K14" s="503" t="s">
        <v>475</v>
      </c>
      <c r="L14" s="503" t="s">
        <v>475</v>
      </c>
      <c r="M14" s="503" t="s">
        <v>475</v>
      </c>
      <c r="N14" s="503" t="s">
        <v>475</v>
      </c>
      <c r="O14" s="503"/>
      <c r="P14" s="503"/>
      <c r="Q14" s="1059">
        <v>3</v>
      </c>
      <c r="R14" s="1059">
        <v>3</v>
      </c>
      <c r="S14" s="1059">
        <v>3</v>
      </c>
      <c r="T14" s="1059">
        <v>3</v>
      </c>
      <c r="U14" s="1059">
        <v>3</v>
      </c>
      <c r="V14" s="1069"/>
      <c r="W14" s="1069"/>
      <c r="X14" s="1069">
        <v>4</v>
      </c>
      <c r="Y14" s="1069">
        <v>4</v>
      </c>
      <c r="Z14" s="1069">
        <v>4</v>
      </c>
      <c r="AA14" s="1069">
        <v>4</v>
      </c>
      <c r="AB14" s="1069">
        <v>4</v>
      </c>
      <c r="AC14" s="1059" t="s">
        <v>476</v>
      </c>
      <c r="AD14" s="1059" t="s">
        <v>476</v>
      </c>
      <c r="AE14" s="1059" t="s">
        <v>475</v>
      </c>
      <c r="AF14" s="1059" t="s">
        <v>475</v>
      </c>
      <c r="AG14" s="1068" t="s">
        <v>475</v>
      </c>
      <c r="AH14" s="505">
        <v>82</v>
      </c>
      <c r="AI14" s="506">
        <v>37</v>
      </c>
    </row>
    <row r="15" spans="1:35" ht="21.95" customHeight="1" x14ac:dyDescent="0.2">
      <c r="A15" s="501">
        <v>8546</v>
      </c>
      <c r="B15" s="346" t="s">
        <v>174</v>
      </c>
      <c r="C15" s="503" t="s">
        <v>475</v>
      </c>
      <c r="D15" s="503" t="s">
        <v>475</v>
      </c>
      <c r="E15" s="503" t="s">
        <v>475</v>
      </c>
      <c r="F15" s="503" t="s">
        <v>475</v>
      </c>
      <c r="G15" s="503" t="s">
        <v>475</v>
      </c>
      <c r="H15" s="503"/>
      <c r="I15" s="503"/>
      <c r="J15" s="503">
        <v>3</v>
      </c>
      <c r="K15" s="503">
        <v>3</v>
      </c>
      <c r="L15" s="503">
        <v>3</v>
      </c>
      <c r="M15" s="503">
        <v>3</v>
      </c>
      <c r="N15" s="503">
        <v>3</v>
      </c>
      <c r="O15" s="503"/>
      <c r="P15" s="503"/>
      <c r="Q15" s="503" t="s">
        <v>552</v>
      </c>
      <c r="R15" s="503" t="s">
        <v>552</v>
      </c>
      <c r="S15" s="503" t="s">
        <v>552</v>
      </c>
      <c r="T15" s="503" t="s">
        <v>552</v>
      </c>
      <c r="U15" s="503">
        <v>4</v>
      </c>
      <c r="V15" s="503" t="s">
        <v>476</v>
      </c>
      <c r="W15" s="503" t="s">
        <v>476</v>
      </c>
      <c r="X15" s="503" t="s">
        <v>475</v>
      </c>
      <c r="Y15" s="503" t="s">
        <v>475</v>
      </c>
      <c r="Z15" s="503" t="s">
        <v>475</v>
      </c>
      <c r="AA15" s="503" t="s">
        <v>475</v>
      </c>
      <c r="AB15" s="503" t="s">
        <v>475</v>
      </c>
      <c r="AC15" s="503"/>
      <c r="AD15" s="503"/>
      <c r="AE15" s="503">
        <v>1</v>
      </c>
      <c r="AF15" s="503">
        <v>1</v>
      </c>
      <c r="AG15" s="504">
        <v>1</v>
      </c>
      <c r="AH15" s="505">
        <v>96</v>
      </c>
      <c r="AI15" s="506">
        <v>37</v>
      </c>
    </row>
    <row r="16" spans="1:35" ht="21.95" customHeight="1" x14ac:dyDescent="0.2">
      <c r="A16" s="501">
        <v>8546</v>
      </c>
      <c r="B16" s="346" t="s">
        <v>478</v>
      </c>
      <c r="C16" s="503" t="s">
        <v>475</v>
      </c>
      <c r="D16" s="503" t="s">
        <v>475</v>
      </c>
      <c r="E16" s="503" t="s">
        <v>475</v>
      </c>
      <c r="F16" s="503" t="s">
        <v>475</v>
      </c>
      <c r="G16" s="503" t="s">
        <v>475</v>
      </c>
      <c r="H16" s="503"/>
      <c r="I16" s="503"/>
      <c r="J16" s="503">
        <v>1</v>
      </c>
      <c r="K16" s="503">
        <v>1</v>
      </c>
      <c r="L16" s="503">
        <v>1</v>
      </c>
      <c r="M16" s="503">
        <v>1</v>
      </c>
      <c r="N16" s="503">
        <v>1</v>
      </c>
      <c r="O16" s="503"/>
      <c r="P16" s="503"/>
      <c r="Q16" s="503">
        <v>2</v>
      </c>
      <c r="R16" s="503">
        <v>2</v>
      </c>
      <c r="S16" s="503">
        <v>2</v>
      </c>
      <c r="T16" s="503">
        <v>2</v>
      </c>
      <c r="U16" s="503">
        <v>2</v>
      </c>
      <c r="V16" s="503" t="s">
        <v>474</v>
      </c>
      <c r="W16" s="503" t="s">
        <v>474</v>
      </c>
      <c r="X16" s="503" t="s">
        <v>475</v>
      </c>
      <c r="Y16" s="503" t="s">
        <v>475</v>
      </c>
      <c r="Z16" s="503" t="s">
        <v>475</v>
      </c>
      <c r="AA16" s="503" t="s">
        <v>475</v>
      </c>
      <c r="AB16" s="503" t="s">
        <v>475</v>
      </c>
      <c r="AC16" s="503"/>
      <c r="AD16" s="503"/>
      <c r="AE16" s="503">
        <v>3</v>
      </c>
      <c r="AF16" s="503">
        <v>3</v>
      </c>
      <c r="AG16" s="504">
        <v>3</v>
      </c>
      <c r="AH16" s="505">
        <v>78</v>
      </c>
      <c r="AI16" s="506">
        <v>37</v>
      </c>
    </row>
    <row r="17" spans="1:37" ht="21.95" customHeight="1" x14ac:dyDescent="0.2">
      <c r="A17" s="501">
        <v>8546</v>
      </c>
      <c r="B17" s="346" t="s">
        <v>479</v>
      </c>
      <c r="C17" s="1059">
        <v>4</v>
      </c>
      <c r="D17" s="1059">
        <v>4</v>
      </c>
      <c r="E17" s="1059">
        <v>4</v>
      </c>
      <c r="F17" s="1059">
        <v>4</v>
      </c>
      <c r="G17" s="1059">
        <v>4</v>
      </c>
      <c r="H17" s="1059" t="s">
        <v>476</v>
      </c>
      <c r="I17" s="1059" t="s">
        <v>476</v>
      </c>
      <c r="J17" s="1059" t="s">
        <v>475</v>
      </c>
      <c r="K17" s="1059" t="s">
        <v>475</v>
      </c>
      <c r="L17" s="1059" t="s">
        <v>475</v>
      </c>
      <c r="M17" s="1059" t="s">
        <v>475</v>
      </c>
      <c r="N17" s="1059" t="s">
        <v>475</v>
      </c>
      <c r="O17" s="1059"/>
      <c r="P17" s="1059"/>
      <c r="Q17" s="1059">
        <v>1</v>
      </c>
      <c r="R17" s="503">
        <v>1</v>
      </c>
      <c r="S17" s="503">
        <v>1</v>
      </c>
      <c r="T17" s="503">
        <v>1</v>
      </c>
      <c r="U17" s="503">
        <v>1</v>
      </c>
      <c r="V17" s="503"/>
      <c r="W17" s="503"/>
      <c r="X17" s="503">
        <v>2</v>
      </c>
      <c r="Y17" s="503">
        <v>2</v>
      </c>
      <c r="Z17" s="503">
        <v>2</v>
      </c>
      <c r="AA17" s="503">
        <v>2</v>
      </c>
      <c r="AB17" s="503">
        <v>2</v>
      </c>
      <c r="AC17" s="503" t="s">
        <v>474</v>
      </c>
      <c r="AD17" s="503" t="s">
        <v>474</v>
      </c>
      <c r="AE17" s="503" t="s">
        <v>475</v>
      </c>
      <c r="AF17" s="503" t="s">
        <v>475</v>
      </c>
      <c r="AG17" s="504" t="s">
        <v>475</v>
      </c>
      <c r="AH17" s="505">
        <v>103</v>
      </c>
      <c r="AI17" s="506">
        <v>37</v>
      </c>
    </row>
    <row r="18" spans="1:37" ht="21.95" customHeight="1" x14ac:dyDescent="0.2">
      <c r="A18" s="501">
        <v>8546</v>
      </c>
      <c r="B18" s="346" t="s">
        <v>480</v>
      </c>
      <c r="C18" s="1059">
        <v>1</v>
      </c>
      <c r="D18" s="1059">
        <v>1</v>
      </c>
      <c r="E18" s="1059">
        <v>1</v>
      </c>
      <c r="F18" s="1059">
        <v>1</v>
      </c>
      <c r="G18" s="1059">
        <v>1</v>
      </c>
      <c r="H18" s="1059"/>
      <c r="I18" s="1059"/>
      <c r="J18" s="1059">
        <v>2</v>
      </c>
      <c r="K18" s="1059">
        <v>2</v>
      </c>
      <c r="L18" s="1059">
        <v>2</v>
      </c>
      <c r="M18" s="1059">
        <v>2</v>
      </c>
      <c r="N18" s="1059">
        <v>2</v>
      </c>
      <c r="O18" s="1059" t="s">
        <v>474</v>
      </c>
      <c r="P18" s="1059" t="s">
        <v>474</v>
      </c>
      <c r="Q18" s="503" t="s">
        <v>475</v>
      </c>
      <c r="R18" s="503" t="s">
        <v>475</v>
      </c>
      <c r="S18" s="503" t="s">
        <v>475</v>
      </c>
      <c r="T18" s="503" t="s">
        <v>475</v>
      </c>
      <c r="U18" s="503" t="s">
        <v>475</v>
      </c>
      <c r="V18" s="503"/>
      <c r="W18" s="503"/>
      <c r="X18" s="503">
        <v>3</v>
      </c>
      <c r="Y18" s="503">
        <v>3</v>
      </c>
      <c r="Z18" s="503">
        <v>3</v>
      </c>
      <c r="AA18" s="503">
        <v>3</v>
      </c>
      <c r="AB18" s="503">
        <v>3</v>
      </c>
      <c r="AC18" s="503"/>
      <c r="AD18" s="503"/>
      <c r="AE18" s="503">
        <v>4</v>
      </c>
      <c r="AF18" s="503">
        <v>4</v>
      </c>
      <c r="AG18" s="504">
        <v>4</v>
      </c>
      <c r="AH18" s="505">
        <v>67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10"/>
      <c r="AI19" s="511"/>
    </row>
    <row r="20" spans="1:37" ht="21.95" customHeight="1" x14ac:dyDescent="0.2">
      <c r="A20" s="501">
        <v>8500</v>
      </c>
      <c r="B20" s="185" t="s">
        <v>188</v>
      </c>
      <c r="C20" s="503">
        <v>4</v>
      </c>
      <c r="D20" s="503">
        <v>4</v>
      </c>
      <c r="E20" s="503">
        <v>4</v>
      </c>
      <c r="F20" s="503">
        <v>4</v>
      </c>
      <c r="G20" s="503">
        <v>4</v>
      </c>
      <c r="H20" s="503" t="s">
        <v>476</v>
      </c>
      <c r="I20" s="503" t="s">
        <v>476</v>
      </c>
      <c r="J20" s="503" t="s">
        <v>475</v>
      </c>
      <c r="K20" s="503" t="s">
        <v>475</v>
      </c>
      <c r="L20" s="503" t="s">
        <v>475</v>
      </c>
      <c r="M20" s="503" t="s">
        <v>475</v>
      </c>
      <c r="N20" s="503" t="s">
        <v>475</v>
      </c>
      <c r="O20" s="503"/>
      <c r="P20" s="503"/>
      <c r="Q20" s="503">
        <v>3</v>
      </c>
      <c r="R20" s="503">
        <v>3</v>
      </c>
      <c r="S20" s="503">
        <v>3</v>
      </c>
      <c r="T20" s="503">
        <v>3</v>
      </c>
      <c r="U20" s="503">
        <v>3</v>
      </c>
      <c r="V20" s="503"/>
      <c r="W20" s="503" t="s">
        <v>484</v>
      </c>
      <c r="X20" s="503">
        <v>4</v>
      </c>
      <c r="Y20" s="503">
        <v>4</v>
      </c>
      <c r="Z20" s="503">
        <v>4</v>
      </c>
      <c r="AA20" s="503">
        <v>4</v>
      </c>
      <c r="AB20" s="503">
        <v>4</v>
      </c>
      <c r="AC20" s="503" t="s">
        <v>476</v>
      </c>
      <c r="AD20" s="503" t="s">
        <v>476</v>
      </c>
      <c r="AE20" s="503" t="s">
        <v>475</v>
      </c>
      <c r="AF20" s="503" t="s">
        <v>475</v>
      </c>
      <c r="AG20" s="503" t="s">
        <v>475</v>
      </c>
      <c r="AH20" s="505">
        <v>74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03">
        <v>1</v>
      </c>
      <c r="D21" s="503" t="s">
        <v>552</v>
      </c>
      <c r="E21" s="503" t="s">
        <v>552</v>
      </c>
      <c r="F21" s="503" t="s">
        <v>552</v>
      </c>
      <c r="G21" s="503" t="s">
        <v>552</v>
      </c>
      <c r="H21" s="503"/>
      <c r="I21" s="503"/>
      <c r="J21" s="503">
        <v>2</v>
      </c>
      <c r="K21" s="503">
        <v>2</v>
      </c>
      <c r="L21" s="503">
        <v>2</v>
      </c>
      <c r="M21" s="503">
        <v>2</v>
      </c>
      <c r="N21" s="503">
        <v>2</v>
      </c>
      <c r="O21" s="503" t="s">
        <v>474</v>
      </c>
      <c r="P21" s="503" t="s">
        <v>474</v>
      </c>
      <c r="Q21" s="503" t="s">
        <v>475</v>
      </c>
      <c r="R21" s="503" t="s">
        <v>475</v>
      </c>
      <c r="S21" s="503" t="s">
        <v>475</v>
      </c>
      <c r="T21" s="503" t="s">
        <v>475</v>
      </c>
      <c r="U21" s="503" t="s">
        <v>475</v>
      </c>
      <c r="V21" s="503"/>
      <c r="W21" s="503"/>
      <c r="X21" s="503">
        <v>1</v>
      </c>
      <c r="Y21" s="503">
        <v>1</v>
      </c>
      <c r="Z21" s="503">
        <v>1</v>
      </c>
      <c r="AA21" s="503">
        <v>1</v>
      </c>
      <c r="AB21" s="503">
        <v>1</v>
      </c>
      <c r="AC21" s="503" t="s">
        <v>484</v>
      </c>
      <c r="AD21" s="503" t="s">
        <v>484</v>
      </c>
      <c r="AE21" s="503">
        <v>2</v>
      </c>
      <c r="AF21" s="503">
        <v>2</v>
      </c>
      <c r="AG21" s="503">
        <v>2</v>
      </c>
      <c r="AH21" s="505">
        <v>74</v>
      </c>
      <c r="AI21" s="506">
        <v>37</v>
      </c>
      <c r="AK21" t="s">
        <v>28</v>
      </c>
    </row>
    <row r="22" spans="1:37" ht="21.95" customHeight="1" x14ac:dyDescent="0.2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1" t="s">
        <v>485</v>
      </c>
      <c r="D25" s="360"/>
      <c r="E25" s="360"/>
      <c r="F25" s="360"/>
      <c r="G25" s="360"/>
      <c r="H25" s="360"/>
      <c r="I25" s="360"/>
      <c r="J25" s="360"/>
      <c r="K25" s="360"/>
      <c r="L25" s="360"/>
      <c r="M25" s="360"/>
      <c r="N25" s="360"/>
      <c r="O25" s="360"/>
      <c r="P25" s="360"/>
      <c r="Q25" s="360"/>
      <c r="R25" s="360"/>
      <c r="S25" s="360"/>
      <c r="T25" s="360"/>
      <c r="U25" s="360"/>
      <c r="V25" s="360"/>
      <c r="W25" s="360"/>
      <c r="X25" s="360"/>
      <c r="Y25" s="360"/>
      <c r="Z25" s="360"/>
      <c r="AA25" s="360"/>
      <c r="AB25" s="360"/>
      <c r="AC25" s="360"/>
      <c r="AD25" s="360"/>
      <c r="AE25" s="360"/>
      <c r="AF25" s="360"/>
      <c r="AG25" s="360"/>
      <c r="AK25" s="1"/>
    </row>
    <row r="26" spans="1:37" ht="21.95" customHeight="1" x14ac:dyDescent="0.2">
      <c r="A26" s="204" t="s">
        <v>486</v>
      </c>
      <c r="B26" s="526"/>
      <c r="C26" s="526"/>
      <c r="D26" s="424" t="s">
        <v>487</v>
      </c>
      <c r="E26" s="527"/>
      <c r="F26" s="527"/>
      <c r="G26" s="527"/>
      <c r="H26" s="527"/>
      <c r="I26" s="527"/>
      <c r="J26" s="527"/>
      <c r="K26" s="527"/>
      <c r="L26" s="527"/>
      <c r="M26" s="528" t="s">
        <v>725</v>
      </c>
      <c r="N26" s="527"/>
      <c r="O26" s="527"/>
      <c r="P26" s="527"/>
      <c r="Q26" s="527"/>
      <c r="R26" s="527"/>
      <c r="S26" s="529"/>
      <c r="T26" s="529" t="s">
        <v>489</v>
      </c>
      <c r="U26" s="527"/>
      <c r="V26" s="527"/>
      <c r="W26" s="527"/>
      <c r="X26" s="527"/>
      <c r="Y26" s="527"/>
      <c r="Z26" s="237"/>
      <c r="AA26" s="530" t="s">
        <v>490</v>
      </c>
      <c r="AB26" s="51"/>
      <c r="AC26" s="51"/>
      <c r="AD26" s="51"/>
      <c r="AE26" s="51"/>
      <c r="AF26" s="51"/>
      <c r="AG26" s="531"/>
      <c r="AK26" s="1"/>
    </row>
    <row r="27" spans="1:37" ht="21.95" customHeight="1" x14ac:dyDescent="0.25">
      <c r="A27" s="532" t="s">
        <v>491</v>
      </c>
      <c r="B27" s="134"/>
      <c r="C27" s="134"/>
      <c r="D27" s="494" t="s">
        <v>492</v>
      </c>
      <c r="E27" s="490"/>
      <c r="F27" s="156"/>
      <c r="G27" s="156"/>
      <c r="H27" s="156"/>
      <c r="I27" s="156"/>
      <c r="J27" s="156"/>
      <c r="K27" s="156"/>
      <c r="L27" s="488"/>
      <c r="M27" s="533" t="s">
        <v>493</v>
      </c>
      <c r="N27" s="134"/>
      <c r="O27" s="534"/>
      <c r="P27" s="134"/>
      <c r="Q27" s="134"/>
      <c r="R27" s="134"/>
      <c r="S27" s="535"/>
      <c r="T27" s="494" t="s">
        <v>494</v>
      </c>
      <c r="U27" s="156"/>
      <c r="V27" s="490"/>
      <c r="W27" s="156"/>
      <c r="X27" s="156"/>
      <c r="Y27" s="156"/>
      <c r="Z27" s="488"/>
      <c r="AA27" s="1" t="s">
        <v>495</v>
      </c>
      <c r="AD27" s="495"/>
      <c r="AG27" s="536"/>
      <c r="AK27" s="1"/>
    </row>
    <row r="28" spans="1:37" ht="21.95" customHeight="1" x14ac:dyDescent="0.25">
      <c r="A28" s="537" t="s">
        <v>496</v>
      </c>
      <c r="B28" s="156"/>
      <c r="C28" s="156"/>
      <c r="D28" s="156"/>
      <c r="E28" s="156"/>
      <c r="F28" s="156"/>
      <c r="G28" s="488"/>
      <c r="H28" s="494" t="s">
        <v>497</v>
      </c>
      <c r="I28" s="156"/>
      <c r="J28" s="156"/>
      <c r="K28" s="156"/>
      <c r="L28" s="156"/>
      <c r="M28" s="156"/>
      <c r="N28" s="156"/>
      <c r="O28" s="156"/>
      <c r="P28" s="156"/>
      <c r="Q28" s="156"/>
      <c r="R28" s="156"/>
      <c r="S28" s="156"/>
      <c r="T28" s="55"/>
      <c r="U28" s="538" t="s">
        <v>498</v>
      </c>
      <c r="AA28" s="534"/>
      <c r="AB28" s="134"/>
      <c r="AC28" s="134"/>
      <c r="AD28" s="134"/>
      <c r="AE28" s="134"/>
      <c r="AF28" s="134"/>
      <c r="AG28" s="539"/>
      <c r="AK28" s="311"/>
    </row>
    <row r="29" spans="1:37" ht="21.95" customHeight="1" x14ac:dyDescent="0.25">
      <c r="A29" s="540" t="s">
        <v>499</v>
      </c>
      <c r="B29" s="53"/>
      <c r="C29" s="53"/>
      <c r="D29" s="53"/>
      <c r="E29" s="53"/>
      <c r="F29" s="53"/>
      <c r="G29" s="541"/>
      <c r="H29" s="542" t="s">
        <v>500</v>
      </c>
      <c r="I29" s="541"/>
      <c r="J29" s="53"/>
      <c r="K29" s="53"/>
      <c r="L29" s="53"/>
      <c r="M29" s="53"/>
      <c r="N29" s="53"/>
      <c r="O29" s="53"/>
      <c r="P29" s="53"/>
      <c r="Q29" s="543"/>
      <c r="R29" s="543"/>
      <c r="S29" s="543"/>
      <c r="T29" s="53"/>
      <c r="U29" s="542" t="s">
        <v>501</v>
      </c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44"/>
      <c r="AK29" s="1"/>
    </row>
    <row r="30" spans="1:37" ht="21.95" customHeight="1" x14ac:dyDescent="0.2">
      <c r="B30" s="545" t="s">
        <v>467</v>
      </c>
      <c r="C30" s="546"/>
      <c r="D30" s="546"/>
      <c r="E30" s="546"/>
      <c r="F30" s="546"/>
      <c r="G30" s="546"/>
      <c r="H30" s="546"/>
      <c r="I30" s="546"/>
      <c r="J30" s="546"/>
      <c r="K30" s="546"/>
      <c r="L30" s="546"/>
      <c r="M30" s="546"/>
      <c r="N30" s="546"/>
      <c r="O30" s="546"/>
      <c r="P30" s="546"/>
      <c r="Q30" s="546"/>
      <c r="R30" s="546"/>
      <c r="S30" s="546"/>
      <c r="T30" s="546"/>
      <c r="U30" s="546"/>
      <c r="V30" s="546"/>
      <c r="W30" s="546"/>
      <c r="X30" s="546"/>
      <c r="Y30" s="546"/>
      <c r="Z30" s="546"/>
      <c r="AA30" s="546"/>
      <c r="AB30" s="546"/>
      <c r="AC30" s="546"/>
      <c r="AD30" s="546"/>
      <c r="AE30" s="546"/>
      <c r="AF30" s="546"/>
      <c r="AG30" s="546"/>
      <c r="AH30" s="1"/>
    </row>
    <row r="31" spans="1:37" ht="21.95" customHeight="1" x14ac:dyDescent="0.2">
      <c r="A31" s="547" t="s">
        <v>468</v>
      </c>
      <c r="B31" s="296" t="s">
        <v>469</v>
      </c>
      <c r="C31" s="177">
        <v>1</v>
      </c>
      <c r="D31" s="177">
        <v>2</v>
      </c>
      <c r="E31" s="177">
        <v>3</v>
      </c>
      <c r="F31" s="177">
        <v>4</v>
      </c>
      <c r="G31" s="177">
        <v>5</v>
      </c>
      <c r="H31" s="497">
        <v>6</v>
      </c>
      <c r="I31" s="497">
        <v>7</v>
      </c>
      <c r="J31" s="177">
        <v>8</v>
      </c>
      <c r="K31" s="177">
        <v>9</v>
      </c>
      <c r="L31" s="177">
        <v>10</v>
      </c>
      <c r="M31" s="177">
        <v>11</v>
      </c>
      <c r="N31" s="177">
        <v>12</v>
      </c>
      <c r="O31" s="497">
        <v>13</v>
      </c>
      <c r="P31" s="497">
        <v>14</v>
      </c>
      <c r="Q31" s="177">
        <v>15</v>
      </c>
      <c r="R31" s="177">
        <v>16</v>
      </c>
      <c r="S31" s="177">
        <v>17</v>
      </c>
      <c r="T31" s="177">
        <v>18</v>
      </c>
      <c r="U31" s="177">
        <v>19</v>
      </c>
      <c r="V31" s="497">
        <v>20</v>
      </c>
      <c r="W31" s="497">
        <v>21</v>
      </c>
      <c r="X31" s="177">
        <v>22</v>
      </c>
      <c r="Y31" s="177">
        <v>23</v>
      </c>
      <c r="Z31" s="177">
        <v>24</v>
      </c>
      <c r="AA31" s="177">
        <v>25</v>
      </c>
      <c r="AB31" s="177">
        <v>26</v>
      </c>
      <c r="AC31" s="497">
        <v>27</v>
      </c>
      <c r="AD31" s="497">
        <v>28</v>
      </c>
      <c r="AE31" s="177">
        <v>29</v>
      </c>
      <c r="AF31" s="177">
        <v>30</v>
      </c>
      <c r="AG31" s="177">
        <v>31</v>
      </c>
      <c r="AH31" s="499" t="s">
        <v>470</v>
      </c>
      <c r="AI31" s="500" t="s">
        <v>471</v>
      </c>
    </row>
    <row r="32" spans="1:37" ht="21.95" customHeight="1" x14ac:dyDescent="0.2">
      <c r="A32" s="548">
        <v>1</v>
      </c>
      <c r="B32" s="45" t="s">
        <v>502</v>
      </c>
      <c r="C32" s="553" t="s">
        <v>644</v>
      </c>
      <c r="D32" s="553" t="s">
        <v>644</v>
      </c>
      <c r="E32" s="553" t="s">
        <v>644</v>
      </c>
      <c r="F32" s="553" t="s">
        <v>644</v>
      </c>
      <c r="G32" s="553" t="s">
        <v>644</v>
      </c>
      <c r="H32" s="553"/>
      <c r="I32" s="553"/>
      <c r="J32" s="553">
        <v>11</v>
      </c>
      <c r="K32" s="553">
        <v>11</v>
      </c>
      <c r="L32" s="553">
        <v>11</v>
      </c>
      <c r="M32" s="553">
        <v>11</v>
      </c>
      <c r="N32" s="1083">
        <v>11</v>
      </c>
      <c r="O32" s="1083" t="s">
        <v>503</v>
      </c>
      <c r="P32" s="1083" t="s">
        <v>503</v>
      </c>
      <c r="Q32" s="553" t="s">
        <v>475</v>
      </c>
      <c r="R32" s="503" t="s">
        <v>475</v>
      </c>
      <c r="S32" s="503" t="s">
        <v>475</v>
      </c>
      <c r="T32" s="503" t="s">
        <v>475</v>
      </c>
      <c r="U32" s="503" t="s">
        <v>475</v>
      </c>
      <c r="V32" s="503"/>
      <c r="W32" s="549"/>
      <c r="X32" s="549">
        <v>8</v>
      </c>
      <c r="Y32" s="549">
        <v>8</v>
      </c>
      <c r="Z32" s="549">
        <v>8</v>
      </c>
      <c r="AA32" s="549">
        <v>8</v>
      </c>
      <c r="AB32" s="549">
        <v>8</v>
      </c>
      <c r="AC32" s="549" t="s">
        <v>504</v>
      </c>
      <c r="AD32" s="549" t="s">
        <v>504</v>
      </c>
      <c r="AE32" s="1447" t="s">
        <v>475</v>
      </c>
      <c r="AF32" s="1447" t="s">
        <v>475</v>
      </c>
      <c r="AG32" s="1447" t="s">
        <v>475</v>
      </c>
      <c r="AH32" s="505">
        <v>91</v>
      </c>
      <c r="AI32" s="506">
        <v>37</v>
      </c>
    </row>
    <row r="33" spans="1:35" ht="21.95" customHeight="1" x14ac:dyDescent="0.2">
      <c r="A33" s="551">
        <v>6</v>
      </c>
      <c r="B33" s="552" t="s">
        <v>506</v>
      </c>
      <c r="C33" s="553" t="s">
        <v>482</v>
      </c>
      <c r="D33" s="553" t="s">
        <v>482</v>
      </c>
      <c r="E33" s="553" t="s">
        <v>482</v>
      </c>
      <c r="F33" s="553" t="s">
        <v>482</v>
      </c>
      <c r="G33" s="553" t="s">
        <v>482</v>
      </c>
      <c r="H33" s="553"/>
      <c r="I33" s="553"/>
      <c r="J33" s="553">
        <v>9</v>
      </c>
      <c r="K33" s="553">
        <v>9</v>
      </c>
      <c r="L33" s="553">
        <v>9</v>
      </c>
      <c r="M33" s="553">
        <v>9</v>
      </c>
      <c r="N33" s="1116">
        <v>9</v>
      </c>
      <c r="O33" s="1116" t="s">
        <v>511</v>
      </c>
      <c r="P33" s="553" t="s">
        <v>507</v>
      </c>
      <c r="Q33" s="1064" t="s">
        <v>475</v>
      </c>
      <c r="R33" s="1064" t="s">
        <v>475</v>
      </c>
      <c r="S33" s="1064" t="s">
        <v>475</v>
      </c>
      <c r="T33" s="1064" t="s">
        <v>475</v>
      </c>
      <c r="U33" s="1064" t="s">
        <v>475</v>
      </c>
      <c r="V33" s="1064"/>
      <c r="W33" s="1064"/>
      <c r="X33" s="1064">
        <v>6</v>
      </c>
      <c r="Y33" s="1064">
        <v>6</v>
      </c>
      <c r="Z33" s="1064">
        <v>6</v>
      </c>
      <c r="AA33" s="1064">
        <v>6</v>
      </c>
      <c r="AB33" s="1064">
        <v>6</v>
      </c>
      <c r="AC33" s="1064" t="s">
        <v>508</v>
      </c>
      <c r="AD33" s="1064" t="s">
        <v>504</v>
      </c>
      <c r="AE33" s="1064" t="s">
        <v>475</v>
      </c>
      <c r="AF33" s="1064" t="s">
        <v>475</v>
      </c>
      <c r="AG33" s="1065" t="s">
        <v>475</v>
      </c>
      <c r="AH33" s="505">
        <v>129</v>
      </c>
      <c r="AI33" s="506">
        <v>37</v>
      </c>
    </row>
    <row r="34" spans="1:35" ht="21.95" customHeight="1" x14ac:dyDescent="0.2">
      <c r="A34" s="555">
        <v>11</v>
      </c>
      <c r="B34" s="556" t="s">
        <v>509</v>
      </c>
      <c r="C34" s="1074">
        <v>5</v>
      </c>
      <c r="D34" s="1074">
        <v>5</v>
      </c>
      <c r="E34" s="1074">
        <v>5</v>
      </c>
      <c r="F34" s="1074">
        <v>5</v>
      </c>
      <c r="G34" s="1074">
        <v>5</v>
      </c>
      <c r="H34" s="1074"/>
      <c r="I34" s="1074"/>
      <c r="J34" s="1074">
        <v>10</v>
      </c>
      <c r="K34" s="1074">
        <v>10</v>
      </c>
      <c r="L34" s="1074">
        <v>10</v>
      </c>
      <c r="M34" s="1074">
        <v>10</v>
      </c>
      <c r="N34" s="1074">
        <v>10</v>
      </c>
      <c r="O34" s="1074" t="s">
        <v>507</v>
      </c>
      <c r="P34" s="1074" t="s">
        <v>507</v>
      </c>
      <c r="Q34" s="567" t="s">
        <v>475</v>
      </c>
      <c r="R34" s="567" t="s">
        <v>475</v>
      </c>
      <c r="S34" s="567" t="s">
        <v>475</v>
      </c>
      <c r="T34" s="567" t="s">
        <v>475</v>
      </c>
      <c r="U34" s="567" t="s">
        <v>475</v>
      </c>
      <c r="V34" s="1449" t="s">
        <v>505</v>
      </c>
      <c r="W34" s="1102" t="s">
        <v>505</v>
      </c>
      <c r="X34" s="514">
        <v>7</v>
      </c>
      <c r="Y34" s="525">
        <v>7</v>
      </c>
      <c r="Z34" s="557">
        <v>7</v>
      </c>
      <c r="AA34" s="1479">
        <v>7</v>
      </c>
      <c r="AB34" s="1479">
        <v>7</v>
      </c>
      <c r="AC34" s="1479"/>
      <c r="AD34" s="1479"/>
      <c r="AE34" s="1479" t="s">
        <v>552</v>
      </c>
      <c r="AF34" s="1479" t="s">
        <v>552</v>
      </c>
      <c r="AG34" s="1479" t="s">
        <v>552</v>
      </c>
      <c r="AH34" s="505">
        <v>7</v>
      </c>
      <c r="AI34" s="506">
        <v>37</v>
      </c>
    </row>
    <row r="35" spans="1:35" ht="21.95" customHeight="1" x14ac:dyDescent="0.2">
      <c r="A35" s="548">
        <v>2</v>
      </c>
      <c r="B35" s="45" t="s">
        <v>510</v>
      </c>
      <c r="C35" s="549">
        <v>11</v>
      </c>
      <c r="D35" s="549">
        <v>11</v>
      </c>
      <c r="E35" s="549">
        <v>11</v>
      </c>
      <c r="F35" s="549">
        <v>11</v>
      </c>
      <c r="G35" s="549">
        <v>11</v>
      </c>
      <c r="H35" s="549" t="s">
        <v>503</v>
      </c>
      <c r="I35" s="549" t="s">
        <v>503</v>
      </c>
      <c r="J35" s="549" t="s">
        <v>475</v>
      </c>
      <c r="K35" s="549" t="s">
        <v>475</v>
      </c>
      <c r="L35" s="1447">
        <v>7</v>
      </c>
      <c r="M35" s="549" t="s">
        <v>475</v>
      </c>
      <c r="N35" s="549" t="s">
        <v>475</v>
      </c>
      <c r="O35" s="549"/>
      <c r="P35" s="549"/>
      <c r="Q35" s="1071">
        <v>8</v>
      </c>
      <c r="R35" s="1071">
        <v>8</v>
      </c>
      <c r="S35" s="1071">
        <v>8</v>
      </c>
      <c r="T35" s="1071">
        <v>8</v>
      </c>
      <c r="U35" s="1071">
        <v>8</v>
      </c>
      <c r="V35" s="1071" t="s">
        <v>504</v>
      </c>
      <c r="W35" s="1071" t="s">
        <v>504</v>
      </c>
      <c r="X35" s="549" t="s">
        <v>475</v>
      </c>
      <c r="Y35" s="549" t="s">
        <v>475</v>
      </c>
      <c r="Z35" s="549" t="s">
        <v>475</v>
      </c>
      <c r="AA35" s="549" t="s">
        <v>475</v>
      </c>
      <c r="AB35" s="549" t="s">
        <v>475</v>
      </c>
      <c r="AC35" s="549"/>
      <c r="AD35" s="559"/>
      <c r="AE35" s="550" t="s">
        <v>482</v>
      </c>
      <c r="AF35" s="550" t="s">
        <v>482</v>
      </c>
      <c r="AG35" s="550" t="s">
        <v>482</v>
      </c>
      <c r="AH35" s="696">
        <v>8.5</v>
      </c>
      <c r="AI35" s="506">
        <v>37</v>
      </c>
    </row>
    <row r="36" spans="1:35" ht="21.95" customHeight="1" x14ac:dyDescent="0.2">
      <c r="A36" s="551">
        <v>7</v>
      </c>
      <c r="B36" s="152" t="s">
        <v>512</v>
      </c>
      <c r="C36" s="553">
        <v>9</v>
      </c>
      <c r="D36" s="553">
        <v>9</v>
      </c>
      <c r="E36" s="553">
        <v>9</v>
      </c>
      <c r="F36" s="553">
        <v>9</v>
      </c>
      <c r="G36" s="553">
        <v>9</v>
      </c>
      <c r="H36" s="553" t="s">
        <v>511</v>
      </c>
      <c r="I36" s="553" t="s">
        <v>507</v>
      </c>
      <c r="J36" s="553" t="s">
        <v>475</v>
      </c>
      <c r="K36" s="553" t="s">
        <v>475</v>
      </c>
      <c r="L36" s="553" t="s">
        <v>475</v>
      </c>
      <c r="M36" s="553" t="s">
        <v>475</v>
      </c>
      <c r="N36" s="553" t="s">
        <v>475</v>
      </c>
      <c r="O36" s="553"/>
      <c r="P36" s="553"/>
      <c r="Q36" s="553">
        <v>6</v>
      </c>
      <c r="R36" s="553">
        <v>6</v>
      </c>
      <c r="S36" s="553">
        <v>6</v>
      </c>
      <c r="T36" s="553">
        <v>6</v>
      </c>
      <c r="U36" s="553">
        <v>6</v>
      </c>
      <c r="V36" s="553" t="s">
        <v>508</v>
      </c>
      <c r="W36" s="553" t="s">
        <v>504</v>
      </c>
      <c r="X36" s="553" t="s">
        <v>475</v>
      </c>
      <c r="Y36" s="553" t="s">
        <v>475</v>
      </c>
      <c r="Z36" s="553" t="s">
        <v>475</v>
      </c>
      <c r="AA36" s="553" t="s">
        <v>475</v>
      </c>
      <c r="AB36" s="553" t="s">
        <v>475</v>
      </c>
      <c r="AC36" s="553"/>
      <c r="AD36" s="553"/>
      <c r="AE36" s="1082" t="s">
        <v>513</v>
      </c>
      <c r="AF36" s="553" t="s">
        <v>513</v>
      </c>
      <c r="AG36" s="554" t="s">
        <v>513</v>
      </c>
      <c r="AH36" s="505">
        <v>185</v>
      </c>
      <c r="AI36" s="506">
        <v>37</v>
      </c>
    </row>
    <row r="37" spans="1:35" ht="21.95" customHeight="1" x14ac:dyDescent="0.2">
      <c r="A37" s="555">
        <v>12</v>
      </c>
      <c r="B37" s="560" t="s">
        <v>514</v>
      </c>
      <c r="C37" s="1061">
        <v>10</v>
      </c>
      <c r="D37" s="1061">
        <v>10</v>
      </c>
      <c r="E37" s="1061">
        <v>10</v>
      </c>
      <c r="F37" s="1061">
        <v>10</v>
      </c>
      <c r="G37" s="1061">
        <v>10</v>
      </c>
      <c r="H37" s="1061" t="s">
        <v>507</v>
      </c>
      <c r="I37" s="1061" t="s">
        <v>507</v>
      </c>
      <c r="J37" s="1061" t="s">
        <v>475</v>
      </c>
      <c r="K37" s="1061" t="s">
        <v>475</v>
      </c>
      <c r="L37" s="1061" t="s">
        <v>475</v>
      </c>
      <c r="M37" s="1061" t="s">
        <v>475</v>
      </c>
      <c r="N37" s="1061" t="s">
        <v>475</v>
      </c>
      <c r="O37" s="1061" t="s">
        <v>505</v>
      </c>
      <c r="P37" s="1061" t="s">
        <v>505</v>
      </c>
      <c r="Q37" s="557">
        <v>7</v>
      </c>
      <c r="R37" s="557">
        <v>7</v>
      </c>
      <c r="S37" s="557">
        <v>7</v>
      </c>
      <c r="T37" s="557">
        <v>7</v>
      </c>
      <c r="U37" s="557">
        <v>7</v>
      </c>
      <c r="V37" s="557"/>
      <c r="W37" s="557"/>
      <c r="X37" s="557">
        <v>4</v>
      </c>
      <c r="Y37" s="557">
        <v>4</v>
      </c>
      <c r="Z37" s="557">
        <v>4</v>
      </c>
      <c r="AA37" s="557">
        <v>4</v>
      </c>
      <c r="AB37" s="557">
        <v>4</v>
      </c>
      <c r="AC37" s="557"/>
      <c r="AD37" s="557"/>
      <c r="AE37" s="557">
        <v>3</v>
      </c>
      <c r="AF37" s="1102">
        <v>3</v>
      </c>
      <c r="AG37" s="1438">
        <v>3</v>
      </c>
      <c r="AH37" s="696">
        <v>59</v>
      </c>
      <c r="AI37" s="506">
        <v>37</v>
      </c>
    </row>
    <row r="38" spans="1:35" ht="21.95" customHeight="1" x14ac:dyDescent="0.2">
      <c r="A38" s="561">
        <v>3</v>
      </c>
      <c r="B38" s="562" t="s">
        <v>515</v>
      </c>
      <c r="C38" s="1095" t="s">
        <v>475</v>
      </c>
      <c r="D38" s="1095" t="s">
        <v>475</v>
      </c>
      <c r="E38" s="1095" t="s">
        <v>475</v>
      </c>
      <c r="F38" s="1095" t="s">
        <v>475</v>
      </c>
      <c r="G38" s="1095" t="s">
        <v>475</v>
      </c>
      <c r="H38" s="1097"/>
      <c r="I38" s="1097"/>
      <c r="J38" s="1097">
        <v>8</v>
      </c>
      <c r="K38" s="1097">
        <v>8</v>
      </c>
      <c r="L38" s="1097">
        <v>8</v>
      </c>
      <c r="M38" s="1097">
        <v>8</v>
      </c>
      <c r="N38" s="1097">
        <v>8</v>
      </c>
      <c r="O38" s="1097" t="s">
        <v>504</v>
      </c>
      <c r="P38" s="1097" t="s">
        <v>504</v>
      </c>
      <c r="Q38" s="1097" t="s">
        <v>475</v>
      </c>
      <c r="R38" s="1471" t="s">
        <v>475</v>
      </c>
      <c r="S38" s="1471" t="s">
        <v>475</v>
      </c>
      <c r="T38" s="1471" t="s">
        <v>475</v>
      </c>
      <c r="U38" s="1471" t="s">
        <v>475</v>
      </c>
      <c r="V38" s="1471"/>
      <c r="W38" s="1066"/>
      <c r="X38" s="1066">
        <v>1</v>
      </c>
      <c r="Y38" s="1066">
        <v>1</v>
      </c>
      <c r="Z38" s="1097">
        <v>1</v>
      </c>
      <c r="AA38" s="1097">
        <v>1</v>
      </c>
      <c r="AB38" s="1097">
        <v>1</v>
      </c>
      <c r="AC38" s="1097"/>
      <c r="AD38" s="1097"/>
      <c r="AE38" s="1097">
        <v>9</v>
      </c>
      <c r="AF38" s="1097">
        <v>9</v>
      </c>
      <c r="AG38" s="1105">
        <v>9</v>
      </c>
      <c r="AH38" s="505">
        <v>131</v>
      </c>
      <c r="AI38" s="506">
        <v>37</v>
      </c>
    </row>
    <row r="39" spans="1:35" ht="21.95" customHeight="1" x14ac:dyDescent="0.2">
      <c r="A39" s="551">
        <v>8</v>
      </c>
      <c r="B39" s="318" t="s">
        <v>516</v>
      </c>
      <c r="C39" s="553" t="s">
        <v>475</v>
      </c>
      <c r="D39" s="553" t="s">
        <v>475</v>
      </c>
      <c r="E39" s="553" t="s">
        <v>475</v>
      </c>
      <c r="F39" s="553" t="s">
        <v>475</v>
      </c>
      <c r="G39" s="525" t="s">
        <v>475</v>
      </c>
      <c r="H39" s="553"/>
      <c r="I39" s="553"/>
      <c r="J39" s="553">
        <v>6</v>
      </c>
      <c r="K39" s="553">
        <v>6</v>
      </c>
      <c r="L39" s="553">
        <v>6</v>
      </c>
      <c r="M39" s="553">
        <v>6</v>
      </c>
      <c r="N39" s="553">
        <v>6</v>
      </c>
      <c r="O39" s="553" t="s">
        <v>508</v>
      </c>
      <c r="P39" s="553" t="s">
        <v>504</v>
      </c>
      <c r="Q39" s="1063" t="s">
        <v>475</v>
      </c>
      <c r="R39" s="1064" t="s">
        <v>475</v>
      </c>
      <c r="S39" s="1064" t="s">
        <v>475</v>
      </c>
      <c r="T39" s="1064" t="s">
        <v>475</v>
      </c>
      <c r="U39" s="1064" t="s">
        <v>475</v>
      </c>
      <c r="V39" s="1064"/>
      <c r="W39" s="1064"/>
      <c r="X39" s="1064">
        <v>5</v>
      </c>
      <c r="Y39" s="1064">
        <v>5</v>
      </c>
      <c r="Z39" s="1064">
        <v>5</v>
      </c>
      <c r="AA39" s="1064">
        <v>5</v>
      </c>
      <c r="AB39" s="1064">
        <v>5</v>
      </c>
      <c r="AC39" s="1064"/>
      <c r="AD39" s="1064"/>
      <c r="AE39" s="1064">
        <v>10</v>
      </c>
      <c r="AF39" s="1064">
        <v>10</v>
      </c>
      <c r="AG39" s="1065">
        <v>10</v>
      </c>
      <c r="AH39" s="505">
        <v>83</v>
      </c>
      <c r="AI39" s="506">
        <v>37</v>
      </c>
    </row>
    <row r="40" spans="1:35" ht="21.95" customHeight="1" x14ac:dyDescent="0.2">
      <c r="A40" s="555">
        <v>13</v>
      </c>
      <c r="B40" s="52" t="s">
        <v>517</v>
      </c>
      <c r="C40" s="1061" t="s">
        <v>475</v>
      </c>
      <c r="D40" s="1061" t="s">
        <v>475</v>
      </c>
      <c r="E40" s="1061" t="s">
        <v>475</v>
      </c>
      <c r="F40" s="1061" t="s">
        <v>475</v>
      </c>
      <c r="G40" s="1061" t="s">
        <v>475</v>
      </c>
      <c r="H40" s="1061" t="s">
        <v>505</v>
      </c>
      <c r="I40" s="1061" t="s">
        <v>505</v>
      </c>
      <c r="J40" s="1061">
        <v>7</v>
      </c>
      <c r="K40" s="1061">
        <v>7</v>
      </c>
      <c r="L40" s="1061">
        <v>7</v>
      </c>
      <c r="M40" s="1061">
        <v>7</v>
      </c>
      <c r="N40" s="1061">
        <v>7</v>
      </c>
      <c r="O40" s="1061"/>
      <c r="P40" s="1061"/>
      <c r="Q40" s="557">
        <v>4</v>
      </c>
      <c r="R40" s="567">
        <v>4</v>
      </c>
      <c r="S40" s="567">
        <v>4</v>
      </c>
      <c r="T40" s="567">
        <v>4</v>
      </c>
      <c r="U40" s="567">
        <v>4</v>
      </c>
      <c r="V40" s="567"/>
      <c r="W40" s="557"/>
      <c r="X40" s="557">
        <v>3</v>
      </c>
      <c r="Y40" s="557">
        <v>3</v>
      </c>
      <c r="Z40" s="557">
        <v>3</v>
      </c>
      <c r="AA40" s="557">
        <v>3</v>
      </c>
      <c r="AB40" s="557">
        <v>3</v>
      </c>
      <c r="AC40" s="557"/>
      <c r="AD40" s="557"/>
      <c r="AE40" s="557">
        <v>11</v>
      </c>
      <c r="AF40" s="557">
        <v>11</v>
      </c>
      <c r="AG40" s="558">
        <v>11</v>
      </c>
      <c r="AH40" s="505">
        <v>57</v>
      </c>
      <c r="AI40" s="506">
        <v>37</v>
      </c>
    </row>
    <row r="41" spans="1:35" ht="21.95" customHeight="1" x14ac:dyDescent="0.2">
      <c r="A41" s="561">
        <v>4</v>
      </c>
      <c r="B41" s="318" t="s">
        <v>518</v>
      </c>
      <c r="C41" s="1066">
        <v>8</v>
      </c>
      <c r="D41" s="1066">
        <v>8</v>
      </c>
      <c r="E41" s="1066">
        <v>8</v>
      </c>
      <c r="F41" s="1066">
        <v>8</v>
      </c>
      <c r="G41" s="1066">
        <v>8</v>
      </c>
      <c r="H41" s="1066" t="s">
        <v>504</v>
      </c>
      <c r="I41" s="1066" t="s">
        <v>504</v>
      </c>
      <c r="J41" s="1066" t="s">
        <v>475</v>
      </c>
      <c r="K41" s="1066" t="s">
        <v>475</v>
      </c>
      <c r="L41" s="1066" t="s">
        <v>475</v>
      </c>
      <c r="M41" s="1066" t="s">
        <v>475</v>
      </c>
      <c r="N41" s="1066" t="s">
        <v>475</v>
      </c>
      <c r="O41" s="1066"/>
      <c r="P41" s="1066"/>
      <c r="Q41" s="514">
        <v>1</v>
      </c>
      <c r="R41" s="514">
        <v>1</v>
      </c>
      <c r="S41" s="514">
        <v>1</v>
      </c>
      <c r="T41" s="514">
        <v>1</v>
      </c>
      <c r="U41" s="514">
        <v>1</v>
      </c>
      <c r="V41" s="514"/>
      <c r="W41" s="514"/>
      <c r="X41" s="514" t="s">
        <v>482</v>
      </c>
      <c r="Y41" s="514" t="s">
        <v>482</v>
      </c>
      <c r="Z41" s="514" t="s">
        <v>482</v>
      </c>
      <c r="AA41" s="514" t="s">
        <v>482</v>
      </c>
      <c r="AB41" s="514" t="s">
        <v>482</v>
      </c>
      <c r="AC41" s="514" t="s">
        <v>511</v>
      </c>
      <c r="AD41" s="514" t="s">
        <v>507</v>
      </c>
      <c r="AE41" s="514" t="s">
        <v>475</v>
      </c>
      <c r="AF41" s="514" t="s">
        <v>475</v>
      </c>
      <c r="AG41" s="515" t="s">
        <v>475</v>
      </c>
      <c r="AH41" s="505">
        <v>141</v>
      </c>
      <c r="AI41" s="506">
        <v>37</v>
      </c>
    </row>
    <row r="42" spans="1:35" ht="21.95" customHeight="1" x14ac:dyDescent="0.2">
      <c r="A42" s="551">
        <v>9</v>
      </c>
      <c r="B42" s="318" t="s">
        <v>519</v>
      </c>
      <c r="C42" s="553">
        <v>6</v>
      </c>
      <c r="D42" s="553">
        <v>6</v>
      </c>
      <c r="E42" s="553">
        <v>6</v>
      </c>
      <c r="F42" s="553">
        <v>6</v>
      </c>
      <c r="G42" s="553">
        <v>6</v>
      </c>
      <c r="H42" s="553" t="s">
        <v>508</v>
      </c>
      <c r="I42" s="553" t="s">
        <v>504</v>
      </c>
      <c r="J42" s="553" t="s">
        <v>475</v>
      </c>
      <c r="K42" s="553" t="s">
        <v>475</v>
      </c>
      <c r="L42" s="553" t="s">
        <v>475</v>
      </c>
      <c r="M42" s="553" t="s">
        <v>475</v>
      </c>
      <c r="N42" s="553" t="s">
        <v>475</v>
      </c>
      <c r="O42" s="553"/>
      <c r="P42" s="553"/>
      <c r="Q42" s="553">
        <v>5</v>
      </c>
      <c r="R42" s="553">
        <v>5</v>
      </c>
      <c r="S42" s="553">
        <v>5</v>
      </c>
      <c r="T42" s="553">
        <v>5</v>
      </c>
      <c r="U42" s="553">
        <v>5</v>
      </c>
      <c r="V42" s="553"/>
      <c r="W42" s="553"/>
      <c r="X42" s="553">
        <v>10</v>
      </c>
      <c r="Y42" s="553">
        <v>10</v>
      </c>
      <c r="Z42" s="553">
        <v>10</v>
      </c>
      <c r="AA42" s="553">
        <v>10</v>
      </c>
      <c r="AB42" s="553">
        <v>10</v>
      </c>
      <c r="AC42" s="553" t="s">
        <v>507</v>
      </c>
      <c r="AD42" s="553" t="s">
        <v>507</v>
      </c>
      <c r="AE42" s="553" t="s">
        <v>475</v>
      </c>
      <c r="AF42" s="553" t="s">
        <v>475</v>
      </c>
      <c r="AG42" s="565" t="s">
        <v>475</v>
      </c>
      <c r="AH42" s="505">
        <v>15</v>
      </c>
      <c r="AI42" s="506">
        <v>37</v>
      </c>
    </row>
    <row r="43" spans="1:35" ht="21.95" customHeight="1" x14ac:dyDescent="0.2">
      <c r="A43" s="555">
        <v>14</v>
      </c>
      <c r="B43" s="560" t="s">
        <v>520</v>
      </c>
      <c r="C43" s="557">
        <v>7</v>
      </c>
      <c r="D43" s="557">
        <v>7</v>
      </c>
      <c r="E43" s="557">
        <v>7</v>
      </c>
      <c r="F43" s="557">
        <v>7</v>
      </c>
      <c r="G43" s="557">
        <v>7</v>
      </c>
      <c r="H43" s="557"/>
      <c r="I43" s="557"/>
      <c r="J43" s="557">
        <v>4</v>
      </c>
      <c r="K43" s="557">
        <v>4</v>
      </c>
      <c r="L43" s="557">
        <v>4</v>
      </c>
      <c r="M43" s="557">
        <v>4</v>
      </c>
      <c r="N43" s="557">
        <v>4</v>
      </c>
      <c r="O43" s="557"/>
      <c r="P43" s="557"/>
      <c r="Q43" s="557">
        <v>3</v>
      </c>
      <c r="R43" s="557">
        <v>3</v>
      </c>
      <c r="S43" s="557">
        <v>3</v>
      </c>
      <c r="T43" s="557">
        <v>3</v>
      </c>
      <c r="U43" s="557">
        <v>3</v>
      </c>
      <c r="V43" s="557"/>
      <c r="W43" s="557"/>
      <c r="X43" s="557">
        <v>11</v>
      </c>
      <c r="Y43" s="557">
        <v>11</v>
      </c>
      <c r="Z43" s="557">
        <v>11</v>
      </c>
      <c r="AA43" s="557">
        <v>11</v>
      </c>
      <c r="AB43" s="557">
        <v>11</v>
      </c>
      <c r="AC43" s="557" t="s">
        <v>503</v>
      </c>
      <c r="AD43" s="557" t="s">
        <v>503</v>
      </c>
      <c r="AE43" s="557" t="s">
        <v>475</v>
      </c>
      <c r="AF43" s="557" t="s">
        <v>475</v>
      </c>
      <c r="AG43" s="557" t="s">
        <v>475</v>
      </c>
      <c r="AH43" s="505">
        <v>39</v>
      </c>
      <c r="AI43" s="506">
        <v>37</v>
      </c>
    </row>
    <row r="44" spans="1:35" ht="21.95" customHeight="1" x14ac:dyDescent="0.2">
      <c r="A44" s="548">
        <v>5</v>
      </c>
      <c r="B44" s="552" t="s">
        <v>521</v>
      </c>
      <c r="C44" s="549" t="s">
        <v>475</v>
      </c>
      <c r="D44" s="549" t="s">
        <v>475</v>
      </c>
      <c r="E44" s="549" t="s">
        <v>475</v>
      </c>
      <c r="F44" s="549" t="s">
        <v>475</v>
      </c>
      <c r="G44" s="549" t="s">
        <v>475</v>
      </c>
      <c r="H44" s="549"/>
      <c r="I44" s="549"/>
      <c r="J44" s="549">
        <v>1</v>
      </c>
      <c r="K44" s="549">
        <v>1</v>
      </c>
      <c r="L44" s="549">
        <v>1</v>
      </c>
      <c r="M44" s="549">
        <v>1</v>
      </c>
      <c r="N44" s="549">
        <v>1</v>
      </c>
      <c r="O44" s="549"/>
      <c r="P44" s="549"/>
      <c r="Q44" s="549">
        <v>9</v>
      </c>
      <c r="R44" s="503">
        <v>9</v>
      </c>
      <c r="S44" s="503">
        <v>9</v>
      </c>
      <c r="T44" s="503">
        <v>9</v>
      </c>
      <c r="U44" s="503">
        <v>9</v>
      </c>
      <c r="V44" s="503" t="s">
        <v>511</v>
      </c>
      <c r="W44" s="549" t="s">
        <v>507</v>
      </c>
      <c r="X44" s="549" t="s">
        <v>475</v>
      </c>
      <c r="Y44" s="549" t="s">
        <v>475</v>
      </c>
      <c r="Z44" s="549" t="s">
        <v>475</v>
      </c>
      <c r="AA44" s="549" t="s">
        <v>475</v>
      </c>
      <c r="AB44" s="549" t="s">
        <v>475</v>
      </c>
      <c r="AC44" s="549"/>
      <c r="AD44" s="549"/>
      <c r="AE44" s="569">
        <v>6</v>
      </c>
      <c r="AF44" s="549">
        <v>6</v>
      </c>
      <c r="AG44" s="569">
        <v>6</v>
      </c>
      <c r="AH44" s="505">
        <v>93</v>
      </c>
      <c r="AI44" s="506">
        <v>37</v>
      </c>
    </row>
    <row r="45" spans="1:35" ht="21.95" customHeight="1" x14ac:dyDescent="0.2">
      <c r="A45" s="551">
        <v>10</v>
      </c>
      <c r="B45" s="318" t="s">
        <v>523</v>
      </c>
      <c r="C45" s="553" t="s">
        <v>475</v>
      </c>
      <c r="D45" s="553" t="s">
        <v>475</v>
      </c>
      <c r="E45" s="553" t="s">
        <v>475</v>
      </c>
      <c r="F45" s="553" t="s">
        <v>475</v>
      </c>
      <c r="G45" s="553" t="s">
        <v>475</v>
      </c>
      <c r="H45" s="553"/>
      <c r="I45" s="553"/>
      <c r="J45" s="1082" t="s">
        <v>513</v>
      </c>
      <c r="K45" s="1565" t="s">
        <v>513</v>
      </c>
      <c r="L45" s="1083">
        <v>5</v>
      </c>
      <c r="M45" s="1437" t="s">
        <v>513</v>
      </c>
      <c r="N45" s="1437" t="s">
        <v>513</v>
      </c>
      <c r="O45" s="553"/>
      <c r="P45" s="553"/>
      <c r="Q45" s="1064">
        <v>10</v>
      </c>
      <c r="R45" s="1064">
        <v>10</v>
      </c>
      <c r="S45" s="1064">
        <v>10</v>
      </c>
      <c r="T45" s="1064">
        <v>10</v>
      </c>
      <c r="U45" s="1064">
        <v>10</v>
      </c>
      <c r="V45" s="1064" t="s">
        <v>507</v>
      </c>
      <c r="W45" s="1064" t="s">
        <v>507</v>
      </c>
      <c r="X45" s="1064" t="s">
        <v>475</v>
      </c>
      <c r="Y45" s="1064" t="s">
        <v>475</v>
      </c>
      <c r="Z45" s="1064" t="s">
        <v>475</v>
      </c>
      <c r="AA45" s="1064" t="s">
        <v>475</v>
      </c>
      <c r="AB45" s="1064" t="s">
        <v>475</v>
      </c>
      <c r="AC45" s="1064" t="s">
        <v>505</v>
      </c>
      <c r="AD45" s="1064" t="s">
        <v>505</v>
      </c>
      <c r="AE45" s="1063">
        <v>7</v>
      </c>
      <c r="AF45" s="1064">
        <v>7</v>
      </c>
      <c r="AG45" s="1063">
        <v>7</v>
      </c>
      <c r="AH45" s="505">
        <v>57</v>
      </c>
      <c r="AI45" s="506">
        <v>37</v>
      </c>
    </row>
    <row r="46" spans="1:35" ht="21.95" customHeight="1" x14ac:dyDescent="0.2">
      <c r="A46" s="555">
        <v>15</v>
      </c>
      <c r="B46" s="52" t="s">
        <v>524</v>
      </c>
      <c r="C46" s="1061">
        <v>4</v>
      </c>
      <c r="D46" s="1061">
        <v>4</v>
      </c>
      <c r="E46" s="1061">
        <v>4</v>
      </c>
      <c r="F46" s="1061">
        <v>4</v>
      </c>
      <c r="G46" s="1061">
        <v>4</v>
      </c>
      <c r="H46" s="1061"/>
      <c r="I46" s="1061"/>
      <c r="J46" s="1061">
        <v>3</v>
      </c>
      <c r="K46" s="1061">
        <v>3</v>
      </c>
      <c r="L46" s="1061">
        <v>3</v>
      </c>
      <c r="M46" s="1061">
        <v>3</v>
      </c>
      <c r="N46" s="1061">
        <v>3</v>
      </c>
      <c r="O46" s="1061"/>
      <c r="P46" s="1061"/>
      <c r="Q46" s="557">
        <v>11</v>
      </c>
      <c r="R46" s="557">
        <v>11</v>
      </c>
      <c r="S46" s="557">
        <v>11</v>
      </c>
      <c r="T46" s="557">
        <v>11</v>
      </c>
      <c r="U46" s="557">
        <v>11</v>
      </c>
      <c r="V46" s="557" t="s">
        <v>503</v>
      </c>
      <c r="W46" s="557" t="s">
        <v>503</v>
      </c>
      <c r="X46" s="557" t="s">
        <v>475</v>
      </c>
      <c r="Y46" s="557" t="s">
        <v>475</v>
      </c>
      <c r="Z46" s="557" t="s">
        <v>475</v>
      </c>
      <c r="AA46" s="557" t="s">
        <v>475</v>
      </c>
      <c r="AB46" s="557" t="s">
        <v>475</v>
      </c>
      <c r="AC46" s="557"/>
      <c r="AD46" s="557"/>
      <c r="AE46" s="568">
        <v>8</v>
      </c>
      <c r="AF46" s="557">
        <v>8</v>
      </c>
      <c r="AG46" s="568">
        <v>8</v>
      </c>
      <c r="AH46" s="651">
        <v>65</v>
      </c>
      <c r="AI46" s="523">
        <v>37</v>
      </c>
    </row>
    <row r="47" spans="1:35" ht="21.95" customHeight="1" x14ac:dyDescent="0.2">
      <c r="A47" s="524"/>
      <c r="C47" s="546"/>
      <c r="D47" s="546"/>
      <c r="E47" s="546"/>
      <c r="F47" s="546"/>
      <c r="G47" s="546"/>
      <c r="H47" s="546"/>
      <c r="I47" s="546"/>
      <c r="J47" s="546"/>
      <c r="K47" s="546"/>
      <c r="L47" s="546"/>
      <c r="M47" s="546"/>
      <c r="N47" s="546"/>
      <c r="O47" s="546"/>
      <c r="P47" s="546"/>
      <c r="Q47" s="546"/>
      <c r="R47" s="546"/>
      <c r="S47" s="546"/>
      <c r="T47" s="546"/>
      <c r="U47" s="546"/>
      <c r="V47" s="546"/>
      <c r="W47" s="546"/>
      <c r="X47" s="546"/>
      <c r="Y47" s="546"/>
      <c r="Z47" s="546"/>
      <c r="AA47" s="546"/>
      <c r="AB47" s="546"/>
      <c r="AC47" s="546"/>
      <c r="AD47" s="546"/>
      <c r="AE47" s="546"/>
      <c r="AF47" s="546"/>
      <c r="AG47" s="546"/>
      <c r="AH47" s="1"/>
    </row>
    <row r="48" spans="1:35" ht="21.95" customHeight="1" x14ac:dyDescent="0.2">
      <c r="A48" s="524"/>
      <c r="E48" t="s">
        <v>28</v>
      </c>
    </row>
    <row r="49" spans="1:35" ht="21.95" customHeight="1" x14ac:dyDescent="0.2">
      <c r="A49" s="524"/>
    </row>
    <row r="50" spans="1:35" ht="21.95" customHeight="1" x14ac:dyDescent="0.2">
      <c r="A50" s="524"/>
    </row>
    <row r="51" spans="1:35" ht="21.95" customHeight="1" x14ac:dyDescent="0.2">
      <c r="A51" s="1" t="s">
        <v>526</v>
      </c>
      <c r="D51" s="360"/>
      <c r="E51" s="360"/>
      <c r="F51" s="360"/>
      <c r="G51" s="570"/>
      <c r="H51" s="360"/>
      <c r="I51" s="360"/>
      <c r="J51" s="360"/>
      <c r="K51" s="360"/>
      <c r="L51" s="360"/>
      <c r="M51" s="360"/>
      <c r="N51" s="360"/>
      <c r="O51" s="360"/>
      <c r="P51" s="360"/>
      <c r="Q51" s="360"/>
      <c r="R51" s="360"/>
      <c r="S51" s="360"/>
      <c r="T51" s="360"/>
      <c r="U51" s="360"/>
      <c r="V51" s="360"/>
      <c r="W51" s="360"/>
      <c r="X51" s="360"/>
      <c r="Y51" s="360"/>
      <c r="Z51" s="360"/>
      <c r="AA51" s="360"/>
      <c r="AB51" s="360"/>
      <c r="AC51" s="360"/>
      <c r="AD51" s="360"/>
      <c r="AE51" s="360"/>
      <c r="AF51" s="360"/>
      <c r="AG51" s="360"/>
    </row>
    <row r="52" spans="1:35" ht="21.95" customHeight="1" x14ac:dyDescent="0.2">
      <c r="A52" s="1"/>
      <c r="B52" s="571" t="s">
        <v>527</v>
      </c>
      <c r="C52" s="7"/>
      <c r="D52" s="413" t="s">
        <v>2</v>
      </c>
      <c r="E52" s="572"/>
      <c r="F52" s="7"/>
      <c r="G52" s="6" t="s">
        <v>3</v>
      </c>
      <c r="H52" s="573"/>
      <c r="I52" s="118"/>
      <c r="J52" s="6" t="s">
        <v>4</v>
      </c>
      <c r="K52" s="412"/>
      <c r="L52" s="118"/>
      <c r="M52" s="119" t="s">
        <v>5</v>
      </c>
      <c r="N52" s="412"/>
      <c r="O52" s="118"/>
      <c r="P52" s="6" t="s">
        <v>6</v>
      </c>
      <c r="Q52" s="574"/>
      <c r="R52" s="118"/>
      <c r="S52" s="6" t="s">
        <v>7</v>
      </c>
      <c r="T52" s="575"/>
      <c r="U52" s="118"/>
      <c r="V52" s="6" t="s">
        <v>8</v>
      </c>
      <c r="W52" s="574"/>
      <c r="X52" s="527" t="s">
        <v>9</v>
      </c>
      <c r="Y52" s="576"/>
      <c r="Z52" s="577"/>
      <c r="AA52" s="578"/>
      <c r="AC52" s="69"/>
      <c r="AD52" s="69"/>
      <c r="AE52" s="360"/>
      <c r="AF52" s="360"/>
      <c r="AG52" s="360"/>
    </row>
    <row r="53" spans="1:35" ht="21.95" customHeight="1" x14ac:dyDescent="0.2">
      <c r="A53" s="1"/>
      <c r="B53" s="129"/>
      <c r="C53" s="121"/>
      <c r="D53" s="156"/>
      <c r="E53" s="488"/>
      <c r="F53" s="121"/>
      <c r="G53" s="579"/>
      <c r="H53" s="156"/>
      <c r="I53" s="121"/>
      <c r="J53" s="55"/>
      <c r="K53" s="580"/>
      <c r="L53" s="121"/>
      <c r="M53" s="156"/>
      <c r="N53" s="488"/>
      <c r="O53" s="121"/>
      <c r="P53" s="156"/>
      <c r="Q53" s="488"/>
      <c r="R53" s="14"/>
      <c r="S53" s="55"/>
      <c r="T53" s="580"/>
      <c r="U53" s="14"/>
      <c r="V53" s="55"/>
      <c r="W53" s="580"/>
      <c r="X53" s="154"/>
      <c r="Y53" s="156"/>
      <c r="Z53" s="700"/>
      <c r="AA53" s="489"/>
      <c r="AE53" s="360"/>
      <c r="AF53" s="360"/>
      <c r="AG53" s="360"/>
    </row>
    <row r="54" spans="1:35" ht="21.95" customHeight="1" x14ac:dyDescent="0.2">
      <c r="A54" s="1"/>
      <c r="B54" s="47" t="s">
        <v>106</v>
      </c>
      <c r="C54" s="121" t="s">
        <v>295</v>
      </c>
      <c r="D54" s="156"/>
      <c r="E54" s="488"/>
      <c r="F54" s="121" t="s">
        <v>295</v>
      </c>
      <c r="G54" s="579"/>
      <c r="H54" s="156"/>
      <c r="I54" s="121" t="s">
        <v>295</v>
      </c>
      <c r="J54" s="55"/>
      <c r="K54" s="580"/>
      <c r="L54" s="121" t="s">
        <v>295</v>
      </c>
      <c r="M54" s="156"/>
      <c r="N54" s="488"/>
      <c r="O54" s="121" t="s">
        <v>67</v>
      </c>
      <c r="P54" s="156"/>
      <c r="Q54" s="488"/>
      <c r="R54" s="581"/>
      <c r="S54" s="53"/>
      <c r="T54" s="541"/>
      <c r="U54" s="581"/>
      <c r="V54" s="53"/>
      <c r="W54" s="541"/>
      <c r="X54" s="581"/>
      <c r="Y54" s="53">
        <v>37</v>
      </c>
      <c r="Z54" s="582"/>
      <c r="AA54" s="544"/>
      <c r="AE54" s="360"/>
      <c r="AF54" s="360"/>
      <c r="AG54" s="360"/>
    </row>
    <row r="55" spans="1:35" ht="21.95" customHeight="1" x14ac:dyDescent="0.2">
      <c r="A55" s="1"/>
      <c r="B55" s="311"/>
      <c r="C55" s="353"/>
      <c r="F55" s="353"/>
      <c r="G55" s="570"/>
      <c r="I55" s="353"/>
      <c r="L55" s="353"/>
      <c r="O55" s="353"/>
      <c r="R55" s="353"/>
      <c r="Z55" s="584"/>
      <c r="AE55" s="360"/>
      <c r="AF55" s="360"/>
      <c r="AG55" s="360"/>
    </row>
    <row r="56" spans="1:35" ht="21.95" customHeight="1" x14ac:dyDescent="0.2">
      <c r="A56" s="585"/>
      <c r="B56" s="296" t="s">
        <v>469</v>
      </c>
      <c r="C56" s="177">
        <v>1</v>
      </c>
      <c r="D56" s="177">
        <v>2</v>
      </c>
      <c r="E56" s="177">
        <v>3</v>
      </c>
      <c r="F56" s="177">
        <v>4</v>
      </c>
      <c r="G56" s="177">
        <v>5</v>
      </c>
      <c r="H56" s="497">
        <v>6</v>
      </c>
      <c r="I56" s="497">
        <v>7</v>
      </c>
      <c r="J56" s="177">
        <v>8</v>
      </c>
      <c r="K56" s="177">
        <v>9</v>
      </c>
      <c r="L56" s="177">
        <v>10</v>
      </c>
      <c r="M56" s="177">
        <v>11</v>
      </c>
      <c r="N56" s="177">
        <v>12</v>
      </c>
      <c r="O56" s="497">
        <v>13</v>
      </c>
      <c r="P56" s="497">
        <v>14</v>
      </c>
      <c r="Q56" s="177">
        <v>15</v>
      </c>
      <c r="R56" s="177">
        <v>16</v>
      </c>
      <c r="S56" s="177">
        <v>17</v>
      </c>
      <c r="T56" s="177">
        <v>18</v>
      </c>
      <c r="U56" s="177">
        <v>19</v>
      </c>
      <c r="V56" s="497">
        <v>20</v>
      </c>
      <c r="W56" s="497">
        <v>21</v>
      </c>
      <c r="X56" s="177">
        <v>22</v>
      </c>
      <c r="Y56" s="177">
        <v>23</v>
      </c>
      <c r="Z56" s="177">
        <v>24</v>
      </c>
      <c r="AA56" s="177">
        <v>25</v>
      </c>
      <c r="AB56" s="177">
        <v>26</v>
      </c>
      <c r="AC56" s="497">
        <v>27</v>
      </c>
      <c r="AD56" s="497">
        <v>28</v>
      </c>
      <c r="AE56" s="177">
        <v>29</v>
      </c>
      <c r="AF56" s="177">
        <v>30</v>
      </c>
      <c r="AG56" s="177">
        <v>31</v>
      </c>
      <c r="AH56" s="499" t="s">
        <v>470</v>
      </c>
      <c r="AI56" s="500" t="s">
        <v>471</v>
      </c>
    </row>
    <row r="57" spans="1:35" ht="21.95" customHeight="1" x14ac:dyDescent="0.2">
      <c r="A57" s="586">
        <v>1</v>
      </c>
      <c r="B57" s="152" t="s">
        <v>528</v>
      </c>
      <c r="C57" s="587" t="s">
        <v>529</v>
      </c>
      <c r="D57" s="587" t="s">
        <v>529</v>
      </c>
      <c r="E57" s="587" t="s">
        <v>529</v>
      </c>
      <c r="F57" s="587" t="s">
        <v>529</v>
      </c>
      <c r="G57" s="587" t="s">
        <v>529</v>
      </c>
      <c r="H57" s="587"/>
      <c r="I57" s="587"/>
      <c r="J57" s="587" t="s">
        <v>529</v>
      </c>
      <c r="K57" s="587" t="s">
        <v>529</v>
      </c>
      <c r="L57" s="587" t="s">
        <v>529</v>
      </c>
      <c r="M57" s="587" t="s">
        <v>529</v>
      </c>
      <c r="N57" s="587" t="s">
        <v>529</v>
      </c>
      <c r="O57" s="587"/>
      <c r="P57" s="587"/>
      <c r="Q57" s="587" t="s">
        <v>529</v>
      </c>
      <c r="R57" s="587" t="s">
        <v>529</v>
      </c>
      <c r="S57" s="587" t="s">
        <v>529</v>
      </c>
      <c r="T57" s="587" t="s">
        <v>529</v>
      </c>
      <c r="U57" s="587" t="s">
        <v>529</v>
      </c>
      <c r="V57" s="587"/>
      <c r="W57" s="587"/>
      <c r="X57" s="587" t="s">
        <v>529</v>
      </c>
      <c r="Y57" s="587" t="s">
        <v>529</v>
      </c>
      <c r="Z57" s="587" t="s">
        <v>529</v>
      </c>
      <c r="AA57" s="587" t="s">
        <v>529</v>
      </c>
      <c r="AB57" s="587" t="s">
        <v>529</v>
      </c>
      <c r="AC57" s="587"/>
      <c r="AD57" s="587"/>
      <c r="AE57" s="587" t="s">
        <v>529</v>
      </c>
      <c r="AF57" s="588" t="s">
        <v>529</v>
      </c>
      <c r="AG57" s="588" t="s">
        <v>529</v>
      </c>
      <c r="AH57" s="505">
        <v>74</v>
      </c>
      <c r="AI57" s="506">
        <v>37</v>
      </c>
    </row>
    <row r="58" spans="1:35" ht="21.95" customHeight="1" x14ac:dyDescent="0.2">
      <c r="A58" s="586">
        <v>2</v>
      </c>
      <c r="B58" s="552"/>
      <c r="C58" s="587"/>
      <c r="D58" s="587"/>
      <c r="E58" s="587"/>
      <c r="F58" s="587"/>
      <c r="G58" s="587"/>
      <c r="H58" s="587"/>
      <c r="I58" s="587"/>
      <c r="J58" s="587"/>
      <c r="K58" s="587"/>
      <c r="L58" s="587"/>
      <c r="M58" s="587"/>
      <c r="N58" s="587"/>
      <c r="O58" s="587"/>
      <c r="P58" s="587"/>
      <c r="Q58" s="587"/>
      <c r="R58" s="587"/>
      <c r="S58" s="587"/>
      <c r="T58" s="587"/>
      <c r="U58" s="587"/>
      <c r="V58" s="587"/>
      <c r="W58" s="587"/>
      <c r="X58" s="587"/>
      <c r="Y58" s="587"/>
      <c r="Z58" s="587"/>
      <c r="AA58" s="587"/>
      <c r="AB58" s="587"/>
      <c r="AC58" s="587"/>
      <c r="AD58" s="587"/>
      <c r="AE58" s="587"/>
      <c r="AF58" s="587"/>
      <c r="AG58" s="588"/>
      <c r="AH58" s="505"/>
      <c r="AI58" s="506"/>
    </row>
    <row r="59" spans="1:35" ht="21.95" customHeight="1" x14ac:dyDescent="0.2">
      <c r="A59" s="589"/>
      <c r="C59" s="590"/>
      <c r="D59" s="590"/>
      <c r="E59" s="590"/>
      <c r="F59" s="590"/>
      <c r="G59" s="590"/>
      <c r="H59" s="590"/>
      <c r="I59" s="590"/>
      <c r="J59" s="590"/>
      <c r="K59" s="590"/>
      <c r="L59" s="590"/>
      <c r="M59" s="590"/>
      <c r="N59" s="590"/>
      <c r="O59" s="590"/>
      <c r="P59" s="590"/>
      <c r="Q59" s="590"/>
      <c r="R59" s="590"/>
      <c r="S59" s="590"/>
      <c r="T59" s="590"/>
      <c r="U59" s="590"/>
      <c r="V59" s="590"/>
      <c r="W59" s="590"/>
      <c r="X59" s="590"/>
      <c r="Y59" s="590"/>
      <c r="Z59" s="590"/>
      <c r="AA59" s="590"/>
      <c r="AB59" s="590"/>
      <c r="AC59" s="590"/>
      <c r="AD59" s="590"/>
      <c r="AE59" s="590"/>
      <c r="AF59" s="590"/>
      <c r="AG59" s="590"/>
      <c r="AH59" s="591"/>
      <c r="AI59" s="591"/>
    </row>
    <row r="60" spans="1:35" ht="21.95" customHeight="1" x14ac:dyDescent="0.2">
      <c r="A60" s="360"/>
      <c r="B60" s="592" t="s">
        <v>262</v>
      </c>
      <c r="C60" s="7"/>
      <c r="D60" s="413" t="s">
        <v>2</v>
      </c>
      <c r="E60" s="572"/>
      <c r="F60" s="7"/>
      <c r="G60" s="6" t="s">
        <v>3</v>
      </c>
      <c r="H60" s="573"/>
      <c r="I60" s="118"/>
      <c r="J60" s="6" t="s">
        <v>4</v>
      </c>
      <c r="K60" s="412"/>
      <c r="L60" s="118"/>
      <c r="M60" s="119" t="s">
        <v>5</v>
      </c>
      <c r="N60" s="412"/>
      <c r="O60" s="118"/>
      <c r="P60" s="6" t="s">
        <v>6</v>
      </c>
      <c r="Q60" s="574"/>
      <c r="R60" s="118"/>
      <c r="S60" s="6" t="s">
        <v>7</v>
      </c>
      <c r="T60" s="575"/>
      <c r="U60" s="118"/>
      <c r="V60" s="6" t="s">
        <v>8</v>
      </c>
      <c r="W60" s="574"/>
      <c r="X60" s="348" t="s">
        <v>9</v>
      </c>
      <c r="Y60" s="593"/>
      <c r="Z60" s="593"/>
      <c r="AA60" s="594"/>
      <c r="AB60" s="27" t="s">
        <v>10</v>
      </c>
      <c r="AC60" s="576"/>
      <c r="AD60" s="576"/>
      <c r="AE60" s="595"/>
      <c r="AF60" s="595"/>
      <c r="AG60" s="596"/>
    </row>
    <row r="61" spans="1:35" ht="21.95" customHeight="1" x14ac:dyDescent="0.2">
      <c r="A61" s="360"/>
      <c r="B61" s="305" t="s">
        <v>263</v>
      </c>
      <c r="C61" s="597" t="s">
        <v>264</v>
      </c>
      <c r="D61" s="465"/>
      <c r="E61" s="466"/>
      <c r="F61" s="598" t="s">
        <v>264</v>
      </c>
      <c r="G61" s="482"/>
      <c r="H61" s="483"/>
      <c r="I61" s="598" t="s">
        <v>264</v>
      </c>
      <c r="J61" s="482"/>
      <c r="K61" s="483"/>
      <c r="L61" s="598" t="s">
        <v>264</v>
      </c>
      <c r="M61" s="482"/>
      <c r="N61" s="483"/>
      <c r="O61" s="598" t="s">
        <v>265</v>
      </c>
      <c r="P61" s="482"/>
      <c r="Q61" s="483"/>
      <c r="R61" s="598"/>
      <c r="S61" s="482"/>
      <c r="T61" s="483"/>
      <c r="U61" s="598"/>
      <c r="V61" s="482"/>
      <c r="W61" s="483"/>
      <c r="X61" s="598"/>
      <c r="Y61" s="482"/>
      <c r="Z61" s="482"/>
      <c r="AA61" s="482"/>
      <c r="AB61" s="475"/>
      <c r="AC61" s="482"/>
      <c r="AD61" s="482"/>
      <c r="AE61" s="482"/>
      <c r="AF61" s="482"/>
      <c r="AG61" s="599"/>
    </row>
    <row r="62" spans="1:35" ht="21.95" customHeight="1" x14ac:dyDescent="0.2">
      <c r="A62" s="360"/>
      <c r="B62" s="600" t="s">
        <v>530</v>
      </c>
      <c r="C62" s="601"/>
      <c r="D62" s="602">
        <v>8</v>
      </c>
      <c r="E62" s="603"/>
      <c r="F62" s="604" t="s">
        <v>28</v>
      </c>
      <c r="G62" s="605">
        <v>8</v>
      </c>
      <c r="H62" s="606"/>
      <c r="I62" s="604"/>
      <c r="J62" s="605">
        <v>8</v>
      </c>
      <c r="K62" s="606"/>
      <c r="L62" s="604" t="s">
        <v>28</v>
      </c>
      <c r="M62" s="605">
        <v>8</v>
      </c>
      <c r="N62" s="606"/>
      <c r="O62" s="604"/>
      <c r="P62" s="607">
        <v>5</v>
      </c>
      <c r="Q62" s="606"/>
      <c r="R62" s="608"/>
      <c r="S62" s="350"/>
      <c r="T62" s="603"/>
      <c r="U62" s="608"/>
      <c r="V62" s="350"/>
      <c r="W62" s="603"/>
      <c r="X62" s="608"/>
      <c r="Y62" s="350">
        <v>37</v>
      </c>
      <c r="Z62" s="350"/>
      <c r="AA62" s="350"/>
      <c r="AB62" s="351"/>
      <c r="AC62" s="350"/>
      <c r="AD62" s="350"/>
      <c r="AE62" s="350"/>
      <c r="AF62" s="350"/>
      <c r="AG62" s="609"/>
    </row>
    <row r="63" spans="1:35" ht="21.95" customHeight="1" x14ac:dyDescent="0.2">
      <c r="A63" s="360"/>
      <c r="B63" s="360" t="s">
        <v>262</v>
      </c>
      <c r="C63" s="360"/>
      <c r="D63" s="360"/>
      <c r="E63" s="360"/>
      <c r="F63" s="360"/>
      <c r="G63" s="360"/>
      <c r="H63" s="360"/>
      <c r="I63" s="360"/>
      <c r="J63" s="360"/>
      <c r="K63" s="360"/>
      <c r="L63" s="360"/>
      <c r="M63" s="360"/>
      <c r="N63" s="360"/>
      <c r="O63" s="360"/>
      <c r="P63" s="360"/>
      <c r="Q63" s="360"/>
      <c r="R63" s="360"/>
      <c r="S63" s="360"/>
      <c r="T63" s="360"/>
      <c r="U63" s="360"/>
      <c r="V63" s="360"/>
      <c r="W63" s="360"/>
      <c r="X63" s="360"/>
      <c r="Y63" s="360"/>
      <c r="Z63" s="360"/>
      <c r="AA63" s="360"/>
      <c r="AB63" s="360"/>
      <c r="AC63" s="360"/>
      <c r="AD63" s="360"/>
      <c r="AE63" s="360"/>
      <c r="AF63" s="360"/>
      <c r="AG63" s="360"/>
    </row>
    <row r="64" spans="1:35" ht="21.95" customHeight="1" x14ac:dyDescent="0.2">
      <c r="A64" s="585" t="s">
        <v>468</v>
      </c>
      <c r="B64" s="296" t="s">
        <v>469</v>
      </c>
      <c r="C64" s="177">
        <v>1</v>
      </c>
      <c r="D64" s="177">
        <v>2</v>
      </c>
      <c r="E64" s="177">
        <v>3</v>
      </c>
      <c r="F64" s="177">
        <v>4</v>
      </c>
      <c r="G64" s="177">
        <v>5</v>
      </c>
      <c r="H64" s="497">
        <v>6</v>
      </c>
      <c r="I64" s="497">
        <v>7</v>
      </c>
      <c r="J64" s="177">
        <v>8</v>
      </c>
      <c r="K64" s="177">
        <v>9</v>
      </c>
      <c r="L64" s="177">
        <v>10</v>
      </c>
      <c r="M64" s="177">
        <v>11</v>
      </c>
      <c r="N64" s="177">
        <v>12</v>
      </c>
      <c r="O64" s="497">
        <v>13</v>
      </c>
      <c r="P64" s="497">
        <v>14</v>
      </c>
      <c r="Q64" s="177">
        <v>15</v>
      </c>
      <c r="R64" s="177">
        <v>16</v>
      </c>
      <c r="S64" s="177">
        <v>17</v>
      </c>
      <c r="T64" s="177">
        <v>18</v>
      </c>
      <c r="U64" s="177">
        <v>19</v>
      </c>
      <c r="V64" s="497">
        <v>20</v>
      </c>
      <c r="W64" s="497">
        <v>21</v>
      </c>
      <c r="X64" s="177">
        <v>22</v>
      </c>
      <c r="Y64" s="177">
        <v>23</v>
      </c>
      <c r="Z64" s="177">
        <v>24</v>
      </c>
      <c r="AA64" s="177">
        <v>25</v>
      </c>
      <c r="AB64" s="177">
        <v>26</v>
      </c>
      <c r="AC64" s="497">
        <v>27</v>
      </c>
      <c r="AD64" s="497">
        <v>28</v>
      </c>
      <c r="AE64" s="177">
        <v>29</v>
      </c>
      <c r="AF64" s="177">
        <v>30</v>
      </c>
      <c r="AG64" s="177">
        <v>31</v>
      </c>
      <c r="AH64" s="499" t="s">
        <v>470</v>
      </c>
      <c r="AI64" s="500" t="s">
        <v>471</v>
      </c>
    </row>
    <row r="65" spans="1:35" ht="21.95" customHeight="1" x14ac:dyDescent="0.2">
      <c r="A65" s="185">
        <v>8514</v>
      </c>
      <c r="B65" s="598"/>
      <c r="C65" s="503"/>
      <c r="D65" s="503"/>
      <c r="E65" s="503"/>
      <c r="F65" s="503"/>
      <c r="G65" s="503"/>
      <c r="H65" s="503"/>
      <c r="I65" s="503"/>
      <c r="J65" s="503"/>
      <c r="K65" s="503"/>
      <c r="L65" s="503"/>
      <c r="M65" s="503"/>
      <c r="N65" s="503"/>
      <c r="O65" s="503"/>
      <c r="P65" s="503"/>
      <c r="Q65" s="503"/>
      <c r="R65" s="503"/>
      <c r="S65" s="503"/>
      <c r="T65" s="503"/>
      <c r="U65" s="503"/>
      <c r="V65" s="503"/>
      <c r="W65" s="503"/>
      <c r="X65" s="503" t="s">
        <v>482</v>
      </c>
      <c r="Y65" s="503" t="s">
        <v>482</v>
      </c>
      <c r="Z65" s="503" t="s">
        <v>482</v>
      </c>
      <c r="AA65" s="503" t="s">
        <v>482</v>
      </c>
      <c r="AB65" s="503" t="s">
        <v>482</v>
      </c>
      <c r="AC65" s="503"/>
      <c r="AD65" s="503"/>
      <c r="AE65" s="503" t="s">
        <v>482</v>
      </c>
      <c r="AF65" s="503" t="s">
        <v>482</v>
      </c>
      <c r="AG65" s="503" t="s">
        <v>482</v>
      </c>
      <c r="AH65" s="505">
        <v>74</v>
      </c>
      <c r="AI65" s="506">
        <v>37</v>
      </c>
    </row>
    <row r="66" spans="1:35" ht="21.95" customHeight="1" x14ac:dyDescent="0.2">
      <c r="A66" s="589"/>
      <c r="C66" s="590"/>
      <c r="D66" s="590"/>
      <c r="E66" s="590"/>
      <c r="F66" s="590"/>
      <c r="G66" s="590"/>
      <c r="H66" s="590"/>
      <c r="I66" s="590"/>
      <c r="J66" s="590"/>
      <c r="K66" s="590"/>
      <c r="L66" s="590"/>
      <c r="M66" s="590"/>
      <c r="N66" s="590"/>
      <c r="O66" s="590"/>
      <c r="P66" s="590"/>
      <c r="Q66" s="590"/>
      <c r="R66" s="590"/>
      <c r="S66" s="590"/>
      <c r="T66" s="590"/>
      <c r="U66" s="590"/>
      <c r="V66" s="590"/>
      <c r="W66" s="590"/>
      <c r="X66" s="590"/>
      <c r="Y66" s="590"/>
      <c r="Z66" s="590"/>
      <c r="AA66" s="590"/>
      <c r="AB66" s="590"/>
      <c r="AC66" s="590"/>
      <c r="AD66" s="590"/>
      <c r="AE66" s="590"/>
      <c r="AF66" s="590"/>
      <c r="AG66" s="590"/>
      <c r="AH66" s="591"/>
      <c r="AI66" s="591"/>
    </row>
    <row r="67" spans="1:35" ht="21.95" customHeight="1" x14ac:dyDescent="0.2">
      <c r="A67" s="360"/>
      <c r="B67" s="23" t="s">
        <v>532</v>
      </c>
      <c r="C67" s="7"/>
      <c r="D67" s="413" t="s">
        <v>2</v>
      </c>
      <c r="E67" s="572"/>
      <c r="F67" s="7"/>
      <c r="G67" s="6" t="s">
        <v>3</v>
      </c>
      <c r="H67" s="573"/>
      <c r="I67" s="118"/>
      <c r="J67" s="6" t="s">
        <v>4</v>
      </c>
      <c r="K67" s="412"/>
      <c r="L67" s="118"/>
      <c r="M67" s="119" t="s">
        <v>5</v>
      </c>
      <c r="N67" s="412"/>
      <c r="O67" s="118"/>
      <c r="P67" s="6" t="s">
        <v>6</v>
      </c>
      <c r="Q67" s="574"/>
      <c r="R67" s="118"/>
      <c r="S67" s="6" t="s">
        <v>7</v>
      </c>
      <c r="T67" s="575"/>
      <c r="U67" s="118"/>
      <c r="V67" s="6" t="s">
        <v>8</v>
      </c>
      <c r="W67" s="574"/>
      <c r="X67" s="348" t="s">
        <v>9</v>
      </c>
      <c r="Y67" s="593"/>
      <c r="Z67" s="593"/>
      <c r="AA67" s="594"/>
      <c r="AB67" s="27" t="s">
        <v>10</v>
      </c>
      <c r="AC67" s="576"/>
      <c r="AD67" s="576"/>
      <c r="AE67" s="595"/>
      <c r="AF67" s="595"/>
      <c r="AG67" s="596"/>
    </row>
    <row r="68" spans="1:35" ht="21.95" customHeight="1" x14ac:dyDescent="0.2">
      <c r="A68" s="360"/>
      <c r="B68" s="305" t="s">
        <v>533</v>
      </c>
      <c r="C68" s="598" t="s">
        <v>534</v>
      </c>
      <c r="D68" s="482"/>
      <c r="E68" s="483"/>
      <c r="F68" s="598" t="s">
        <v>534</v>
      </c>
      <c r="G68" s="482"/>
      <c r="H68" s="483"/>
      <c r="I68" s="598" t="s">
        <v>534</v>
      </c>
      <c r="J68" s="482"/>
      <c r="K68" s="483"/>
      <c r="L68" s="598" t="s">
        <v>534</v>
      </c>
      <c r="M68" s="482"/>
      <c r="N68" s="483"/>
      <c r="O68" s="598" t="s">
        <v>116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x14ac:dyDescent="0.2">
      <c r="A69" s="360"/>
      <c r="B69" s="305" t="s">
        <v>535</v>
      </c>
      <c r="C69" s="598" t="s">
        <v>147</v>
      </c>
      <c r="D69" s="482"/>
      <c r="E69" s="483"/>
      <c r="F69" s="598" t="s">
        <v>147</v>
      </c>
      <c r="G69" s="482"/>
      <c r="H69" s="483"/>
      <c r="I69" s="598" t="s">
        <v>147</v>
      </c>
      <c r="J69" s="482"/>
      <c r="K69" s="483"/>
      <c r="L69" s="598" t="s">
        <v>147</v>
      </c>
      <c r="M69" s="482"/>
      <c r="N69" s="483"/>
      <c r="O69" s="598" t="s">
        <v>536</v>
      </c>
      <c r="P69" s="482"/>
      <c r="Q69" s="483"/>
      <c r="R69" s="598"/>
      <c r="S69" s="482"/>
      <c r="T69" s="483"/>
      <c r="U69" s="598"/>
      <c r="V69" s="482"/>
      <c r="W69" s="483"/>
      <c r="X69" s="598"/>
      <c r="Y69" s="482"/>
      <c r="Z69" s="482"/>
      <c r="AA69" s="482"/>
      <c r="AB69" s="475"/>
      <c r="AC69" s="482"/>
      <c r="AD69" s="482"/>
      <c r="AE69" s="482"/>
      <c r="AF69" s="482"/>
      <c r="AG69" s="599"/>
    </row>
    <row r="70" spans="1:35" ht="21.95" customHeight="1" x14ac:dyDescent="0.2">
      <c r="A70" s="360"/>
      <c r="B70" s="69"/>
      <c r="C70" s="360"/>
      <c r="D70" s="360"/>
      <c r="E70" s="360"/>
      <c r="F70" s="360"/>
      <c r="G70" s="360"/>
      <c r="H70" s="360"/>
      <c r="I70" s="360"/>
      <c r="J70" s="360"/>
      <c r="K70" s="360"/>
      <c r="L70" s="360"/>
      <c r="M70" s="360"/>
      <c r="N70" s="360"/>
      <c r="O70" s="360"/>
      <c r="P70" s="360"/>
      <c r="Q70" s="360"/>
      <c r="R70" s="360"/>
      <c r="S70" s="360"/>
      <c r="T70" s="360"/>
      <c r="U70" s="360"/>
      <c r="V70" s="360"/>
      <c r="W70" s="360"/>
      <c r="X70" s="360"/>
      <c r="Y70" s="360"/>
      <c r="Z70" s="360"/>
      <c r="AA70" s="360"/>
      <c r="AB70" s="360"/>
      <c r="AC70" s="360"/>
      <c r="AD70" s="360"/>
      <c r="AE70" s="360"/>
      <c r="AF70" s="360"/>
      <c r="AG70" s="360"/>
    </row>
    <row r="71" spans="1:35" ht="21.95" customHeight="1" x14ac:dyDescent="0.2">
      <c r="A71" s="585" t="s">
        <v>468</v>
      </c>
      <c r="B71" s="296" t="s">
        <v>469</v>
      </c>
      <c r="C71" s="177">
        <v>1</v>
      </c>
      <c r="D71" s="177">
        <v>2</v>
      </c>
      <c r="E71" s="177">
        <v>3</v>
      </c>
      <c r="F71" s="177">
        <v>4</v>
      </c>
      <c r="G71" s="177">
        <v>5</v>
      </c>
      <c r="H71" s="497">
        <v>6</v>
      </c>
      <c r="I71" s="497">
        <v>7</v>
      </c>
      <c r="J71" s="177">
        <v>8</v>
      </c>
      <c r="K71" s="177">
        <v>9</v>
      </c>
      <c r="L71" s="177">
        <v>10</v>
      </c>
      <c r="M71" s="177">
        <v>11</v>
      </c>
      <c r="N71" s="177">
        <v>12</v>
      </c>
      <c r="O71" s="497">
        <v>13</v>
      </c>
      <c r="P71" s="497">
        <v>14</v>
      </c>
      <c r="Q71" s="177">
        <v>15</v>
      </c>
      <c r="R71" s="177">
        <v>16</v>
      </c>
      <c r="S71" s="177">
        <v>17</v>
      </c>
      <c r="T71" s="177">
        <v>18</v>
      </c>
      <c r="U71" s="177">
        <v>19</v>
      </c>
      <c r="V71" s="497">
        <v>20</v>
      </c>
      <c r="W71" s="497">
        <v>21</v>
      </c>
      <c r="X71" s="177">
        <v>22</v>
      </c>
      <c r="Y71" s="177">
        <v>23</v>
      </c>
      <c r="Z71" s="177">
        <v>24</v>
      </c>
      <c r="AA71" s="177">
        <v>25</v>
      </c>
      <c r="AB71" s="177">
        <v>26</v>
      </c>
      <c r="AC71" s="497">
        <v>27</v>
      </c>
      <c r="AD71" s="497">
        <v>28</v>
      </c>
      <c r="AE71" s="177">
        <v>29</v>
      </c>
      <c r="AF71" s="177">
        <v>30</v>
      </c>
      <c r="AG71" s="177">
        <v>31</v>
      </c>
      <c r="AH71" s="499" t="s">
        <v>470</v>
      </c>
      <c r="AI71" s="500" t="s">
        <v>471</v>
      </c>
    </row>
    <row r="72" spans="1:35" ht="21.95" customHeight="1" x14ac:dyDescent="0.2">
      <c r="A72" s="185">
        <v>8520</v>
      </c>
      <c r="B72" s="185" t="s">
        <v>537</v>
      </c>
      <c r="C72" s="521" t="s">
        <v>538</v>
      </c>
      <c r="D72" s="521" t="s">
        <v>538</v>
      </c>
      <c r="E72" s="521" t="s">
        <v>538</v>
      </c>
      <c r="F72" s="521" t="s">
        <v>538</v>
      </c>
      <c r="G72" s="521" t="s">
        <v>538</v>
      </c>
      <c r="H72" s="553"/>
      <c r="I72" s="553"/>
      <c r="J72" s="1470" t="s">
        <v>538</v>
      </c>
      <c r="K72" s="1116" t="s">
        <v>538</v>
      </c>
      <c r="L72" s="1116" t="s">
        <v>726</v>
      </c>
      <c r="M72" s="553" t="s">
        <v>538</v>
      </c>
      <c r="N72" s="553" t="s">
        <v>538</v>
      </c>
      <c r="O72" s="553"/>
      <c r="P72" s="553"/>
      <c r="Q72" s="521" t="s">
        <v>538</v>
      </c>
      <c r="R72" s="521" t="s">
        <v>538</v>
      </c>
      <c r="S72" s="553" t="s">
        <v>538</v>
      </c>
      <c r="T72" s="553" t="s">
        <v>538</v>
      </c>
      <c r="U72" s="553" t="s">
        <v>538</v>
      </c>
      <c r="V72" s="553"/>
      <c r="W72" s="553"/>
      <c r="X72" s="521" t="s">
        <v>538</v>
      </c>
      <c r="Y72" s="553" t="s">
        <v>538</v>
      </c>
      <c r="Z72" s="553" t="s">
        <v>538</v>
      </c>
      <c r="AA72" s="553" t="s">
        <v>538</v>
      </c>
      <c r="AB72" s="553" t="s">
        <v>538</v>
      </c>
      <c r="AC72" s="553"/>
      <c r="AD72" s="553"/>
      <c r="AE72" s="521" t="s">
        <v>538</v>
      </c>
      <c r="AF72" s="553" t="s">
        <v>538</v>
      </c>
      <c r="AG72" s="553" t="s">
        <v>538</v>
      </c>
      <c r="AH72" s="505">
        <v>74</v>
      </c>
      <c r="AI72" s="506">
        <v>37</v>
      </c>
    </row>
    <row r="73" spans="1:35" ht="21.95" customHeight="1" x14ac:dyDescent="0.2">
      <c r="A73" s="185">
        <v>8521</v>
      </c>
      <c r="B73" s="185" t="s">
        <v>539</v>
      </c>
      <c r="C73" s="503" t="s">
        <v>540</v>
      </c>
      <c r="D73" s="503" t="s">
        <v>540</v>
      </c>
      <c r="E73" s="503" t="s">
        <v>540</v>
      </c>
      <c r="F73" s="503" t="s">
        <v>540</v>
      </c>
      <c r="G73" s="503" t="s">
        <v>540</v>
      </c>
      <c r="H73" s="503"/>
      <c r="I73" s="503"/>
      <c r="J73" s="503" t="s">
        <v>540</v>
      </c>
      <c r="K73" s="503" t="s">
        <v>540</v>
      </c>
      <c r="L73" s="503" t="s">
        <v>540</v>
      </c>
      <c r="M73" s="503" t="s">
        <v>540</v>
      </c>
      <c r="N73" s="503" t="s">
        <v>540</v>
      </c>
      <c r="O73" s="1452" t="s">
        <v>505</v>
      </c>
      <c r="P73" s="503"/>
      <c r="Q73" s="503" t="s">
        <v>540</v>
      </c>
      <c r="R73" s="503" t="s">
        <v>540</v>
      </c>
      <c r="S73" s="503" t="s">
        <v>540</v>
      </c>
      <c r="T73" s="503" t="s">
        <v>540</v>
      </c>
      <c r="U73" s="503" t="s">
        <v>540</v>
      </c>
      <c r="V73" s="503"/>
      <c r="W73" s="503"/>
      <c r="X73" s="503" t="s">
        <v>540</v>
      </c>
      <c r="Y73" s="503" t="s">
        <v>540</v>
      </c>
      <c r="Z73" s="503" t="s">
        <v>540</v>
      </c>
      <c r="AA73" s="503" t="s">
        <v>540</v>
      </c>
      <c r="AB73" s="503" t="s">
        <v>540</v>
      </c>
      <c r="AC73" s="503">
        <v>2</v>
      </c>
      <c r="AD73" s="503"/>
      <c r="AE73" s="503" t="s">
        <v>540</v>
      </c>
      <c r="AF73" s="503" t="s">
        <v>540</v>
      </c>
      <c r="AG73" s="503" t="s">
        <v>540</v>
      </c>
      <c r="AH73" s="505">
        <v>74</v>
      </c>
      <c r="AI73" s="506">
        <v>37</v>
      </c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x14ac:dyDescent="0.2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x14ac:dyDescent="0.2">
      <c r="A76" s="360"/>
      <c r="B76" s="360"/>
      <c r="C76" s="546"/>
      <c r="D76" s="525"/>
      <c r="E76" s="525"/>
      <c r="F76" s="525"/>
      <c r="G76" s="525"/>
      <c r="H76" s="525"/>
      <c r="I76" s="525"/>
      <c r="J76" s="525"/>
      <c r="K76" s="525"/>
      <c r="L76" s="525"/>
      <c r="M76" s="525"/>
      <c r="N76" s="525"/>
      <c r="O76" s="525"/>
      <c r="P76" s="525"/>
      <c r="Q76" s="525"/>
      <c r="R76" s="525"/>
      <c r="S76" s="525"/>
      <c r="T76" s="525"/>
      <c r="U76" s="525"/>
      <c r="V76" s="525"/>
      <c r="W76" s="525"/>
      <c r="X76" s="525"/>
      <c r="Y76" s="525"/>
      <c r="Z76" s="525"/>
      <c r="AA76" s="525"/>
      <c r="AB76" s="525"/>
      <c r="AC76" s="525"/>
      <c r="AD76" s="525"/>
      <c r="AE76" s="525"/>
      <c r="AF76" s="525"/>
      <c r="AG76" s="525"/>
      <c r="AH76" s="591"/>
      <c r="AI76" s="591"/>
    </row>
    <row r="77" spans="1:35" ht="21.95" customHeight="1" x14ac:dyDescent="0.2">
      <c r="A77" s="1" t="s">
        <v>541</v>
      </c>
      <c r="D77" s="360"/>
      <c r="E77" s="360"/>
      <c r="F77" s="360"/>
      <c r="G77" s="570"/>
      <c r="H77" s="360"/>
      <c r="I77" s="360"/>
      <c r="J77" s="360"/>
      <c r="K77" s="360"/>
      <c r="L77" s="360"/>
      <c r="M77" s="360"/>
      <c r="N77" s="360"/>
      <c r="O77" s="360"/>
      <c r="P77" s="360"/>
      <c r="Q77" s="360"/>
      <c r="R77" s="360"/>
      <c r="S77" s="360"/>
      <c r="T77" s="360"/>
      <c r="U77" s="360"/>
      <c r="V77" s="360"/>
      <c r="W77" s="360"/>
      <c r="X77" s="360"/>
      <c r="Y77" s="360"/>
      <c r="Z77" s="360"/>
      <c r="AA77" s="360"/>
      <c r="AB77" s="360"/>
      <c r="AC77" s="360"/>
      <c r="AD77" s="1720"/>
      <c r="AE77" s="360"/>
      <c r="AF77" s="360"/>
      <c r="AG77" s="360"/>
    </row>
    <row r="78" spans="1:35" ht="21.95" customHeight="1" x14ac:dyDescent="0.2">
      <c r="A78" s="1"/>
      <c r="B78" s="23" t="s">
        <v>542</v>
      </c>
      <c r="C78" s="7"/>
      <c r="D78" s="530" t="s">
        <v>2</v>
      </c>
      <c r="E78" s="51"/>
      <c r="F78" s="573"/>
      <c r="G78" s="7"/>
      <c r="H78" s="530" t="s">
        <v>3</v>
      </c>
      <c r="I78" s="51"/>
      <c r="J78" s="573"/>
      <c r="K78" s="7"/>
      <c r="L78" s="530" t="s">
        <v>4</v>
      </c>
      <c r="M78" s="51"/>
      <c r="N78" s="573"/>
      <c r="O78" s="7"/>
      <c r="P78" s="530" t="s">
        <v>5</v>
      </c>
      <c r="Q78" s="51"/>
      <c r="R78" s="573"/>
      <c r="S78" s="7"/>
      <c r="T78" s="530" t="s">
        <v>6</v>
      </c>
      <c r="U78" s="51"/>
      <c r="V78" s="573"/>
      <c r="W78" s="7"/>
      <c r="X78" s="530" t="s">
        <v>7</v>
      </c>
      <c r="Y78" s="51"/>
      <c r="Z78" s="573"/>
      <c r="AA78" s="7"/>
      <c r="AB78" s="530" t="s">
        <v>8</v>
      </c>
      <c r="AC78" s="51"/>
      <c r="AD78" s="51"/>
      <c r="AE78" s="348" t="s">
        <v>9</v>
      </c>
      <c r="AF78" s="51"/>
      <c r="AG78" s="51"/>
      <c r="AH78" s="51"/>
      <c r="AI78" s="531"/>
    </row>
    <row r="79" spans="1:35" ht="21.95" customHeight="1" x14ac:dyDescent="0.2">
      <c r="A79" s="1"/>
      <c r="B79" s="129" t="s">
        <v>324</v>
      </c>
      <c r="C79" s="611" t="s">
        <v>543</v>
      </c>
      <c r="E79" s="156"/>
      <c r="F79" s="612"/>
      <c r="G79" s="611" t="s">
        <v>543</v>
      </c>
      <c r="H79" s="156"/>
      <c r="I79" s="156"/>
      <c r="J79" s="612"/>
      <c r="K79" s="611" t="s">
        <v>543</v>
      </c>
      <c r="L79" s="156"/>
      <c r="M79" s="156"/>
      <c r="N79" s="612"/>
      <c r="O79" s="611" t="s">
        <v>543</v>
      </c>
      <c r="P79" s="156"/>
      <c r="Q79" s="156"/>
      <c r="R79" s="612"/>
      <c r="S79" s="611" t="s">
        <v>544</v>
      </c>
      <c r="T79" s="156"/>
      <c r="U79" s="156"/>
      <c r="V79" s="613"/>
      <c r="W79" s="1055"/>
      <c r="X79" s="1056"/>
      <c r="Y79" s="1056"/>
      <c r="Z79" s="1057"/>
      <c r="AA79" s="613"/>
      <c r="AB79" s="156"/>
      <c r="AC79" s="156"/>
      <c r="AD79" s="613"/>
      <c r="AE79" s="121">
        <v>37</v>
      </c>
      <c r="AG79" s="156"/>
      <c r="AH79" s="613"/>
      <c r="AI79" s="489"/>
    </row>
    <row r="80" spans="1:35" ht="21.95" customHeight="1" x14ac:dyDescent="0.2">
      <c r="A80" s="1"/>
      <c r="B80" s="129" t="s">
        <v>325</v>
      </c>
      <c r="C80" s="611" t="s">
        <v>545</v>
      </c>
      <c r="D80" s="156"/>
      <c r="E80" s="156"/>
      <c r="F80" s="612"/>
      <c r="G80" s="611" t="s">
        <v>545</v>
      </c>
      <c r="H80" s="156"/>
      <c r="I80" s="156"/>
      <c r="J80" s="612"/>
      <c r="K80" s="611" t="s">
        <v>545</v>
      </c>
      <c r="L80" s="156"/>
      <c r="M80" s="156"/>
      <c r="N80" s="612"/>
      <c r="O80" s="611" t="s">
        <v>545</v>
      </c>
      <c r="P80" s="156"/>
      <c r="Q80" s="156"/>
      <c r="R80" s="612"/>
      <c r="S80" s="611" t="s">
        <v>546</v>
      </c>
      <c r="T80" s="156"/>
      <c r="U80" s="156"/>
      <c r="V80" s="612"/>
      <c r="W80" s="660" t="s">
        <v>547</v>
      </c>
      <c r="X80" s="55"/>
      <c r="Y80" s="55"/>
      <c r="Z80" s="55"/>
      <c r="AA80" s="611" t="s">
        <v>548</v>
      </c>
      <c r="AB80" s="611"/>
      <c r="AC80" s="611"/>
      <c r="AD80" s="611"/>
      <c r="AE80" s="154">
        <v>68.25</v>
      </c>
      <c r="AF80" s="156"/>
      <c r="AG80" s="615"/>
      <c r="AH80" s="616"/>
      <c r="AI80" s="617"/>
    </row>
    <row r="81" spans="1:35" ht="21.95" customHeight="1" x14ac:dyDescent="0.2">
      <c r="A81" s="1"/>
      <c r="B81" s="129" t="s">
        <v>326</v>
      </c>
      <c r="C81" s="1053" t="s">
        <v>167</v>
      </c>
      <c r="D81" s="156"/>
      <c r="E81" s="156"/>
      <c r="F81" s="612"/>
      <c r="G81" s="156" t="s">
        <v>167</v>
      </c>
      <c r="H81" s="156"/>
      <c r="I81" s="156"/>
      <c r="J81" s="612"/>
      <c r="K81" s="156" t="s">
        <v>167</v>
      </c>
      <c r="L81" s="156"/>
      <c r="M81" s="156"/>
      <c r="N81" s="612"/>
      <c r="O81" s="156" t="s">
        <v>167</v>
      </c>
      <c r="P81" s="156"/>
      <c r="Q81" s="156"/>
      <c r="R81" s="612"/>
      <c r="S81" s="156" t="s">
        <v>167</v>
      </c>
      <c r="T81" s="156"/>
      <c r="U81" s="156"/>
      <c r="V81" s="612"/>
      <c r="W81" s="611"/>
      <c r="X81" s="156"/>
      <c r="Y81" s="156"/>
      <c r="Z81" s="612"/>
      <c r="AA81" s="611"/>
      <c r="AB81" s="156"/>
      <c r="AC81" s="156"/>
      <c r="AD81" s="613"/>
      <c r="AE81" s="614">
        <v>0</v>
      </c>
      <c r="AF81" s="615"/>
      <c r="AG81" s="156"/>
      <c r="AH81" s="613"/>
      <c r="AI81" s="489"/>
    </row>
    <row r="82" spans="1:35" ht="21.95" customHeight="1" x14ac:dyDescent="0.2">
      <c r="A82" s="1"/>
      <c r="B82" s="47"/>
      <c r="C82" s="618"/>
      <c r="D82" s="53"/>
      <c r="E82" s="53"/>
      <c r="F82" s="619"/>
      <c r="G82" s="618"/>
      <c r="H82" s="53"/>
      <c r="I82" s="53"/>
      <c r="J82" s="619"/>
      <c r="K82" s="618"/>
      <c r="L82" s="53"/>
      <c r="M82" s="53"/>
      <c r="N82" s="619"/>
      <c r="O82" s="618"/>
      <c r="P82" s="53"/>
      <c r="Q82" s="53"/>
      <c r="R82" s="619"/>
      <c r="S82" s="618"/>
      <c r="T82" s="53"/>
      <c r="U82" s="53"/>
      <c r="V82" s="619"/>
      <c r="W82" s="53"/>
      <c r="X82" s="53"/>
      <c r="Y82" s="53"/>
      <c r="Z82" s="53"/>
      <c r="AA82" s="53"/>
      <c r="AB82" s="53"/>
      <c r="AC82" s="53"/>
      <c r="AD82" s="53"/>
      <c r="AE82" s="581"/>
      <c r="AF82" s="53"/>
      <c r="AG82" s="53"/>
      <c r="AH82" s="620"/>
      <c r="AI82" s="544"/>
    </row>
    <row r="83" spans="1:35" ht="21.95" customHeight="1" x14ac:dyDescent="0.2">
      <c r="A83" s="621"/>
      <c r="B83" s="1"/>
      <c r="C83" s="360"/>
      <c r="D83" s="360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360"/>
      <c r="Q83" s="360"/>
      <c r="R83" s="360"/>
      <c r="S83" s="360"/>
      <c r="T83" s="360"/>
      <c r="U83" s="360"/>
      <c r="V83" s="360"/>
      <c r="W83" s="360"/>
      <c r="X83" s="360"/>
      <c r="Y83" s="360"/>
      <c r="Z83" s="360"/>
      <c r="AA83" s="360"/>
      <c r="AB83" s="360"/>
      <c r="AC83" s="360"/>
      <c r="AD83" s="360"/>
      <c r="AE83" s="360"/>
      <c r="AF83" s="360"/>
      <c r="AG83" s="360"/>
    </row>
    <row r="84" spans="1:35" ht="21.95" customHeight="1" x14ac:dyDescent="0.2">
      <c r="A84" s="585"/>
      <c r="B84" s="296" t="s">
        <v>469</v>
      </c>
      <c r="C84" s="177">
        <v>1</v>
      </c>
      <c r="D84" s="177">
        <v>2</v>
      </c>
      <c r="E84" s="177">
        <v>3</v>
      </c>
      <c r="F84" s="177">
        <v>4</v>
      </c>
      <c r="G84" s="177">
        <v>5</v>
      </c>
      <c r="H84" s="497">
        <v>6</v>
      </c>
      <c r="I84" s="497">
        <v>7</v>
      </c>
      <c r="J84" s="177">
        <v>8</v>
      </c>
      <c r="K84" s="177">
        <v>9</v>
      </c>
      <c r="L84" s="177">
        <v>10</v>
      </c>
      <c r="M84" s="177">
        <v>11</v>
      </c>
      <c r="N84" s="177">
        <v>12</v>
      </c>
      <c r="O84" s="497">
        <v>13</v>
      </c>
      <c r="P84" s="497">
        <v>14</v>
      </c>
      <c r="Q84" s="177">
        <v>15</v>
      </c>
      <c r="R84" s="177">
        <v>16</v>
      </c>
      <c r="S84" s="177">
        <v>17</v>
      </c>
      <c r="T84" s="177">
        <v>18</v>
      </c>
      <c r="U84" s="177">
        <v>19</v>
      </c>
      <c r="V84" s="497">
        <v>20</v>
      </c>
      <c r="W84" s="497">
        <v>21</v>
      </c>
      <c r="X84" s="177">
        <v>22</v>
      </c>
      <c r="Y84" s="177">
        <v>23</v>
      </c>
      <c r="Z84" s="177">
        <v>24</v>
      </c>
      <c r="AA84" s="177">
        <v>25</v>
      </c>
      <c r="AB84" s="177">
        <v>26</v>
      </c>
      <c r="AC84" s="497">
        <v>27</v>
      </c>
      <c r="AD84" s="497">
        <v>28</v>
      </c>
      <c r="AE84" s="177">
        <v>29</v>
      </c>
      <c r="AF84" s="177">
        <v>30</v>
      </c>
      <c r="AG84" s="177">
        <v>31</v>
      </c>
      <c r="AH84" s="499" t="s">
        <v>470</v>
      </c>
      <c r="AI84" s="500" t="s">
        <v>471</v>
      </c>
    </row>
    <row r="85" spans="1:35" ht="21.95" customHeight="1" x14ac:dyDescent="0.2">
      <c r="A85" s="622">
        <v>1</v>
      </c>
      <c r="B85" s="152" t="s">
        <v>549</v>
      </c>
      <c r="C85" s="587" t="s">
        <v>551</v>
      </c>
      <c r="D85" s="587" t="s">
        <v>551</v>
      </c>
      <c r="E85" s="587" t="s">
        <v>551</v>
      </c>
      <c r="F85" s="587" t="s">
        <v>551</v>
      </c>
      <c r="G85" s="587" t="s">
        <v>551</v>
      </c>
      <c r="H85" s="587"/>
      <c r="I85" s="587"/>
      <c r="J85" s="587" t="s">
        <v>513</v>
      </c>
      <c r="K85" s="587" t="s">
        <v>513</v>
      </c>
      <c r="L85" s="587" t="s">
        <v>513</v>
      </c>
      <c r="M85" s="587" t="s">
        <v>513</v>
      </c>
      <c r="N85" s="587" t="s">
        <v>513</v>
      </c>
      <c r="O85" s="587" t="s">
        <v>550</v>
      </c>
      <c r="P85" s="587" t="s">
        <v>550</v>
      </c>
      <c r="Q85" s="1060" t="s">
        <v>475</v>
      </c>
      <c r="R85" s="1060" t="s">
        <v>475</v>
      </c>
      <c r="S85" s="1060" t="s">
        <v>475</v>
      </c>
      <c r="T85" s="1060" t="s">
        <v>475</v>
      </c>
      <c r="U85" s="1060" t="s">
        <v>475</v>
      </c>
      <c r="V85" s="1060"/>
      <c r="W85" s="1060"/>
      <c r="X85" s="1060" t="s">
        <v>551</v>
      </c>
      <c r="Y85" s="1060" t="s">
        <v>551</v>
      </c>
      <c r="Z85" s="1060" t="s">
        <v>551</v>
      </c>
      <c r="AA85" s="1060" t="s">
        <v>551</v>
      </c>
      <c r="AB85" s="1060" t="s">
        <v>551</v>
      </c>
      <c r="AC85" s="1060"/>
      <c r="AD85" s="1060"/>
      <c r="AE85" s="1060" t="s">
        <v>513</v>
      </c>
      <c r="AF85" s="1060" t="s">
        <v>513</v>
      </c>
      <c r="AG85" s="1060" t="s">
        <v>513</v>
      </c>
      <c r="AH85" s="505">
        <v>185</v>
      </c>
      <c r="AI85" s="506">
        <v>37</v>
      </c>
    </row>
    <row r="86" spans="1:35" ht="21.95" customHeight="1" x14ac:dyDescent="0.2">
      <c r="A86" s="622">
        <v>2</v>
      </c>
      <c r="B86" s="318" t="s">
        <v>553</v>
      </c>
      <c r="C86" s="587" t="s">
        <v>513</v>
      </c>
      <c r="D86" s="587" t="s">
        <v>513</v>
      </c>
      <c r="E86" s="587" t="s">
        <v>513</v>
      </c>
      <c r="F86" s="587" t="s">
        <v>513</v>
      </c>
      <c r="G86" s="587" t="s">
        <v>513</v>
      </c>
      <c r="H86" s="587" t="s">
        <v>550</v>
      </c>
      <c r="I86" s="587" t="s">
        <v>550</v>
      </c>
      <c r="J86" s="587" t="s">
        <v>475</v>
      </c>
      <c r="K86" s="587" t="s">
        <v>475</v>
      </c>
      <c r="L86" s="587" t="s">
        <v>475</v>
      </c>
      <c r="M86" s="587" t="s">
        <v>475</v>
      </c>
      <c r="N86" s="587" t="s">
        <v>475</v>
      </c>
      <c r="O86" s="587"/>
      <c r="P86" s="587"/>
      <c r="Q86" s="587" t="s">
        <v>551</v>
      </c>
      <c r="R86" s="587" t="s">
        <v>551</v>
      </c>
      <c r="S86" s="587" t="s">
        <v>551</v>
      </c>
      <c r="T86" s="587" t="s">
        <v>551</v>
      </c>
      <c r="U86" s="587" t="s">
        <v>551</v>
      </c>
      <c r="V86" s="587"/>
      <c r="W86" s="587"/>
      <c r="X86" s="587" t="s">
        <v>513</v>
      </c>
      <c r="Y86" s="587" t="s">
        <v>513</v>
      </c>
      <c r="Z86" s="587" t="s">
        <v>513</v>
      </c>
      <c r="AA86" s="587" t="s">
        <v>513</v>
      </c>
      <c r="AB86" s="587" t="s">
        <v>513</v>
      </c>
      <c r="AC86" s="587" t="s">
        <v>550</v>
      </c>
      <c r="AD86" s="587" t="s">
        <v>550</v>
      </c>
      <c r="AE86" s="587" t="s">
        <v>475</v>
      </c>
      <c r="AF86" s="587" t="s">
        <v>475</v>
      </c>
      <c r="AG86" s="587" t="s">
        <v>475</v>
      </c>
      <c r="AH86" s="505">
        <v>185</v>
      </c>
      <c r="AI86" s="506">
        <v>37</v>
      </c>
    </row>
    <row r="87" spans="1:35" ht="21.95" customHeight="1" x14ac:dyDescent="0.2">
      <c r="A87" s="622">
        <v>3</v>
      </c>
      <c r="B87" s="552" t="s">
        <v>554</v>
      </c>
      <c r="C87" s="1091" t="s">
        <v>475</v>
      </c>
      <c r="D87" s="1091" t="s">
        <v>475</v>
      </c>
      <c r="E87" s="1091" t="s">
        <v>475</v>
      </c>
      <c r="F87" s="1091" t="s">
        <v>475</v>
      </c>
      <c r="G87" s="1091" t="s">
        <v>475</v>
      </c>
      <c r="H87" s="1091"/>
      <c r="I87" s="1091"/>
      <c r="J87" s="1091" t="s">
        <v>551</v>
      </c>
      <c r="K87" s="1091" t="s">
        <v>551</v>
      </c>
      <c r="L87" s="1091" t="s">
        <v>551</v>
      </c>
      <c r="M87" s="1091" t="s">
        <v>551</v>
      </c>
      <c r="N87" s="1091" t="s">
        <v>551</v>
      </c>
      <c r="O87" s="1091"/>
      <c r="P87" s="1091"/>
      <c r="Q87" s="1091" t="s">
        <v>513</v>
      </c>
      <c r="R87" s="1091" t="s">
        <v>513</v>
      </c>
      <c r="S87" s="1091" t="s">
        <v>513</v>
      </c>
      <c r="T87" s="1091" t="s">
        <v>513</v>
      </c>
      <c r="U87" s="1091" t="s">
        <v>513</v>
      </c>
      <c r="V87" s="1091" t="s">
        <v>550</v>
      </c>
      <c r="W87" s="1091" t="s">
        <v>550</v>
      </c>
      <c r="X87" s="1091" t="s">
        <v>475</v>
      </c>
      <c r="Y87" s="1091" t="s">
        <v>475</v>
      </c>
      <c r="Z87" s="587" t="s">
        <v>552</v>
      </c>
      <c r="AA87" s="553">
        <v>7</v>
      </c>
      <c r="AB87" s="553">
        <v>7</v>
      </c>
      <c r="AC87" s="587"/>
      <c r="AD87" s="587"/>
      <c r="AE87" s="1483" t="s">
        <v>727</v>
      </c>
      <c r="AF87" s="553">
        <v>4</v>
      </c>
      <c r="AG87" s="553">
        <v>4</v>
      </c>
      <c r="AH87" s="505">
        <v>185</v>
      </c>
      <c r="AI87" s="506">
        <v>37</v>
      </c>
    </row>
    <row r="88" spans="1:35" ht="21.95" customHeight="1" x14ac:dyDescent="0.2"/>
    <row r="89" spans="1:35" ht="21.95" customHeight="1" x14ac:dyDescent="0.2">
      <c r="A89" s="623"/>
      <c r="B89" s="353"/>
      <c r="C89" s="590"/>
      <c r="D89" s="590"/>
      <c r="E89" s="590"/>
      <c r="F89" s="590"/>
      <c r="G89" s="590"/>
      <c r="H89" s="590"/>
      <c r="I89" s="590"/>
      <c r="J89" s="590"/>
      <c r="K89" s="590"/>
      <c r="L89" s="590"/>
      <c r="M89" s="590"/>
      <c r="N89" s="590"/>
      <c r="O89" s="590"/>
      <c r="P89" s="590"/>
      <c r="Q89" s="590"/>
      <c r="R89" s="590"/>
      <c r="S89" s="590"/>
      <c r="T89" s="590"/>
      <c r="U89" s="590"/>
      <c r="V89" s="590"/>
      <c r="W89" s="590"/>
      <c r="X89" s="590"/>
      <c r="Y89" s="590"/>
      <c r="Z89" s="590"/>
      <c r="AA89" s="590"/>
      <c r="AB89" s="590"/>
      <c r="AC89" s="590"/>
      <c r="AD89" s="590"/>
      <c r="AE89" s="590"/>
      <c r="AF89" s="590"/>
      <c r="AH89" s="591"/>
      <c r="AI89" s="591"/>
    </row>
    <row r="90" spans="1:35" ht="21.95" customHeight="1" x14ac:dyDescent="0.2">
      <c r="A90" s="1" t="s">
        <v>555</v>
      </c>
      <c r="D90" s="360"/>
      <c r="E90" s="360"/>
      <c r="F90" s="360"/>
      <c r="G90" s="570"/>
      <c r="H90" s="360"/>
      <c r="I90" s="360"/>
      <c r="J90" s="360"/>
      <c r="K90" s="360"/>
      <c r="L90" s="360"/>
      <c r="M90" s="360"/>
      <c r="N90" s="360"/>
      <c r="O90" s="360"/>
      <c r="P90" s="360"/>
      <c r="Q90" s="360"/>
      <c r="R90" s="360"/>
      <c r="S90" s="360"/>
      <c r="T90" s="360"/>
      <c r="U90" s="360"/>
      <c r="V90" s="360"/>
      <c r="W90" s="360"/>
      <c r="X90" s="360"/>
      <c r="Y90" s="360"/>
      <c r="Z90" s="360"/>
      <c r="AA90" s="360"/>
      <c r="AB90" s="360"/>
      <c r="AC90" s="360"/>
      <c r="AD90" s="360"/>
      <c r="AE90" s="360"/>
      <c r="AF90" s="360"/>
      <c r="AG90" s="360"/>
    </row>
    <row r="91" spans="1:35" ht="21.95" customHeight="1" x14ac:dyDescent="0.2">
      <c r="A91" s="1"/>
      <c r="B91" s="23" t="s">
        <v>556</v>
      </c>
      <c r="C91" s="7"/>
      <c r="D91" s="530" t="s">
        <v>2</v>
      </c>
      <c r="E91" s="51"/>
      <c r="F91" s="573"/>
      <c r="G91" s="7"/>
      <c r="H91" s="530" t="s">
        <v>3</v>
      </c>
      <c r="I91" s="51"/>
      <c r="J91" s="573"/>
      <c r="K91" s="7"/>
      <c r="L91" s="530" t="s">
        <v>4</v>
      </c>
      <c r="M91" s="51"/>
      <c r="N91" s="573"/>
      <c r="O91" s="7"/>
      <c r="P91" s="530" t="s">
        <v>5</v>
      </c>
      <c r="Q91" s="51"/>
      <c r="R91" s="573"/>
      <c r="S91" s="7"/>
      <c r="T91" s="530" t="s">
        <v>6</v>
      </c>
      <c r="U91" s="51"/>
      <c r="V91" s="573"/>
      <c r="W91" s="7"/>
      <c r="X91" s="530" t="s">
        <v>7</v>
      </c>
      <c r="Y91" s="51"/>
      <c r="Z91" s="573"/>
      <c r="AA91" s="7"/>
      <c r="AB91" s="530" t="s">
        <v>8</v>
      </c>
      <c r="AC91" s="51"/>
      <c r="AD91" s="51"/>
      <c r="AE91" s="424" t="s">
        <v>10</v>
      </c>
      <c r="AF91" s="51"/>
      <c r="AG91" s="51"/>
      <c r="AH91" s="51"/>
      <c r="AI91" s="531"/>
    </row>
    <row r="92" spans="1:35" ht="21.95" customHeight="1" x14ac:dyDescent="0.2">
      <c r="A92" s="1"/>
      <c r="B92" s="129" t="s">
        <v>324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 t="s">
        <v>557</v>
      </c>
      <c r="L92" s="156"/>
      <c r="M92" s="156"/>
      <c r="N92" s="612"/>
      <c r="O92" s="611" t="s">
        <v>557</v>
      </c>
      <c r="P92" s="156"/>
      <c r="Q92" s="156"/>
      <c r="R92" s="612"/>
      <c r="S92" s="611" t="s">
        <v>557</v>
      </c>
      <c r="T92" s="156"/>
      <c r="U92" s="156"/>
      <c r="V92" s="612"/>
      <c r="W92" s="611" t="s">
        <v>558</v>
      </c>
      <c r="X92" s="624"/>
      <c r="Y92" s="624"/>
      <c r="Z92" s="625"/>
      <c r="AA92" s="611" t="s">
        <v>559</v>
      </c>
      <c r="AB92" s="156"/>
      <c r="AC92" s="156"/>
      <c r="AD92" s="613"/>
      <c r="AE92" s="128">
        <v>56</v>
      </c>
      <c r="AF92" s="156"/>
      <c r="AG92" s="156" t="s">
        <v>28</v>
      </c>
      <c r="AH92" s="613"/>
      <c r="AI92" s="489"/>
    </row>
    <row r="93" spans="1:35" ht="21.95" customHeight="1" x14ac:dyDescent="0.2">
      <c r="A93" s="1"/>
      <c r="B93" s="129" t="s">
        <v>325</v>
      </c>
      <c r="C93" s="611"/>
      <c r="D93" s="156" t="s">
        <v>167</v>
      </c>
      <c r="E93" s="156"/>
      <c r="F93" s="612"/>
      <c r="G93" s="611"/>
      <c r="H93" s="156" t="s">
        <v>167</v>
      </c>
      <c r="I93" s="156"/>
      <c r="J93" s="612"/>
      <c r="K93" s="611"/>
      <c r="L93" s="156" t="s">
        <v>167</v>
      </c>
      <c r="M93" s="156"/>
      <c r="N93" s="612"/>
      <c r="O93" s="611"/>
      <c r="P93" s="156" t="s">
        <v>167</v>
      </c>
      <c r="Q93" s="156"/>
      <c r="R93" s="612"/>
      <c r="S93" s="611"/>
      <c r="T93" s="156" t="s">
        <v>167</v>
      </c>
      <c r="U93" s="156"/>
      <c r="V93" s="612"/>
      <c r="W93" s="611"/>
      <c r="X93" s="156" t="s">
        <v>167</v>
      </c>
      <c r="Y93" s="156"/>
      <c r="Z93" s="612"/>
      <c r="AA93" s="156" t="s">
        <v>167</v>
      </c>
      <c r="AB93" s="156"/>
      <c r="AC93" s="156"/>
      <c r="AD93" s="613"/>
      <c r="AE93" s="128">
        <v>0</v>
      </c>
      <c r="AF93" s="156"/>
      <c r="AG93" s="156"/>
      <c r="AH93" s="613"/>
      <c r="AI93" s="489"/>
    </row>
    <row r="94" spans="1:35" ht="21.95" customHeight="1" x14ac:dyDescent="0.2">
      <c r="A94" s="1"/>
      <c r="B94" s="129" t="s">
        <v>326</v>
      </c>
      <c r="C94" s="611" t="s">
        <v>557</v>
      </c>
      <c r="D94" s="156"/>
      <c r="E94" s="156"/>
      <c r="F94" s="612"/>
      <c r="G94" s="611" t="s">
        <v>557</v>
      </c>
      <c r="H94" s="156"/>
      <c r="I94" s="156"/>
      <c r="J94" s="612"/>
      <c r="K94" s="121"/>
      <c r="L94" s="156" t="s">
        <v>167</v>
      </c>
      <c r="M94" s="156"/>
      <c r="N94" s="612"/>
      <c r="O94" s="121"/>
      <c r="P94" s="156" t="s">
        <v>167</v>
      </c>
      <c r="Q94" s="156"/>
      <c r="R94" s="612"/>
      <c r="S94" s="121"/>
      <c r="T94" s="156" t="s">
        <v>167</v>
      </c>
      <c r="U94" s="156"/>
      <c r="V94" s="612"/>
      <c r="W94" s="626" t="s">
        <v>560</v>
      </c>
      <c r="X94" s="134"/>
      <c r="Y94" s="134"/>
      <c r="Z94" s="627"/>
      <c r="AA94" s="626" t="s">
        <v>561</v>
      </c>
      <c r="AB94" s="134"/>
      <c r="AC94" s="134"/>
      <c r="AD94" s="628"/>
      <c r="AE94" s="128">
        <v>46</v>
      </c>
      <c r="AF94" s="156"/>
      <c r="AG94" s="156"/>
      <c r="AH94" s="613"/>
      <c r="AI94" s="489"/>
    </row>
    <row r="95" spans="1:35" ht="21.95" customHeight="1" x14ac:dyDescent="0.2">
      <c r="A95" s="1"/>
      <c r="B95" s="16" t="s">
        <v>236</v>
      </c>
      <c r="C95" s="618" t="s">
        <v>420</v>
      </c>
      <c r="D95" s="53"/>
      <c r="E95" s="53"/>
      <c r="F95" s="619"/>
      <c r="G95" s="618" t="s">
        <v>421</v>
      </c>
      <c r="H95" s="53"/>
      <c r="I95" s="53"/>
      <c r="J95" s="619"/>
      <c r="K95" s="618" t="s">
        <v>421</v>
      </c>
      <c r="L95" s="53"/>
      <c r="M95" s="53"/>
      <c r="N95" s="619"/>
      <c r="O95" s="618" t="s">
        <v>421</v>
      </c>
      <c r="P95" s="53"/>
      <c r="Q95" s="53"/>
      <c r="R95" s="619"/>
      <c r="S95" s="618" t="s">
        <v>422</v>
      </c>
      <c r="T95" s="53"/>
      <c r="U95" s="53"/>
      <c r="V95" s="620"/>
      <c r="W95" s="57"/>
      <c r="X95" s="620" t="s">
        <v>167</v>
      </c>
      <c r="Y95" s="53"/>
      <c r="Z95" s="619"/>
      <c r="AA95" s="57"/>
      <c r="AB95" s="620" t="s">
        <v>167</v>
      </c>
      <c r="AC95" s="53"/>
      <c r="AD95" s="619"/>
      <c r="AE95" s="629">
        <v>37.5</v>
      </c>
      <c r="AF95" s="53"/>
      <c r="AG95" s="53"/>
      <c r="AH95" s="620"/>
      <c r="AI95" s="544"/>
    </row>
    <row r="96" spans="1:35" ht="21.95" customHeight="1" x14ac:dyDescent="0.2">
      <c r="A96" s="621"/>
      <c r="B96" s="1"/>
      <c r="C96" s="360"/>
      <c r="D96" s="360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360"/>
      <c r="Q96" s="360"/>
      <c r="R96" s="360"/>
      <c r="S96" s="360"/>
      <c r="T96" s="360"/>
      <c r="U96" s="360"/>
      <c r="V96" s="360"/>
      <c r="W96" s="360"/>
      <c r="X96" s="360"/>
      <c r="Y96" s="360"/>
      <c r="Z96" s="360"/>
      <c r="AA96" s="360"/>
      <c r="AB96" s="360"/>
      <c r="AC96" s="360"/>
      <c r="AD96" s="360"/>
      <c r="AE96" s="360"/>
      <c r="AF96" s="360"/>
      <c r="AG96" s="360"/>
    </row>
    <row r="97" spans="1:35" ht="21.95" customHeight="1" x14ac:dyDescent="0.2">
      <c r="A97" s="585"/>
      <c r="B97" s="296" t="s">
        <v>469</v>
      </c>
      <c r="C97" s="177">
        <v>1</v>
      </c>
      <c r="D97" s="177">
        <v>2</v>
      </c>
      <c r="E97" s="177">
        <v>3</v>
      </c>
      <c r="F97" s="177">
        <v>4</v>
      </c>
      <c r="G97" s="177">
        <v>5</v>
      </c>
      <c r="H97" s="497">
        <v>6</v>
      </c>
      <c r="I97" s="497">
        <v>7</v>
      </c>
      <c r="J97" s="177">
        <v>8</v>
      </c>
      <c r="K97" s="177">
        <v>9</v>
      </c>
      <c r="L97" s="177">
        <v>10</v>
      </c>
      <c r="M97" s="177">
        <v>11</v>
      </c>
      <c r="N97" s="177">
        <v>12</v>
      </c>
      <c r="O97" s="497">
        <v>13</v>
      </c>
      <c r="P97" s="497">
        <v>14</v>
      </c>
      <c r="Q97" s="177">
        <v>15</v>
      </c>
      <c r="R97" s="177">
        <v>16</v>
      </c>
      <c r="S97" s="177">
        <v>17</v>
      </c>
      <c r="T97" s="177">
        <v>18</v>
      </c>
      <c r="U97" s="177">
        <v>19</v>
      </c>
      <c r="V97" s="497">
        <v>20</v>
      </c>
      <c r="W97" s="497">
        <v>21</v>
      </c>
      <c r="X97" s="177">
        <v>22</v>
      </c>
      <c r="Y97" s="177">
        <v>23</v>
      </c>
      <c r="Z97" s="177">
        <v>24</v>
      </c>
      <c r="AA97" s="177">
        <v>25</v>
      </c>
      <c r="AB97" s="177">
        <v>26</v>
      </c>
      <c r="AC97" s="497">
        <v>27</v>
      </c>
      <c r="AD97" s="497">
        <v>28</v>
      </c>
      <c r="AE97" s="177">
        <v>29</v>
      </c>
      <c r="AF97" s="177">
        <v>30</v>
      </c>
      <c r="AG97" s="177">
        <v>31</v>
      </c>
      <c r="AH97" s="499" t="s">
        <v>470</v>
      </c>
      <c r="AI97" s="500" t="s">
        <v>471</v>
      </c>
    </row>
    <row r="98" spans="1:35" ht="21.95" customHeight="1" x14ac:dyDescent="0.2">
      <c r="A98" s="622">
        <v>1</v>
      </c>
      <c r="B98" s="318" t="s">
        <v>562</v>
      </c>
      <c r="C98" s="553">
        <v>3</v>
      </c>
      <c r="D98" s="553">
        <v>3</v>
      </c>
      <c r="E98" s="553">
        <v>3</v>
      </c>
      <c r="F98" s="553">
        <v>3</v>
      </c>
      <c r="G98" s="553">
        <v>3</v>
      </c>
      <c r="H98" s="587" t="s">
        <v>475</v>
      </c>
      <c r="I98" s="587" t="s">
        <v>475</v>
      </c>
      <c r="J98" s="587" t="s">
        <v>475</v>
      </c>
      <c r="K98" s="587" t="s">
        <v>475</v>
      </c>
      <c r="L98" s="587" t="s">
        <v>522</v>
      </c>
      <c r="M98" s="587" t="s">
        <v>522</v>
      </c>
      <c r="N98" s="587" t="s">
        <v>522</v>
      </c>
      <c r="O98" s="587" t="s">
        <v>568</v>
      </c>
      <c r="P98" s="587" t="s">
        <v>569</v>
      </c>
      <c r="Q98" s="587" t="s">
        <v>475</v>
      </c>
      <c r="R98" s="587" t="s">
        <v>475</v>
      </c>
      <c r="S98" s="587" t="s">
        <v>475</v>
      </c>
      <c r="T98" s="587" t="s">
        <v>475</v>
      </c>
      <c r="U98" s="587" t="s">
        <v>475</v>
      </c>
      <c r="V98" s="587" t="s">
        <v>475</v>
      </c>
      <c r="W98" s="587" t="s">
        <v>475</v>
      </c>
      <c r="X98" s="587" t="s">
        <v>522</v>
      </c>
      <c r="Y98" s="587" t="s">
        <v>522</v>
      </c>
      <c r="Z98" s="587" t="s">
        <v>475</v>
      </c>
      <c r="AA98" s="587" t="s">
        <v>475</v>
      </c>
      <c r="AB98" s="587" t="s">
        <v>475</v>
      </c>
      <c r="AC98" s="587" t="s">
        <v>563</v>
      </c>
      <c r="AD98" s="587" t="s">
        <v>564</v>
      </c>
      <c r="AE98" s="553">
        <v>1</v>
      </c>
      <c r="AF98" s="553">
        <v>1</v>
      </c>
      <c r="AG98" s="553">
        <v>1</v>
      </c>
      <c r="AH98" s="505">
        <v>46</v>
      </c>
      <c r="AI98" s="506">
        <v>37</v>
      </c>
    </row>
    <row r="99" spans="1:35" ht="21.95" customHeight="1" x14ac:dyDescent="0.2">
      <c r="A99" s="622">
        <v>2</v>
      </c>
      <c r="B99" s="318" t="s">
        <v>570</v>
      </c>
      <c r="C99" s="587" t="s">
        <v>475</v>
      </c>
      <c r="D99" s="587" t="s">
        <v>475</v>
      </c>
      <c r="E99" s="587" t="s">
        <v>522</v>
      </c>
      <c r="F99" s="587" t="s">
        <v>522</v>
      </c>
      <c r="G99" s="587" t="s">
        <v>522</v>
      </c>
      <c r="H99" s="587" t="s">
        <v>568</v>
      </c>
      <c r="I99" s="587" t="s">
        <v>569</v>
      </c>
      <c r="J99" s="587" t="s">
        <v>475</v>
      </c>
      <c r="K99" s="587" t="s">
        <v>475</v>
      </c>
      <c r="L99" s="587" t="s">
        <v>475</v>
      </c>
      <c r="M99" s="587" t="s">
        <v>475</v>
      </c>
      <c r="N99" s="587" t="s">
        <v>475</v>
      </c>
      <c r="O99" s="587" t="s">
        <v>475</v>
      </c>
      <c r="P99" s="553" t="s">
        <v>475</v>
      </c>
      <c r="Q99" s="1064" t="s">
        <v>522</v>
      </c>
      <c r="R99" s="1064" t="s">
        <v>522</v>
      </c>
      <c r="S99" s="1064" t="s">
        <v>475</v>
      </c>
      <c r="T99" s="1064" t="s">
        <v>475</v>
      </c>
      <c r="U99" s="1060" t="s">
        <v>475</v>
      </c>
      <c r="V99" s="1075" t="s">
        <v>563</v>
      </c>
      <c r="W99" s="1060" t="s">
        <v>564</v>
      </c>
      <c r="X99" s="1060" t="s">
        <v>565</v>
      </c>
      <c r="Y99" s="1060" t="s">
        <v>566</v>
      </c>
      <c r="Z99" s="1060" t="s">
        <v>566</v>
      </c>
      <c r="AA99" s="1075" t="s">
        <v>566</v>
      </c>
      <c r="AB99" s="1060" t="s">
        <v>567</v>
      </c>
      <c r="AC99" s="1060" t="s">
        <v>475</v>
      </c>
      <c r="AD99" s="1075" t="s">
        <v>475</v>
      </c>
      <c r="AE99" s="1060" t="s">
        <v>475</v>
      </c>
      <c r="AF99" s="1060" t="s">
        <v>475</v>
      </c>
      <c r="AG99" s="1060" t="s">
        <v>522</v>
      </c>
      <c r="AH99" s="505">
        <v>101.5</v>
      </c>
      <c r="AI99" s="506">
        <v>37</v>
      </c>
    </row>
    <row r="100" spans="1:35" ht="21.95" customHeight="1" x14ac:dyDescent="0.2">
      <c r="A100" s="622">
        <v>3</v>
      </c>
      <c r="B100" s="552" t="s">
        <v>572</v>
      </c>
      <c r="C100" s="587" t="s">
        <v>522</v>
      </c>
      <c r="D100" s="587" t="s">
        <v>522</v>
      </c>
      <c r="E100" s="587" t="s">
        <v>475</v>
      </c>
      <c r="F100" s="587" t="s">
        <v>475</v>
      </c>
      <c r="G100" s="587" t="s">
        <v>475</v>
      </c>
      <c r="H100" s="588" t="s">
        <v>563</v>
      </c>
      <c r="I100" s="587" t="s">
        <v>564</v>
      </c>
      <c r="J100" s="1060" t="s">
        <v>565</v>
      </c>
      <c r="K100" s="1060" t="s">
        <v>566</v>
      </c>
      <c r="L100" s="1060" t="s">
        <v>566</v>
      </c>
      <c r="M100" s="1075" t="s">
        <v>566</v>
      </c>
      <c r="N100" s="1060" t="s">
        <v>567</v>
      </c>
      <c r="O100" s="587" t="s">
        <v>475</v>
      </c>
      <c r="P100" s="587" t="s">
        <v>475</v>
      </c>
      <c r="Q100" s="587" t="s">
        <v>475</v>
      </c>
      <c r="R100" s="587" t="s">
        <v>475</v>
      </c>
      <c r="S100" s="587" t="s">
        <v>522</v>
      </c>
      <c r="T100" s="588" t="s">
        <v>522</v>
      </c>
      <c r="U100" s="587" t="s">
        <v>522</v>
      </c>
      <c r="V100" s="587" t="s">
        <v>568</v>
      </c>
      <c r="W100" s="588" t="s">
        <v>569</v>
      </c>
      <c r="X100" s="587" t="s">
        <v>475</v>
      </c>
      <c r="Y100" s="587" t="s">
        <v>475</v>
      </c>
      <c r="Z100" s="587" t="s">
        <v>475</v>
      </c>
      <c r="AA100" s="587" t="s">
        <v>475</v>
      </c>
      <c r="AB100" s="587" t="s">
        <v>475</v>
      </c>
      <c r="AC100" s="587" t="s">
        <v>475</v>
      </c>
      <c r="AD100" s="588" t="s">
        <v>475</v>
      </c>
      <c r="AE100" s="587" t="s">
        <v>522</v>
      </c>
      <c r="AF100" s="587" t="s">
        <v>522</v>
      </c>
      <c r="AG100" s="587" t="s">
        <v>475</v>
      </c>
      <c r="AH100" s="651">
        <v>46</v>
      </c>
      <c r="AI100" s="523">
        <v>37</v>
      </c>
    </row>
    <row r="101" spans="1:35" ht="21.95" customHeight="1" x14ac:dyDescent="0.2">
      <c r="A101" s="622">
        <v>4</v>
      </c>
      <c r="B101" s="552" t="s">
        <v>573</v>
      </c>
      <c r="C101" s="587" t="s">
        <v>475</v>
      </c>
      <c r="D101" s="587" t="s">
        <v>475</v>
      </c>
      <c r="E101" s="587" t="s">
        <v>475</v>
      </c>
      <c r="F101" s="587" t="s">
        <v>475</v>
      </c>
      <c r="G101" s="587" t="s">
        <v>475</v>
      </c>
      <c r="H101" s="587" t="s">
        <v>475</v>
      </c>
      <c r="I101" s="587" t="s">
        <v>475</v>
      </c>
      <c r="J101" s="587" t="s">
        <v>522</v>
      </c>
      <c r="K101" s="587" t="s">
        <v>522</v>
      </c>
      <c r="L101" s="587" t="s">
        <v>475</v>
      </c>
      <c r="M101" s="587" t="s">
        <v>475</v>
      </c>
      <c r="N101" s="587" t="s">
        <v>475</v>
      </c>
      <c r="O101" s="588" t="s">
        <v>563</v>
      </c>
      <c r="P101" s="587" t="s">
        <v>564</v>
      </c>
      <c r="Q101" s="553">
        <v>1</v>
      </c>
      <c r="R101" s="565">
        <v>1</v>
      </c>
      <c r="S101" s="565">
        <v>1</v>
      </c>
      <c r="T101" s="565">
        <v>1</v>
      </c>
      <c r="U101" s="553">
        <v>1</v>
      </c>
      <c r="V101" s="587" t="s">
        <v>475</v>
      </c>
      <c r="W101" s="587" t="s">
        <v>475</v>
      </c>
      <c r="X101" s="587" t="s">
        <v>475</v>
      </c>
      <c r="Y101" s="587" t="s">
        <v>475</v>
      </c>
      <c r="Z101" s="587" t="s">
        <v>522</v>
      </c>
      <c r="AA101" s="588" t="s">
        <v>522</v>
      </c>
      <c r="AB101" s="587" t="s">
        <v>522</v>
      </c>
      <c r="AC101" s="587" t="s">
        <v>568</v>
      </c>
      <c r="AD101" s="588" t="s">
        <v>569</v>
      </c>
      <c r="AE101" s="587" t="s">
        <v>475</v>
      </c>
      <c r="AF101" s="587" t="s">
        <v>475</v>
      </c>
      <c r="AG101" s="587" t="s">
        <v>475</v>
      </c>
      <c r="AH101" s="651">
        <v>185</v>
      </c>
      <c r="AI101" s="523">
        <v>37</v>
      </c>
    </row>
    <row r="102" spans="1:35" ht="21.95" customHeight="1" x14ac:dyDescent="0.2">
      <c r="A102" s="623"/>
      <c r="B102" s="630"/>
      <c r="C102" s="590"/>
      <c r="D102" s="590"/>
      <c r="E102" s="590"/>
      <c r="F102" s="590"/>
      <c r="G102" s="590"/>
      <c r="H102" s="590"/>
      <c r="I102" s="590"/>
      <c r="J102" s="590"/>
      <c r="K102" s="590"/>
      <c r="L102" s="590"/>
      <c r="M102" s="590"/>
      <c r="N102" s="590"/>
      <c r="O102" s="590"/>
      <c r="P102" s="590"/>
      <c r="Q102" s="590"/>
      <c r="R102" s="590"/>
      <c r="S102" s="590"/>
      <c r="T102" s="590"/>
      <c r="U102" s="590"/>
      <c r="V102" s="590"/>
      <c r="W102" s="590"/>
      <c r="X102" s="590"/>
      <c r="Y102" s="590"/>
      <c r="Z102" s="590"/>
      <c r="AA102" s="590"/>
      <c r="AB102" s="590"/>
      <c r="AC102" s="590"/>
      <c r="AD102" s="590"/>
      <c r="AE102" s="590"/>
      <c r="AF102" s="590"/>
      <c r="AG102" s="590"/>
      <c r="AH102" s="591"/>
      <c r="AI102" s="591"/>
    </row>
    <row r="103" spans="1:35" ht="21.95" customHeight="1" x14ac:dyDescent="0.2">
      <c r="A103" s="1" t="s">
        <v>574</v>
      </c>
      <c r="D103" s="360"/>
      <c r="E103" s="360"/>
      <c r="F103" s="360"/>
      <c r="G103" s="570"/>
      <c r="H103" s="360"/>
      <c r="I103" s="360"/>
      <c r="J103" s="360"/>
      <c r="K103" s="360"/>
      <c r="L103" s="360"/>
      <c r="M103" s="360"/>
      <c r="N103" s="360"/>
      <c r="O103" s="360"/>
      <c r="P103" s="360"/>
      <c r="Q103" s="360"/>
      <c r="R103" s="360"/>
      <c r="S103" s="360"/>
      <c r="T103" s="360"/>
      <c r="U103" s="360"/>
      <c r="V103" s="360"/>
      <c r="W103" s="360"/>
      <c r="X103" s="360"/>
      <c r="Y103" s="360"/>
      <c r="Z103" s="360"/>
      <c r="AA103" s="360"/>
      <c r="AB103" s="360"/>
      <c r="AC103" s="360"/>
      <c r="AD103" s="360"/>
      <c r="AE103" s="360"/>
      <c r="AF103" s="360"/>
      <c r="AG103" s="360"/>
    </row>
    <row r="104" spans="1:35" ht="21.95" customHeight="1" x14ac:dyDescent="0.2">
      <c r="A104" s="1"/>
      <c r="B104" s="23" t="s">
        <v>556</v>
      </c>
      <c r="C104" s="7"/>
      <c r="D104" s="530" t="s">
        <v>2</v>
      </c>
      <c r="E104" s="51"/>
      <c r="F104" s="573"/>
      <c r="G104" s="7"/>
      <c r="H104" s="530" t="s">
        <v>3</v>
      </c>
      <c r="I104" s="51"/>
      <c r="J104" s="573"/>
      <c r="K104" s="7"/>
      <c r="L104" s="530" t="s">
        <v>4</v>
      </c>
      <c r="M104" s="51"/>
      <c r="N104" s="573"/>
      <c r="O104" s="7"/>
      <c r="P104" s="530" t="s">
        <v>5</v>
      </c>
      <c r="Q104" s="51"/>
      <c r="R104" s="573"/>
      <c r="S104" s="7"/>
      <c r="T104" s="530" t="s">
        <v>6</v>
      </c>
      <c r="U104" s="51"/>
      <c r="V104" s="573"/>
      <c r="W104" s="7"/>
      <c r="X104" s="530" t="s">
        <v>7</v>
      </c>
      <c r="Y104" s="51"/>
      <c r="Z104" s="573"/>
      <c r="AA104" s="7"/>
      <c r="AB104" s="530" t="s">
        <v>8</v>
      </c>
      <c r="AC104" s="51"/>
      <c r="AD104" s="51"/>
      <c r="AE104" s="424" t="s">
        <v>10</v>
      </c>
      <c r="AF104" s="51"/>
      <c r="AG104" s="51"/>
      <c r="AH104" s="51"/>
      <c r="AI104" s="531"/>
    </row>
    <row r="105" spans="1:35" ht="21.95" customHeight="1" x14ac:dyDescent="0.2">
      <c r="A105" s="1"/>
      <c r="B105" s="129" t="s">
        <v>324</v>
      </c>
      <c r="C105" s="121" t="s">
        <v>697</v>
      </c>
      <c r="D105" s="156"/>
      <c r="E105" s="156"/>
      <c r="F105" s="612"/>
      <c r="G105" s="121" t="s">
        <v>697</v>
      </c>
      <c r="H105" s="156"/>
      <c r="I105" s="156"/>
      <c r="J105" s="612"/>
      <c r="K105" s="121" t="s">
        <v>697</v>
      </c>
      <c r="L105" s="156"/>
      <c r="M105" s="156"/>
      <c r="N105" s="612"/>
      <c r="O105" s="121" t="s">
        <v>697</v>
      </c>
      <c r="P105" s="156"/>
      <c r="Q105" s="156"/>
      <c r="R105" s="612"/>
      <c r="S105" s="121" t="s">
        <v>698</v>
      </c>
      <c r="T105" s="156"/>
      <c r="U105" s="156"/>
      <c r="V105" s="612"/>
      <c r="W105" s="121"/>
      <c r="X105" s="156"/>
      <c r="Y105" s="156"/>
      <c r="Z105" s="612"/>
      <c r="AA105" s="611"/>
      <c r="AB105" s="156"/>
      <c r="AC105" s="156"/>
      <c r="AD105" s="613"/>
      <c r="AE105" s="128"/>
      <c r="AF105" s="156"/>
      <c r="AG105" s="156" t="s">
        <v>28</v>
      </c>
      <c r="AH105" s="613"/>
      <c r="AI105" s="489"/>
    </row>
    <row r="106" spans="1:35" ht="21.95" customHeight="1" x14ac:dyDescent="0.2">
      <c r="A106" s="1"/>
      <c r="B106" s="129" t="s">
        <v>325</v>
      </c>
      <c r="C106" s="121" t="s">
        <v>699</v>
      </c>
      <c r="D106" s="156"/>
      <c r="E106" s="156"/>
      <c r="F106" s="612"/>
      <c r="G106" s="121" t="s">
        <v>699</v>
      </c>
      <c r="H106" s="156"/>
      <c r="I106" s="156"/>
      <c r="J106" s="612"/>
      <c r="K106" s="121" t="s">
        <v>699</v>
      </c>
      <c r="L106" s="156"/>
      <c r="M106" s="156"/>
      <c r="N106" s="612"/>
      <c r="O106" s="121" t="s">
        <v>699</v>
      </c>
      <c r="P106" s="156"/>
      <c r="Q106" s="156"/>
      <c r="R106" s="612"/>
      <c r="S106" s="121" t="s">
        <v>700</v>
      </c>
      <c r="T106" s="156"/>
      <c r="U106" s="156"/>
      <c r="V106" s="612"/>
      <c r="W106" s="121" t="s">
        <v>701</v>
      </c>
      <c r="X106" s="156"/>
      <c r="Y106" s="156"/>
      <c r="Z106" s="612"/>
      <c r="AA106" s="156"/>
      <c r="AB106" s="156"/>
      <c r="AC106" s="156"/>
      <c r="AD106" s="613"/>
      <c r="AE106" s="128"/>
      <c r="AF106" s="156"/>
      <c r="AG106" s="156"/>
      <c r="AH106" s="613"/>
      <c r="AI106" s="489"/>
    </row>
    <row r="107" spans="1:35" ht="21.95" customHeight="1" x14ac:dyDescent="0.2">
      <c r="A107" s="1"/>
      <c r="B107" s="129" t="s">
        <v>326</v>
      </c>
      <c r="C107" s="121" t="s">
        <v>295</v>
      </c>
      <c r="D107" s="156"/>
      <c r="E107" s="156"/>
      <c r="F107" s="612"/>
      <c r="G107" s="121" t="s">
        <v>295</v>
      </c>
      <c r="H107" s="156"/>
      <c r="I107" s="156"/>
      <c r="J107" s="612"/>
      <c r="K107" s="121" t="s">
        <v>295</v>
      </c>
      <c r="L107" s="156"/>
      <c r="M107" s="156"/>
      <c r="N107" s="612"/>
      <c r="O107" s="121" t="s">
        <v>295</v>
      </c>
      <c r="P107" s="156"/>
      <c r="Q107" s="156"/>
      <c r="R107" s="612"/>
      <c r="S107" s="121" t="s">
        <v>296</v>
      </c>
      <c r="T107" s="156"/>
      <c r="U107" s="156"/>
      <c r="V107" s="612"/>
      <c r="W107" s="631" t="s">
        <v>702</v>
      </c>
      <c r="X107" s="134"/>
      <c r="Y107" s="134"/>
      <c r="Z107" s="627"/>
      <c r="AA107" s="626"/>
      <c r="AB107" s="134"/>
      <c r="AC107" s="134"/>
      <c r="AD107" s="628"/>
      <c r="AE107" s="128"/>
      <c r="AF107" s="156"/>
      <c r="AG107" s="156"/>
      <c r="AH107" s="613"/>
      <c r="AI107" s="489"/>
    </row>
    <row r="108" spans="1:35" ht="21.95" customHeight="1" x14ac:dyDescent="0.2">
      <c r="A108" s="1"/>
      <c r="B108" s="16" t="s">
        <v>236</v>
      </c>
      <c r="C108" s="57" t="s">
        <v>295</v>
      </c>
      <c r="D108" s="53"/>
      <c r="E108" s="53"/>
      <c r="F108" s="619"/>
      <c r="G108" s="57" t="s">
        <v>295</v>
      </c>
      <c r="H108" s="53"/>
      <c r="I108" s="53"/>
      <c r="J108" s="619"/>
      <c r="K108" s="57" t="s">
        <v>295</v>
      </c>
      <c r="L108" s="53"/>
      <c r="M108" s="53"/>
      <c r="N108" s="619"/>
      <c r="O108" s="57" t="s">
        <v>295</v>
      </c>
      <c r="P108" s="53"/>
      <c r="Q108" s="53"/>
      <c r="R108" s="619"/>
      <c r="S108" s="57" t="s">
        <v>67</v>
      </c>
      <c r="T108" s="53"/>
      <c r="U108" s="53"/>
      <c r="V108" s="620"/>
      <c r="W108" s="57"/>
      <c r="X108" s="620"/>
      <c r="Y108" s="53"/>
      <c r="Z108" s="619"/>
      <c r="AA108" s="57"/>
      <c r="AB108" s="620"/>
      <c r="AC108" s="53"/>
      <c r="AD108" s="619"/>
      <c r="AE108" s="629"/>
      <c r="AF108" s="53"/>
      <c r="AG108" s="53"/>
      <c r="AH108" s="620"/>
      <c r="AI108" s="544"/>
    </row>
    <row r="109" spans="1:35" ht="21.95" customHeight="1" x14ac:dyDescent="0.2">
      <c r="A109" s="621"/>
      <c r="B109" s="1"/>
      <c r="C109" s="360"/>
      <c r="D109" s="360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360"/>
      <c r="Q109" s="360"/>
      <c r="R109" s="360"/>
      <c r="S109" s="360"/>
      <c r="T109" s="360"/>
      <c r="U109" s="360"/>
      <c r="V109" s="360"/>
      <c r="W109" s="360"/>
      <c r="X109" s="360"/>
      <c r="Y109" s="360"/>
      <c r="Z109" s="360"/>
      <c r="AA109" s="360"/>
      <c r="AB109" s="360"/>
      <c r="AC109" s="360"/>
      <c r="AD109" s="360"/>
      <c r="AE109" s="360"/>
      <c r="AF109" s="360"/>
      <c r="AG109" s="360"/>
    </row>
    <row r="110" spans="1:35" ht="21.95" customHeight="1" x14ac:dyDescent="0.2">
      <c r="A110" s="585"/>
      <c r="B110" s="296" t="s">
        <v>469</v>
      </c>
      <c r="C110" s="177">
        <v>1</v>
      </c>
      <c r="D110" s="177">
        <v>2</v>
      </c>
      <c r="E110" s="177">
        <v>3</v>
      </c>
      <c r="F110" s="177">
        <v>4</v>
      </c>
      <c r="G110" s="177">
        <v>5</v>
      </c>
      <c r="H110" s="497">
        <v>6</v>
      </c>
      <c r="I110" s="497">
        <v>7</v>
      </c>
      <c r="J110" s="177">
        <v>8</v>
      </c>
      <c r="K110" s="177">
        <v>9</v>
      </c>
      <c r="L110" s="177">
        <v>10</v>
      </c>
      <c r="M110" s="177">
        <v>11</v>
      </c>
      <c r="N110" s="177">
        <v>12</v>
      </c>
      <c r="O110" s="497">
        <v>13</v>
      </c>
      <c r="P110" s="497">
        <v>14</v>
      </c>
      <c r="Q110" s="177">
        <v>15</v>
      </c>
      <c r="R110" s="177">
        <v>16</v>
      </c>
      <c r="S110" s="177">
        <v>17</v>
      </c>
      <c r="T110" s="177">
        <v>18</v>
      </c>
      <c r="U110" s="177">
        <v>19</v>
      </c>
      <c r="V110" s="497">
        <v>20</v>
      </c>
      <c r="W110" s="497">
        <v>21</v>
      </c>
      <c r="X110" s="177">
        <v>22</v>
      </c>
      <c r="Y110" s="177">
        <v>23</v>
      </c>
      <c r="Z110" s="177">
        <v>24</v>
      </c>
      <c r="AA110" s="177">
        <v>25</v>
      </c>
      <c r="AB110" s="177">
        <v>26</v>
      </c>
      <c r="AC110" s="497">
        <v>27</v>
      </c>
      <c r="AD110" s="497">
        <v>28</v>
      </c>
      <c r="AE110" s="177">
        <v>29</v>
      </c>
      <c r="AF110" s="177">
        <v>30</v>
      </c>
      <c r="AG110" s="177">
        <v>31</v>
      </c>
      <c r="AH110" s="499" t="s">
        <v>470</v>
      </c>
      <c r="AI110" s="500" t="s">
        <v>471</v>
      </c>
    </row>
    <row r="111" spans="1:35" ht="21.95" customHeight="1" x14ac:dyDescent="0.2">
      <c r="A111" s="622">
        <v>1</v>
      </c>
      <c r="B111" s="552" t="s">
        <v>530</v>
      </c>
      <c r="C111" s="587">
        <v>1</v>
      </c>
      <c r="D111" s="553">
        <v>1</v>
      </c>
      <c r="E111" s="553">
        <v>1</v>
      </c>
      <c r="F111" s="553">
        <v>1</v>
      </c>
      <c r="G111" s="553">
        <v>1</v>
      </c>
      <c r="H111" s="553"/>
      <c r="I111" s="587"/>
      <c r="J111" s="587">
        <v>2</v>
      </c>
      <c r="K111" s="553">
        <v>2</v>
      </c>
      <c r="L111" s="1083">
        <v>2</v>
      </c>
      <c r="M111" s="553">
        <v>2</v>
      </c>
      <c r="N111" s="553">
        <v>2</v>
      </c>
      <c r="O111" s="553">
        <v>2</v>
      </c>
      <c r="P111" s="553"/>
      <c r="Q111" s="587">
        <v>1</v>
      </c>
      <c r="R111" s="553">
        <v>1</v>
      </c>
      <c r="S111" s="1083">
        <v>1</v>
      </c>
      <c r="T111" s="1083">
        <v>1</v>
      </c>
      <c r="U111" s="1083">
        <v>1</v>
      </c>
      <c r="V111" s="553"/>
      <c r="W111" s="587"/>
      <c r="X111" s="1060">
        <v>2</v>
      </c>
      <c r="Y111" s="1064">
        <v>2</v>
      </c>
      <c r="Z111" s="1064">
        <v>2</v>
      </c>
      <c r="AA111" s="1064">
        <v>2</v>
      </c>
      <c r="AB111" s="1064">
        <v>2</v>
      </c>
      <c r="AC111" s="1064">
        <v>2</v>
      </c>
      <c r="AD111" s="1064"/>
      <c r="AE111" s="1060">
        <v>1</v>
      </c>
      <c r="AF111" s="1064">
        <v>1</v>
      </c>
      <c r="AG111" s="1064">
        <v>1</v>
      </c>
      <c r="AH111" s="505">
        <v>185</v>
      </c>
      <c r="AI111" s="506">
        <v>37</v>
      </c>
    </row>
    <row r="112" spans="1:35" ht="21.95" customHeight="1" x14ac:dyDescent="0.2">
      <c r="A112" s="622">
        <v>2</v>
      </c>
      <c r="B112" s="318" t="s">
        <v>583</v>
      </c>
      <c r="C112" s="587">
        <v>2</v>
      </c>
      <c r="D112" s="553">
        <v>2</v>
      </c>
      <c r="E112" s="553">
        <v>2</v>
      </c>
      <c r="F112" s="1116">
        <v>2</v>
      </c>
      <c r="G112" s="1116">
        <v>2</v>
      </c>
      <c r="H112" s="1116">
        <v>2</v>
      </c>
      <c r="I112" s="1116"/>
      <c r="J112" s="1340">
        <v>1</v>
      </c>
      <c r="K112" s="1116">
        <v>1</v>
      </c>
      <c r="L112" s="1116">
        <v>1</v>
      </c>
      <c r="M112" s="1116">
        <v>1</v>
      </c>
      <c r="N112" s="1116">
        <v>1</v>
      </c>
      <c r="O112" s="1116"/>
      <c r="P112" s="1340"/>
      <c r="Q112" s="1340">
        <v>2</v>
      </c>
      <c r="R112" s="1116">
        <v>2</v>
      </c>
      <c r="S112" s="1116">
        <v>2</v>
      </c>
      <c r="T112" s="1116">
        <v>2</v>
      </c>
      <c r="U112" s="1116">
        <v>2</v>
      </c>
      <c r="V112" s="1116">
        <v>2</v>
      </c>
      <c r="W112" s="1116"/>
      <c r="X112" s="1340">
        <v>1</v>
      </c>
      <c r="Y112" s="1116">
        <v>1</v>
      </c>
      <c r="Z112" s="1116">
        <v>1</v>
      </c>
      <c r="AA112" s="1116">
        <v>1</v>
      </c>
      <c r="AB112" s="1116">
        <v>1</v>
      </c>
      <c r="AC112" s="1116"/>
      <c r="AD112" s="1340"/>
      <c r="AE112" s="1340">
        <v>2</v>
      </c>
      <c r="AF112" s="1116">
        <v>2</v>
      </c>
      <c r="AG112" s="1116">
        <v>2</v>
      </c>
      <c r="AH112" s="505">
        <v>185</v>
      </c>
      <c r="AI112" s="506">
        <v>37</v>
      </c>
    </row>
    <row r="113" spans="1:38" ht="21.95" customHeight="1" x14ac:dyDescent="0.2">
      <c r="A113" s="622">
        <v>3</v>
      </c>
      <c r="B113" s="552" t="s">
        <v>289</v>
      </c>
      <c r="C113" s="587">
        <v>3</v>
      </c>
      <c r="D113" s="587">
        <v>3</v>
      </c>
      <c r="E113" s="587">
        <v>3</v>
      </c>
      <c r="F113" s="587">
        <v>3</v>
      </c>
      <c r="G113" s="587">
        <v>3</v>
      </c>
      <c r="H113" s="587">
        <v>3</v>
      </c>
      <c r="I113" s="587"/>
      <c r="J113" s="587">
        <v>4</v>
      </c>
      <c r="K113" s="587">
        <v>4</v>
      </c>
      <c r="L113" s="587">
        <v>4</v>
      </c>
      <c r="M113" s="587">
        <v>4</v>
      </c>
      <c r="N113" s="587">
        <v>4</v>
      </c>
      <c r="O113" s="587"/>
      <c r="P113" s="587"/>
      <c r="Q113" s="587">
        <v>3</v>
      </c>
      <c r="R113" s="587">
        <v>3</v>
      </c>
      <c r="S113" s="587">
        <v>3</v>
      </c>
      <c r="T113" s="587">
        <v>3</v>
      </c>
      <c r="U113" s="587">
        <v>3</v>
      </c>
      <c r="V113" s="587">
        <v>3</v>
      </c>
      <c r="W113" s="587"/>
      <c r="X113" s="587">
        <v>4</v>
      </c>
      <c r="Y113" s="553">
        <v>4</v>
      </c>
      <c r="Z113" s="553">
        <v>4</v>
      </c>
      <c r="AA113" s="553">
        <v>4</v>
      </c>
      <c r="AB113" s="553">
        <v>4</v>
      </c>
      <c r="AC113" s="553"/>
      <c r="AD113" s="587"/>
      <c r="AE113" s="587">
        <v>3</v>
      </c>
      <c r="AF113" s="587">
        <v>3</v>
      </c>
      <c r="AG113" s="587">
        <v>3</v>
      </c>
      <c r="AH113" s="651">
        <v>185</v>
      </c>
      <c r="AI113" s="523">
        <v>37</v>
      </c>
    </row>
    <row r="114" spans="1:38" ht="21.95" customHeight="1" x14ac:dyDescent="0.2">
      <c r="A114" s="622">
        <v>4</v>
      </c>
      <c r="B114" s="552" t="s">
        <v>584</v>
      </c>
      <c r="C114" s="1060">
        <v>4</v>
      </c>
      <c r="D114" s="1060">
        <v>4</v>
      </c>
      <c r="E114" s="1060">
        <v>4</v>
      </c>
      <c r="F114" s="1060">
        <v>4</v>
      </c>
      <c r="G114" s="1060">
        <v>4</v>
      </c>
      <c r="H114" s="1060"/>
      <c r="I114" s="1060"/>
      <c r="J114" s="1060">
        <v>3</v>
      </c>
      <c r="K114" s="1060">
        <v>3</v>
      </c>
      <c r="L114" s="1060">
        <v>3</v>
      </c>
      <c r="M114" s="1060">
        <v>3</v>
      </c>
      <c r="N114" s="1060">
        <v>3</v>
      </c>
      <c r="O114" s="1060">
        <v>3</v>
      </c>
      <c r="P114" s="1060"/>
      <c r="Q114" s="587">
        <v>4</v>
      </c>
      <c r="R114" s="587">
        <v>4</v>
      </c>
      <c r="S114" s="587">
        <v>4</v>
      </c>
      <c r="T114" s="587">
        <v>4</v>
      </c>
      <c r="U114" s="587">
        <v>4</v>
      </c>
      <c r="V114" s="587"/>
      <c r="W114" s="587"/>
      <c r="X114" s="1085">
        <v>3</v>
      </c>
      <c r="Y114" s="553">
        <v>3</v>
      </c>
      <c r="Z114" s="553">
        <v>3</v>
      </c>
      <c r="AA114" s="553">
        <v>3</v>
      </c>
      <c r="AB114" s="553">
        <v>3</v>
      </c>
      <c r="AC114" s="553">
        <v>3</v>
      </c>
      <c r="AD114" s="553"/>
      <c r="AE114" s="587">
        <v>4</v>
      </c>
      <c r="AF114" s="587">
        <v>4</v>
      </c>
      <c r="AG114" s="587">
        <v>4</v>
      </c>
      <c r="AH114" s="651">
        <v>85</v>
      </c>
      <c r="AI114" s="523">
        <v>37</v>
      </c>
    </row>
    <row r="115" spans="1:38" ht="21.95" customHeight="1" x14ac:dyDescent="0.2">
      <c r="A115" s="621"/>
      <c r="B115" s="677"/>
      <c r="C115" s="590"/>
      <c r="D115" s="590"/>
      <c r="E115" s="590"/>
      <c r="F115" s="590"/>
      <c r="G115" s="590"/>
      <c r="H115" s="590"/>
      <c r="I115" s="590"/>
      <c r="J115" s="590"/>
      <c r="K115" s="525"/>
      <c r="L115" s="590"/>
      <c r="M115" s="590"/>
      <c r="N115" s="590"/>
      <c r="O115" s="590"/>
      <c r="P115" s="546"/>
      <c r="Q115" s="546"/>
      <c r="R115" s="546"/>
      <c r="S115" s="590"/>
      <c r="T115" s="590"/>
      <c r="U115" s="590"/>
      <c r="V115" s="590"/>
      <c r="W115" s="590"/>
      <c r="X115" s="590"/>
      <c r="Y115" s="590"/>
      <c r="Z115" s="590"/>
      <c r="AA115" s="590"/>
      <c r="AB115" s="590"/>
      <c r="AC115" s="590"/>
      <c r="AD115" s="590"/>
      <c r="AE115" s="590"/>
      <c r="AF115" s="590"/>
      <c r="AG115" s="590"/>
      <c r="AH115" s="591"/>
      <c r="AI115" s="591"/>
    </row>
    <row r="116" spans="1:38" ht="21.95" customHeight="1" x14ac:dyDescent="0.2">
      <c r="A116" s="311" t="s">
        <v>585</v>
      </c>
      <c r="C116" s="590"/>
      <c r="D116" s="590"/>
      <c r="E116" s="590"/>
      <c r="F116" s="590"/>
      <c r="G116" s="590"/>
      <c r="H116" s="590"/>
      <c r="I116" s="590"/>
      <c r="J116" s="590"/>
      <c r="K116" s="590"/>
      <c r="L116" s="590"/>
      <c r="M116" s="590"/>
      <c r="N116" s="590"/>
      <c r="O116" s="590"/>
      <c r="P116" s="590"/>
      <c r="Q116" s="590"/>
      <c r="R116" s="590"/>
      <c r="S116" s="590"/>
      <c r="T116" s="590"/>
      <c r="U116" s="590"/>
      <c r="V116" s="590"/>
      <c r="W116" s="590"/>
      <c r="X116" s="590"/>
      <c r="Y116" s="590"/>
      <c r="Z116" s="590"/>
      <c r="AA116" s="590"/>
      <c r="AB116" s="590"/>
      <c r="AC116" s="590"/>
      <c r="AD116" s="590"/>
      <c r="AE116" s="590"/>
      <c r="AF116" s="590"/>
      <c r="AG116" s="590"/>
      <c r="AH116" s="591"/>
      <c r="AI116" s="591"/>
      <c r="AJ116" s="360"/>
    </row>
    <row r="117" spans="1:38" ht="21.95" customHeight="1" x14ac:dyDescent="0.2">
      <c r="A117" s="298" t="s">
        <v>468</v>
      </c>
      <c r="B117" s="298"/>
      <c r="C117" s="152"/>
      <c r="D117" s="298" t="s">
        <v>2</v>
      </c>
      <c r="E117" s="185"/>
      <c r="F117" s="152"/>
      <c r="G117" s="298" t="s">
        <v>3</v>
      </c>
      <c r="H117" s="185"/>
      <c r="I117" s="152"/>
      <c r="J117" s="298" t="s">
        <v>4</v>
      </c>
      <c r="K117" s="185"/>
      <c r="L117" s="152"/>
      <c r="M117" s="298" t="s">
        <v>5</v>
      </c>
      <c r="N117" s="185"/>
      <c r="O117" s="152"/>
      <c r="P117" s="298" t="s">
        <v>6</v>
      </c>
      <c r="Q117" s="185"/>
      <c r="R117" s="133"/>
      <c r="S117" s="198" t="s">
        <v>7</v>
      </c>
      <c r="T117" s="185"/>
      <c r="U117" s="152"/>
      <c r="V117" s="298" t="s">
        <v>8</v>
      </c>
      <c r="W117" s="185"/>
      <c r="X117" s="632" t="s">
        <v>10</v>
      </c>
      <c r="Y117" s="185"/>
      <c r="Z117" s="185"/>
      <c r="AA117" s="598"/>
      <c r="AB117" s="482"/>
      <c r="AC117" s="482"/>
      <c r="AD117" s="482"/>
      <c r="AE117" s="482"/>
      <c r="AF117" s="482"/>
      <c r="AG117" s="483"/>
      <c r="AH117" s="360"/>
      <c r="AI117" s="360"/>
      <c r="AJ117" s="360"/>
    </row>
    <row r="118" spans="1:38" ht="21.95" customHeight="1" x14ac:dyDescent="0.2">
      <c r="A118" s="1786">
        <v>8517</v>
      </c>
      <c r="B118" s="501" t="s">
        <v>586</v>
      </c>
      <c r="C118" s="631" t="s">
        <v>124</v>
      </c>
      <c r="D118" s="628"/>
      <c r="E118" s="633"/>
      <c r="F118" s="631" t="s">
        <v>124</v>
      </c>
      <c r="G118" s="634"/>
      <c r="H118" s="633"/>
      <c r="I118" s="121" t="s">
        <v>124</v>
      </c>
      <c r="J118" s="613"/>
      <c r="K118" s="635"/>
      <c r="L118" s="121" t="s">
        <v>124</v>
      </c>
      <c r="M118" s="613"/>
      <c r="N118" s="635"/>
      <c r="O118" s="121" t="s">
        <v>125</v>
      </c>
      <c r="P118" s="613"/>
      <c r="Q118" s="476"/>
      <c r="R118" s="636" t="s">
        <v>28</v>
      </c>
      <c r="S118" s="613"/>
      <c r="T118" s="635"/>
      <c r="U118" s="613" t="s">
        <v>28</v>
      </c>
      <c r="V118" s="613"/>
      <c r="W118" s="476"/>
      <c r="X118" s="144" t="s">
        <v>28</v>
      </c>
      <c r="Y118" s="360"/>
      <c r="Z118" s="360"/>
      <c r="AA118" s="360"/>
      <c r="AB118" s="360"/>
      <c r="AC118" s="360"/>
      <c r="AD118" s="360"/>
      <c r="AE118" s="360"/>
      <c r="AF118" s="360"/>
      <c r="AG118" s="637"/>
      <c r="AH118" s="360"/>
      <c r="AI118" s="360"/>
      <c r="AJ118" s="360"/>
    </row>
    <row r="119" spans="1:38" ht="21.95" customHeight="1" x14ac:dyDescent="0.2">
      <c r="A119" s="638">
        <v>8502</v>
      </c>
      <c r="B119" s="639" t="s">
        <v>587</v>
      </c>
      <c r="C119" s="121" t="s">
        <v>11</v>
      </c>
      <c r="D119" s="613"/>
      <c r="E119" s="476"/>
      <c r="F119" s="121" t="s">
        <v>11</v>
      </c>
      <c r="G119" s="613"/>
      <c r="H119" s="635"/>
      <c r="I119" s="121" t="s">
        <v>11</v>
      </c>
      <c r="J119" s="613"/>
      <c r="K119" s="635"/>
      <c r="L119" s="121" t="s">
        <v>11</v>
      </c>
      <c r="M119" s="613"/>
      <c r="N119" s="635"/>
      <c r="O119" s="121" t="s">
        <v>12</v>
      </c>
      <c r="P119" s="613"/>
      <c r="Q119" s="476"/>
      <c r="R119" s="640"/>
      <c r="S119" s="641"/>
      <c r="T119" s="635"/>
      <c r="U119" s="613"/>
      <c r="V119" s="613"/>
      <c r="W119" s="476"/>
      <c r="X119" s="475"/>
      <c r="Y119" s="482"/>
      <c r="Z119" s="482"/>
      <c r="AA119" s="482"/>
      <c r="AB119" s="482"/>
      <c r="AC119" s="482"/>
      <c r="AD119" s="482"/>
      <c r="AE119" s="482"/>
      <c r="AF119" s="482"/>
      <c r="AG119" s="483"/>
      <c r="AH119" s="360"/>
      <c r="AI119" s="360"/>
      <c r="AJ119" s="360"/>
    </row>
    <row r="120" spans="1:38" ht="21.95" customHeight="1" x14ac:dyDescent="0.2">
      <c r="A120" s="273"/>
      <c r="B120" s="524"/>
      <c r="C120" s="353"/>
      <c r="D120" s="353"/>
      <c r="E120" s="73"/>
      <c r="F120" s="353"/>
      <c r="G120" s="353"/>
      <c r="H120" s="73"/>
      <c r="I120" s="353"/>
      <c r="J120" s="353"/>
      <c r="K120" s="73"/>
      <c r="L120" s="353"/>
      <c r="M120" s="353"/>
      <c r="N120" s="73"/>
      <c r="O120" s="353"/>
      <c r="P120" s="353"/>
      <c r="Q120" s="73"/>
      <c r="R120" s="167"/>
      <c r="S120" s="353"/>
      <c r="T120" s="73"/>
      <c r="U120" s="353"/>
      <c r="V120" s="353"/>
      <c r="W120" s="73"/>
      <c r="X120" s="73"/>
      <c r="Y120" s="360"/>
      <c r="Z120" s="360"/>
      <c r="AA120" s="360"/>
      <c r="AB120" s="360"/>
      <c r="AC120" s="360"/>
      <c r="AD120" s="360"/>
      <c r="AE120" s="360"/>
      <c r="AF120" s="360"/>
      <c r="AG120" s="360"/>
      <c r="AH120" s="360"/>
      <c r="AI120" s="360"/>
    </row>
    <row r="121" spans="1:38" ht="21.95" customHeight="1" x14ac:dyDescent="0.2">
      <c r="A121" s="642"/>
      <c r="B121" s="181" t="s">
        <v>469</v>
      </c>
      <c r="C121" s="177">
        <v>1</v>
      </c>
      <c r="D121" s="177">
        <v>2</v>
      </c>
      <c r="E121" s="177">
        <v>3</v>
      </c>
      <c r="F121" s="177">
        <v>4</v>
      </c>
      <c r="G121" s="177">
        <v>5</v>
      </c>
      <c r="H121" s="497">
        <v>6</v>
      </c>
      <c r="I121" s="497">
        <v>7</v>
      </c>
      <c r="J121" s="177">
        <v>8</v>
      </c>
      <c r="K121" s="177">
        <v>9</v>
      </c>
      <c r="L121" s="177">
        <v>10</v>
      </c>
      <c r="M121" s="177">
        <v>11</v>
      </c>
      <c r="N121" s="177">
        <v>12</v>
      </c>
      <c r="O121" s="497">
        <v>13</v>
      </c>
      <c r="P121" s="497">
        <v>14</v>
      </c>
      <c r="Q121" s="177">
        <v>15</v>
      </c>
      <c r="R121" s="177">
        <v>16</v>
      </c>
      <c r="S121" s="177">
        <v>17</v>
      </c>
      <c r="T121" s="177">
        <v>18</v>
      </c>
      <c r="U121" s="177">
        <v>19</v>
      </c>
      <c r="V121" s="497">
        <v>20</v>
      </c>
      <c r="W121" s="497">
        <v>21</v>
      </c>
      <c r="X121" s="177">
        <v>22</v>
      </c>
      <c r="Y121" s="177">
        <v>23</v>
      </c>
      <c r="Z121" s="177">
        <v>24</v>
      </c>
      <c r="AA121" s="177">
        <v>25</v>
      </c>
      <c r="AB121" s="177">
        <v>26</v>
      </c>
      <c r="AC121" s="497">
        <v>27</v>
      </c>
      <c r="AD121" s="497">
        <v>28</v>
      </c>
      <c r="AE121" s="177">
        <v>29</v>
      </c>
      <c r="AF121" s="177">
        <v>30</v>
      </c>
      <c r="AG121" s="177">
        <v>31</v>
      </c>
      <c r="AH121" s="643" t="s">
        <v>470</v>
      </c>
      <c r="AI121" s="644" t="s">
        <v>471</v>
      </c>
      <c r="AL121" s="1720"/>
    </row>
    <row r="122" spans="1:38" ht="21.95" customHeight="1" x14ac:dyDescent="0.2">
      <c r="A122" s="645">
        <v>1</v>
      </c>
      <c r="B122" s="552" t="s">
        <v>588</v>
      </c>
      <c r="C122" s="1088" t="s">
        <v>482</v>
      </c>
      <c r="D122" s="1088" t="s">
        <v>482</v>
      </c>
      <c r="E122" s="1088" t="s">
        <v>482</v>
      </c>
      <c r="F122" s="1088" t="s">
        <v>482</v>
      </c>
      <c r="G122" s="1088" t="s">
        <v>482</v>
      </c>
      <c r="H122" s="1088"/>
      <c r="I122" s="1088"/>
      <c r="J122" s="1088" t="s">
        <v>482</v>
      </c>
      <c r="K122" s="1088" t="s">
        <v>482</v>
      </c>
      <c r="L122" s="1088" t="s">
        <v>482</v>
      </c>
      <c r="M122" s="1088" t="s">
        <v>482</v>
      </c>
      <c r="N122" s="1088" t="s">
        <v>482</v>
      </c>
      <c r="O122" s="1088"/>
      <c r="P122" s="1088"/>
      <c r="Q122" s="1088" t="s">
        <v>482</v>
      </c>
      <c r="R122" s="1088" t="s">
        <v>482</v>
      </c>
      <c r="S122" s="1088" t="s">
        <v>482</v>
      </c>
      <c r="T122" s="1088" t="s">
        <v>482</v>
      </c>
      <c r="U122" s="1088" t="s">
        <v>482</v>
      </c>
      <c r="V122" s="1088"/>
      <c r="W122" s="1088"/>
      <c r="X122" s="1088" t="s">
        <v>482</v>
      </c>
      <c r="Y122" s="1088" t="s">
        <v>482</v>
      </c>
      <c r="Z122" s="1088" t="s">
        <v>482</v>
      </c>
      <c r="AA122" s="1088" t="s">
        <v>482</v>
      </c>
      <c r="AB122" s="1088" t="s">
        <v>482</v>
      </c>
      <c r="AC122" s="1088"/>
      <c r="AD122" s="1088"/>
      <c r="AE122" s="1088" t="s">
        <v>482</v>
      </c>
      <c r="AF122" s="1088" t="s">
        <v>482</v>
      </c>
      <c r="AG122" s="1088" t="s">
        <v>482</v>
      </c>
      <c r="AH122" s="646">
        <v>185</v>
      </c>
      <c r="AI122" s="647">
        <v>37</v>
      </c>
    </row>
    <row r="123" spans="1:38" ht="21.95" customHeight="1" x14ac:dyDescent="0.2">
      <c r="A123" s="645">
        <v>2</v>
      </c>
      <c r="B123" s="552" t="s">
        <v>589</v>
      </c>
      <c r="C123" s="503" t="s">
        <v>475</v>
      </c>
      <c r="D123" s="503" t="s">
        <v>475</v>
      </c>
      <c r="E123" s="503" t="s">
        <v>475</v>
      </c>
      <c r="F123" s="503" t="s">
        <v>475</v>
      </c>
      <c r="G123" s="503" t="s">
        <v>475</v>
      </c>
      <c r="H123" s="503"/>
      <c r="I123" s="503"/>
      <c r="J123" s="503">
        <v>8</v>
      </c>
      <c r="K123" s="503">
        <v>8</v>
      </c>
      <c r="L123" s="503">
        <v>8</v>
      </c>
      <c r="M123" s="503">
        <v>8</v>
      </c>
      <c r="N123" s="503">
        <v>8</v>
      </c>
      <c r="O123" s="503" t="s">
        <v>504</v>
      </c>
      <c r="P123" s="503" t="s">
        <v>504</v>
      </c>
      <c r="Q123" s="503" t="s">
        <v>475</v>
      </c>
      <c r="R123" s="503" t="s">
        <v>475</v>
      </c>
      <c r="S123" s="503" t="s">
        <v>475</v>
      </c>
      <c r="T123" s="503" t="s">
        <v>475</v>
      </c>
      <c r="U123" s="503" t="s">
        <v>475</v>
      </c>
      <c r="V123" s="503" t="s">
        <v>28</v>
      </c>
      <c r="W123" s="503" t="s">
        <v>28</v>
      </c>
      <c r="X123" s="503">
        <v>1</v>
      </c>
      <c r="Y123" s="503">
        <v>1</v>
      </c>
      <c r="Z123" s="503">
        <v>1</v>
      </c>
      <c r="AA123" s="503">
        <v>1</v>
      </c>
      <c r="AB123" s="503">
        <v>1</v>
      </c>
      <c r="AC123" s="503"/>
      <c r="AD123" s="503"/>
      <c r="AE123" s="503">
        <v>9</v>
      </c>
      <c r="AF123" s="503">
        <v>9</v>
      </c>
      <c r="AG123" s="503">
        <v>9</v>
      </c>
      <c r="AH123" s="505">
        <v>185</v>
      </c>
      <c r="AI123" s="506">
        <v>37</v>
      </c>
    </row>
    <row r="124" spans="1:38" ht="21.95" customHeight="1" x14ac:dyDescent="0.2">
      <c r="A124" s="645">
        <v>3</v>
      </c>
      <c r="B124" s="552" t="s">
        <v>590</v>
      </c>
      <c r="C124" s="587" t="s">
        <v>475</v>
      </c>
      <c r="D124" s="587" t="s">
        <v>475</v>
      </c>
      <c r="E124" s="587" t="s">
        <v>475</v>
      </c>
      <c r="F124" s="587" t="s">
        <v>475</v>
      </c>
      <c r="G124" s="587" t="s">
        <v>475</v>
      </c>
      <c r="H124" s="587"/>
      <c r="I124" s="587"/>
      <c r="J124" s="587" t="s">
        <v>643</v>
      </c>
      <c r="K124" s="587" t="s">
        <v>643</v>
      </c>
      <c r="L124" s="587" t="s">
        <v>643</v>
      </c>
      <c r="M124" s="587" t="s">
        <v>643</v>
      </c>
      <c r="N124" s="587" t="s">
        <v>643</v>
      </c>
      <c r="O124" s="587"/>
      <c r="P124" s="587"/>
      <c r="Q124" s="587" t="s">
        <v>513</v>
      </c>
      <c r="R124" s="587" t="s">
        <v>513</v>
      </c>
      <c r="S124" s="587" t="s">
        <v>513</v>
      </c>
      <c r="T124" s="587" t="s">
        <v>513</v>
      </c>
      <c r="U124" s="587" t="s">
        <v>513</v>
      </c>
      <c r="V124" s="587" t="s">
        <v>550</v>
      </c>
      <c r="W124" s="587" t="s">
        <v>550</v>
      </c>
      <c r="X124" s="587" t="s">
        <v>475</v>
      </c>
      <c r="Y124" s="587" t="s">
        <v>475</v>
      </c>
      <c r="Z124" s="587" t="s">
        <v>475</v>
      </c>
      <c r="AA124" s="587" t="s">
        <v>475</v>
      </c>
      <c r="AB124" s="587" t="s">
        <v>475</v>
      </c>
      <c r="AC124" s="587"/>
      <c r="AD124" s="587"/>
      <c r="AE124" s="553">
        <v>4</v>
      </c>
      <c r="AF124" s="553">
        <v>4</v>
      </c>
      <c r="AG124" s="553">
        <v>4</v>
      </c>
      <c r="AH124" s="505">
        <v>185</v>
      </c>
      <c r="AI124" s="506">
        <v>37</v>
      </c>
    </row>
    <row r="125" spans="1:38" ht="21.95" customHeight="1" x14ac:dyDescent="0.2">
      <c r="A125" s="645">
        <v>4</v>
      </c>
      <c r="B125" s="152" t="s">
        <v>591</v>
      </c>
      <c r="C125" s="1093" t="s">
        <v>482</v>
      </c>
      <c r="D125" s="1093" t="s">
        <v>482</v>
      </c>
      <c r="E125" s="1093" t="s">
        <v>482</v>
      </c>
      <c r="F125" s="1093" t="s">
        <v>482</v>
      </c>
      <c r="G125" s="1093" t="s">
        <v>482</v>
      </c>
      <c r="H125" s="1093"/>
      <c r="I125" s="1093"/>
      <c r="J125" s="1093" t="s">
        <v>482</v>
      </c>
      <c r="K125" s="1093" t="s">
        <v>482</v>
      </c>
      <c r="L125" s="1093" t="s">
        <v>482</v>
      </c>
      <c r="M125" s="1093" t="s">
        <v>482</v>
      </c>
      <c r="N125" s="1093" t="s">
        <v>482</v>
      </c>
      <c r="O125" s="1093"/>
      <c r="P125" s="1093"/>
      <c r="Q125" s="1059" t="s">
        <v>482</v>
      </c>
      <c r="R125" s="1059" t="s">
        <v>482</v>
      </c>
      <c r="S125" s="1059" t="s">
        <v>482</v>
      </c>
      <c r="T125" s="1059" t="s">
        <v>482</v>
      </c>
      <c r="U125" s="1059" t="s">
        <v>482</v>
      </c>
      <c r="V125" s="1059"/>
      <c r="W125" s="1059"/>
      <c r="X125" s="1059" t="s">
        <v>482</v>
      </c>
      <c r="Y125" s="1059" t="s">
        <v>482</v>
      </c>
      <c r="Z125" s="1059" t="s">
        <v>482</v>
      </c>
      <c r="AA125" s="1059" t="s">
        <v>482</v>
      </c>
      <c r="AB125" s="1059" t="s">
        <v>482</v>
      </c>
      <c r="AC125" s="1059"/>
      <c r="AD125" s="1059"/>
      <c r="AE125" s="1059" t="s">
        <v>482</v>
      </c>
      <c r="AF125" s="1059" t="s">
        <v>482</v>
      </c>
      <c r="AG125" s="1059" t="s">
        <v>482</v>
      </c>
      <c r="AH125" s="505">
        <v>74</v>
      </c>
      <c r="AI125" s="506">
        <v>37</v>
      </c>
    </row>
    <row r="126" spans="1:38" ht="21.95" customHeight="1" x14ac:dyDescent="0.2">
      <c r="A126" s="645">
        <v>5</v>
      </c>
      <c r="B126" s="152" t="s">
        <v>592</v>
      </c>
      <c r="C126" s="503">
        <v>10</v>
      </c>
      <c r="D126" s="503">
        <v>10</v>
      </c>
      <c r="E126" s="503">
        <v>10</v>
      </c>
      <c r="F126" s="503">
        <v>10</v>
      </c>
      <c r="G126" s="503">
        <v>10</v>
      </c>
      <c r="H126" s="503" t="s">
        <v>507</v>
      </c>
      <c r="I126" s="503" t="s">
        <v>507</v>
      </c>
      <c r="J126" s="503" t="s">
        <v>475</v>
      </c>
      <c r="K126" s="503" t="s">
        <v>475</v>
      </c>
      <c r="L126" s="503" t="s">
        <v>475</v>
      </c>
      <c r="M126" s="503" t="s">
        <v>475</v>
      </c>
      <c r="N126" s="503" t="s">
        <v>475</v>
      </c>
      <c r="O126" s="503" t="s">
        <v>484</v>
      </c>
      <c r="P126" s="503" t="s">
        <v>505</v>
      </c>
      <c r="Q126" s="1092" t="s">
        <v>540</v>
      </c>
      <c r="R126" s="1058" t="s">
        <v>540</v>
      </c>
      <c r="S126" s="503" t="s">
        <v>540</v>
      </c>
      <c r="T126" s="1092" t="s">
        <v>540</v>
      </c>
      <c r="U126" s="1100" t="s">
        <v>475</v>
      </c>
      <c r="V126" s="1100"/>
      <c r="W126" s="1100"/>
      <c r="X126" s="1100">
        <v>9</v>
      </c>
      <c r="Y126" s="1100">
        <v>9</v>
      </c>
      <c r="Z126" s="1100">
        <v>9</v>
      </c>
      <c r="AA126" s="1100">
        <v>9</v>
      </c>
      <c r="AB126" s="1100">
        <v>9</v>
      </c>
      <c r="AC126" s="1100"/>
      <c r="AD126" s="1100"/>
      <c r="AE126" s="1059" t="s">
        <v>482</v>
      </c>
      <c r="AF126" s="1059" t="s">
        <v>482</v>
      </c>
      <c r="AG126" s="1059" t="s">
        <v>482</v>
      </c>
      <c r="AH126" s="505">
        <v>111</v>
      </c>
      <c r="AI126" s="506">
        <v>37</v>
      </c>
    </row>
    <row r="127" spans="1:38" ht="21.95" customHeight="1" x14ac:dyDescent="0.2">
      <c r="A127" s="645">
        <v>6</v>
      </c>
      <c r="B127" s="552" t="s">
        <v>690</v>
      </c>
      <c r="C127" s="503">
        <v>11</v>
      </c>
      <c r="D127" s="503">
        <v>11</v>
      </c>
      <c r="E127" s="503">
        <v>11</v>
      </c>
      <c r="F127" s="503" t="s">
        <v>475</v>
      </c>
      <c r="G127" s="503" t="s">
        <v>475</v>
      </c>
      <c r="H127" s="503" t="s">
        <v>505</v>
      </c>
      <c r="I127" s="503" t="s">
        <v>505</v>
      </c>
      <c r="J127" s="503">
        <v>7</v>
      </c>
      <c r="K127" s="503">
        <v>7</v>
      </c>
      <c r="L127" s="503" t="s">
        <v>513</v>
      </c>
      <c r="M127" s="503">
        <v>7</v>
      </c>
      <c r="N127" s="503">
        <v>7</v>
      </c>
      <c r="O127" s="503"/>
      <c r="P127" s="503"/>
      <c r="Q127" s="503">
        <v>10</v>
      </c>
      <c r="R127" s="503">
        <v>10</v>
      </c>
      <c r="S127" s="503">
        <v>10</v>
      </c>
      <c r="T127" s="503">
        <v>10</v>
      </c>
      <c r="U127" s="1058">
        <v>10</v>
      </c>
      <c r="V127" s="1058" t="s">
        <v>507</v>
      </c>
      <c r="W127" s="503" t="s">
        <v>507</v>
      </c>
      <c r="X127" s="1059" t="s">
        <v>475</v>
      </c>
      <c r="Y127" s="1059" t="s">
        <v>475</v>
      </c>
      <c r="Z127" s="1059" t="s">
        <v>475</v>
      </c>
      <c r="AA127" s="1059" t="s">
        <v>475</v>
      </c>
      <c r="AB127" s="1059" t="s">
        <v>475</v>
      </c>
      <c r="AC127" s="1059"/>
      <c r="AD127" s="1059"/>
      <c r="AE127" s="1059" t="s">
        <v>482</v>
      </c>
      <c r="AF127" s="1059" t="s">
        <v>482</v>
      </c>
      <c r="AG127" s="503" t="s">
        <v>522</v>
      </c>
      <c r="AH127" s="505">
        <v>185</v>
      </c>
      <c r="AI127" s="506">
        <v>37</v>
      </c>
    </row>
    <row r="128" spans="1:38" ht="21.95" customHeight="1" x14ac:dyDescent="0.2">
      <c r="A128" s="645">
        <v>7</v>
      </c>
      <c r="B128" s="152" t="s">
        <v>692</v>
      </c>
      <c r="C128" s="503">
        <v>4</v>
      </c>
      <c r="D128" s="503">
        <v>4</v>
      </c>
      <c r="E128" s="503">
        <v>4</v>
      </c>
      <c r="F128" s="503">
        <v>4</v>
      </c>
      <c r="G128" s="503">
        <v>4</v>
      </c>
      <c r="H128" s="503"/>
      <c r="I128" s="503"/>
      <c r="J128" s="503">
        <v>3</v>
      </c>
      <c r="K128" s="503">
        <v>3</v>
      </c>
      <c r="L128" s="503">
        <v>3</v>
      </c>
      <c r="M128" s="503">
        <v>3</v>
      </c>
      <c r="N128" s="503">
        <v>3</v>
      </c>
      <c r="O128" s="503" t="s">
        <v>28</v>
      </c>
      <c r="P128" s="503"/>
      <c r="Q128" s="503" t="s">
        <v>522</v>
      </c>
      <c r="R128" s="503" t="s">
        <v>522</v>
      </c>
      <c r="S128" s="503" t="s">
        <v>475</v>
      </c>
      <c r="T128" s="503" t="s">
        <v>475</v>
      </c>
      <c r="U128" s="503" t="s">
        <v>475</v>
      </c>
      <c r="V128" s="503" t="s">
        <v>563</v>
      </c>
      <c r="W128" s="503" t="s">
        <v>564</v>
      </c>
      <c r="X128" s="1452" t="s">
        <v>475</v>
      </c>
      <c r="Y128" s="503" t="s">
        <v>475</v>
      </c>
      <c r="Z128" s="503" t="s">
        <v>475</v>
      </c>
      <c r="AA128" s="503">
        <v>6</v>
      </c>
      <c r="AB128" s="503">
        <v>6</v>
      </c>
      <c r="AC128" s="503" t="s">
        <v>508</v>
      </c>
      <c r="AD128" s="503" t="s">
        <v>504</v>
      </c>
      <c r="AE128" s="503" t="s">
        <v>475</v>
      </c>
      <c r="AF128" s="503" t="s">
        <v>475</v>
      </c>
      <c r="AG128" s="503" t="s">
        <v>475</v>
      </c>
      <c r="AH128" s="505">
        <v>185</v>
      </c>
      <c r="AI128" s="506">
        <v>37</v>
      </c>
    </row>
    <row r="129" spans="1:35" ht="21.95" customHeight="1" x14ac:dyDescent="0.2">
      <c r="A129" s="645">
        <v>8</v>
      </c>
      <c r="B129" s="133" t="s">
        <v>689</v>
      </c>
      <c r="C129" s="177">
        <v>8</v>
      </c>
      <c r="D129" s="177">
        <v>8</v>
      </c>
      <c r="E129" s="177">
        <v>8</v>
      </c>
      <c r="F129" s="177">
        <v>8</v>
      </c>
      <c r="G129" s="177">
        <v>8</v>
      </c>
      <c r="H129" s="177" t="s">
        <v>504</v>
      </c>
      <c r="I129" s="177" t="s">
        <v>504</v>
      </c>
      <c r="J129" s="177" t="s">
        <v>475</v>
      </c>
      <c r="K129" s="177" t="s">
        <v>475</v>
      </c>
      <c r="L129" s="177" t="s">
        <v>475</v>
      </c>
      <c r="M129" s="177" t="s">
        <v>475</v>
      </c>
      <c r="N129" s="177" t="s">
        <v>475</v>
      </c>
      <c r="O129" s="177"/>
      <c r="P129" s="177"/>
      <c r="Q129" s="177">
        <v>8</v>
      </c>
      <c r="R129" s="177">
        <v>8</v>
      </c>
      <c r="S129" s="177">
        <v>8</v>
      </c>
      <c r="T129" s="177">
        <v>8</v>
      </c>
      <c r="U129" s="177">
        <v>8</v>
      </c>
      <c r="V129" s="177" t="s">
        <v>504</v>
      </c>
      <c r="W129" s="177" t="s">
        <v>504</v>
      </c>
      <c r="X129" s="177" t="s">
        <v>475</v>
      </c>
      <c r="Y129" s="177" t="s">
        <v>475</v>
      </c>
      <c r="Z129" s="177" t="s">
        <v>475</v>
      </c>
      <c r="AA129" s="177" t="s">
        <v>475</v>
      </c>
      <c r="AB129" s="177" t="s">
        <v>475</v>
      </c>
      <c r="AC129" s="177"/>
      <c r="AD129" s="177"/>
      <c r="AE129" s="177">
        <v>10</v>
      </c>
      <c r="AF129" s="177">
        <v>10</v>
      </c>
      <c r="AG129" s="737">
        <v>10</v>
      </c>
      <c r="AH129" s="648">
        <v>185</v>
      </c>
      <c r="AI129" s="649">
        <v>37</v>
      </c>
    </row>
    <row r="130" spans="1:35" ht="21.95" customHeight="1" x14ac:dyDescent="0.2">
      <c r="A130" s="713">
        <v>9</v>
      </c>
      <c r="B130" s="1719" t="s">
        <v>677</v>
      </c>
      <c r="C130" s="1442" t="s">
        <v>596</v>
      </c>
      <c r="D130" s="1442" t="s">
        <v>596</v>
      </c>
      <c r="E130" s="1442" t="s">
        <v>596</v>
      </c>
      <c r="F130" s="1442" t="s">
        <v>596</v>
      </c>
      <c r="G130" s="1442" t="s">
        <v>596</v>
      </c>
      <c r="H130" s="1442"/>
      <c r="I130" s="1442"/>
      <c r="J130" s="1442" t="s">
        <v>596</v>
      </c>
      <c r="K130" s="1442" t="s">
        <v>596</v>
      </c>
      <c r="L130" s="1443">
        <v>8</v>
      </c>
      <c r="M130" s="1443">
        <v>8</v>
      </c>
      <c r="N130" s="1442">
        <v>11</v>
      </c>
      <c r="O130" s="1442" t="s">
        <v>503</v>
      </c>
      <c r="P130" s="1442" t="s">
        <v>503</v>
      </c>
      <c r="Q130" s="1442" t="s">
        <v>475</v>
      </c>
      <c r="R130" s="1442" t="s">
        <v>475</v>
      </c>
      <c r="S130" s="1442" t="s">
        <v>475</v>
      </c>
      <c r="T130" s="1442" t="s">
        <v>475</v>
      </c>
      <c r="U130" s="1442" t="s">
        <v>475</v>
      </c>
      <c r="V130" s="1442" t="s">
        <v>505</v>
      </c>
      <c r="W130" s="1442" t="s">
        <v>505</v>
      </c>
      <c r="X130" s="1442" t="s">
        <v>596</v>
      </c>
      <c r="Y130" s="1442" t="s">
        <v>596</v>
      </c>
      <c r="Z130" s="1443" t="s">
        <v>681</v>
      </c>
      <c r="AA130" s="1443" t="s">
        <v>681</v>
      </c>
      <c r="AB130" s="1442">
        <v>1</v>
      </c>
      <c r="AC130" s="1442"/>
      <c r="AD130" s="1442"/>
      <c r="AE130" s="1442">
        <v>10</v>
      </c>
      <c r="AF130" s="1442" t="s">
        <v>475</v>
      </c>
      <c r="AG130" s="1442" t="s">
        <v>475</v>
      </c>
      <c r="AH130" s="648">
        <v>185</v>
      </c>
      <c r="AI130" s="649">
        <v>37</v>
      </c>
    </row>
    <row r="131" spans="1:35" ht="21.95" customHeight="1" x14ac:dyDescent="0.2">
      <c r="A131" s="1444">
        <v>10</v>
      </c>
      <c r="B131" s="1719"/>
      <c r="C131" s="1442"/>
      <c r="D131" s="1442"/>
      <c r="E131" s="1442"/>
      <c r="F131" s="1442"/>
      <c r="G131" s="1442"/>
      <c r="H131" s="1442"/>
      <c r="I131" s="1442"/>
      <c r="J131" s="1442"/>
      <c r="K131" s="1442"/>
      <c r="L131" s="1442"/>
      <c r="M131" s="1442" t="s">
        <v>728</v>
      </c>
      <c r="N131" s="1442"/>
      <c r="O131" s="1442"/>
      <c r="P131" s="1442"/>
      <c r="Q131" s="1442"/>
      <c r="R131" s="1442"/>
      <c r="S131" s="1442"/>
      <c r="T131" s="1442"/>
      <c r="U131" s="1442"/>
      <c r="V131" s="1442"/>
      <c r="W131" s="1442"/>
      <c r="X131" s="1442"/>
      <c r="Y131" s="1442"/>
      <c r="Z131" s="1442"/>
      <c r="AA131" s="1442"/>
      <c r="AB131" s="1442"/>
      <c r="AC131" s="1442"/>
      <c r="AD131" s="1442"/>
      <c r="AE131" s="1442"/>
      <c r="AF131" s="1442"/>
      <c r="AG131" s="1442"/>
      <c r="AH131" s="1113"/>
      <c r="AI131" s="1113"/>
    </row>
    <row r="132" spans="1:35" ht="21" customHeight="1" x14ac:dyDescent="0.25">
      <c r="A132" s="653"/>
    </row>
    <row r="133" spans="1:35" ht="21" customHeight="1" x14ac:dyDescent="0.25">
      <c r="A133" s="654"/>
    </row>
    <row r="134" spans="1:35" ht="21" customHeight="1" x14ac:dyDescent="0.2">
      <c r="B134" s="1" t="s">
        <v>678</v>
      </c>
    </row>
    <row r="135" spans="1:35" ht="21" customHeight="1" x14ac:dyDescent="0.2">
      <c r="A135" s="585"/>
      <c r="B135" s="296" t="s">
        <v>469</v>
      </c>
      <c r="C135" s="177">
        <v>1</v>
      </c>
      <c r="D135" s="177">
        <v>2</v>
      </c>
      <c r="E135" s="177">
        <v>3</v>
      </c>
      <c r="F135" s="177">
        <v>4</v>
      </c>
      <c r="G135" s="177">
        <v>5</v>
      </c>
      <c r="H135" s="497">
        <v>6</v>
      </c>
      <c r="I135" s="497">
        <v>7</v>
      </c>
      <c r="J135" s="177">
        <v>8</v>
      </c>
      <c r="K135" s="177">
        <v>9</v>
      </c>
      <c r="L135" s="177">
        <v>10</v>
      </c>
      <c r="M135" s="177">
        <v>11</v>
      </c>
      <c r="N135" s="177">
        <v>12</v>
      </c>
      <c r="O135" s="497">
        <v>13</v>
      </c>
      <c r="P135" s="497">
        <v>14</v>
      </c>
      <c r="Q135" s="177">
        <v>15</v>
      </c>
      <c r="R135" s="177">
        <v>16</v>
      </c>
      <c r="S135" s="177">
        <v>17</v>
      </c>
      <c r="T135" s="177">
        <v>18</v>
      </c>
      <c r="U135" s="177">
        <v>19</v>
      </c>
      <c r="V135" s="497">
        <v>20</v>
      </c>
      <c r="W135" s="497">
        <v>21</v>
      </c>
      <c r="X135" s="177">
        <v>22</v>
      </c>
      <c r="Y135" s="177">
        <v>23</v>
      </c>
      <c r="Z135" s="177">
        <v>24</v>
      </c>
      <c r="AA135" s="177">
        <v>25</v>
      </c>
      <c r="AB135" s="177">
        <v>26</v>
      </c>
      <c r="AC135" s="497">
        <v>27</v>
      </c>
      <c r="AD135" s="497">
        <v>28</v>
      </c>
      <c r="AE135" s="177">
        <v>29</v>
      </c>
      <c r="AF135" s="177">
        <v>30</v>
      </c>
      <c r="AG135" s="177">
        <v>31</v>
      </c>
      <c r="AH135" s="655"/>
    </row>
    <row r="136" spans="1:35" ht="21" customHeight="1" x14ac:dyDescent="0.2">
      <c r="A136" s="585">
        <v>1</v>
      </c>
      <c r="B136" s="318" t="s">
        <v>679</v>
      </c>
      <c r="C136" s="171" t="s">
        <v>644</v>
      </c>
      <c r="D136" s="171" t="s">
        <v>475</v>
      </c>
      <c r="E136" s="171" t="s">
        <v>475</v>
      </c>
      <c r="F136" s="171">
        <v>11</v>
      </c>
      <c r="G136" s="177">
        <v>11</v>
      </c>
      <c r="H136" s="171"/>
      <c r="I136" s="171"/>
      <c r="J136" s="171">
        <v>10</v>
      </c>
      <c r="K136" s="171">
        <v>10</v>
      </c>
      <c r="L136" s="171">
        <v>10</v>
      </c>
      <c r="M136" s="171">
        <v>10</v>
      </c>
      <c r="N136" s="171">
        <v>10</v>
      </c>
      <c r="O136" s="171" t="s">
        <v>507</v>
      </c>
      <c r="P136" s="171" t="s">
        <v>507</v>
      </c>
      <c r="Q136" s="171" t="s">
        <v>475</v>
      </c>
      <c r="R136" s="171" t="s">
        <v>475</v>
      </c>
      <c r="S136" s="171" t="s">
        <v>475</v>
      </c>
      <c r="T136" s="171" t="s">
        <v>475</v>
      </c>
      <c r="U136" s="171"/>
      <c r="V136" s="171" t="s">
        <v>507</v>
      </c>
      <c r="W136" s="171"/>
      <c r="X136" s="1721">
        <v>6</v>
      </c>
      <c r="Y136" s="1721">
        <v>6</v>
      </c>
      <c r="Z136" s="1721">
        <v>6</v>
      </c>
      <c r="AA136" s="1721" t="s">
        <v>729</v>
      </c>
      <c r="AB136" s="1721" t="s">
        <v>28</v>
      </c>
      <c r="AC136" s="171" t="s">
        <v>505</v>
      </c>
      <c r="AD136" s="171" t="s">
        <v>505</v>
      </c>
      <c r="AE136" s="171">
        <v>7</v>
      </c>
      <c r="AF136" s="171">
        <v>7</v>
      </c>
      <c r="AG136" s="171">
        <v>7</v>
      </c>
      <c r="AH136" s="655"/>
    </row>
    <row r="137" spans="1:35" ht="21" customHeight="1" x14ac:dyDescent="0.2">
      <c r="A137" s="585">
        <v>2</v>
      </c>
      <c r="B137" s="657" t="s">
        <v>680</v>
      </c>
      <c r="C137" s="171">
        <v>1</v>
      </c>
      <c r="D137" s="171">
        <v>1</v>
      </c>
      <c r="E137" s="171">
        <v>1</v>
      </c>
      <c r="F137" s="171">
        <v>1</v>
      </c>
      <c r="G137" s="171">
        <v>1</v>
      </c>
      <c r="H137" s="171"/>
      <c r="I137" s="171"/>
      <c r="J137" s="171" t="s">
        <v>484</v>
      </c>
      <c r="K137" s="171" t="s">
        <v>484</v>
      </c>
      <c r="L137" s="171" t="s">
        <v>484</v>
      </c>
      <c r="M137" s="171" t="s">
        <v>484</v>
      </c>
      <c r="N137" s="171" t="s">
        <v>484</v>
      </c>
      <c r="O137" s="171"/>
      <c r="P137" s="171"/>
      <c r="Q137" s="171" t="s">
        <v>482</v>
      </c>
      <c r="R137" s="171" t="s">
        <v>482</v>
      </c>
      <c r="S137" s="171" t="s">
        <v>482</v>
      </c>
      <c r="T137" s="171" t="s">
        <v>482</v>
      </c>
      <c r="U137" s="171" t="s">
        <v>482</v>
      </c>
      <c r="V137" s="171"/>
      <c r="W137" s="171"/>
      <c r="X137" s="171" t="s">
        <v>482</v>
      </c>
      <c r="Y137" s="171" t="s">
        <v>482</v>
      </c>
      <c r="Z137" s="171" t="s">
        <v>482</v>
      </c>
      <c r="AA137" s="171" t="s">
        <v>482</v>
      </c>
      <c r="AB137" s="171" t="s">
        <v>482</v>
      </c>
      <c r="AC137" s="171"/>
      <c r="AD137" s="171"/>
      <c r="AE137" s="171" t="s">
        <v>513</v>
      </c>
      <c r="AF137" s="171">
        <v>3</v>
      </c>
      <c r="AG137" s="171">
        <v>3</v>
      </c>
      <c r="AH137" s="655"/>
    </row>
    <row r="138" spans="1:35" ht="21" customHeight="1" x14ac:dyDescent="0.2">
      <c r="A138" s="585">
        <v>3</v>
      </c>
      <c r="B138" s="1450" t="s">
        <v>695</v>
      </c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656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655"/>
    </row>
    <row r="139" spans="1:35" ht="21" customHeight="1" x14ac:dyDescent="0.2">
      <c r="A139" s="585">
        <v>4</v>
      </c>
      <c r="B139" s="552" t="s">
        <v>696</v>
      </c>
      <c r="C139" s="553" t="s">
        <v>475</v>
      </c>
      <c r="D139" s="553" t="s">
        <v>475</v>
      </c>
      <c r="E139" s="553" t="s">
        <v>475</v>
      </c>
      <c r="F139" s="553" t="s">
        <v>475</v>
      </c>
      <c r="G139" s="525" t="s">
        <v>475</v>
      </c>
      <c r="H139" s="1059" t="s">
        <v>482</v>
      </c>
      <c r="I139" s="1059" t="s">
        <v>482</v>
      </c>
      <c r="J139" s="1059" t="s">
        <v>482</v>
      </c>
      <c r="K139" s="1059" t="s">
        <v>482</v>
      </c>
      <c r="L139" s="1059" t="s">
        <v>482</v>
      </c>
      <c r="M139" s="1059" t="s">
        <v>482</v>
      </c>
      <c r="N139" s="1059" t="s">
        <v>482</v>
      </c>
      <c r="O139" s="1059"/>
      <c r="P139" s="1059"/>
      <c r="Q139" s="1059" t="s">
        <v>482</v>
      </c>
      <c r="R139" s="1059" t="s">
        <v>482</v>
      </c>
      <c r="S139" s="1059" t="s">
        <v>482</v>
      </c>
      <c r="T139" s="1059" t="s">
        <v>482</v>
      </c>
      <c r="U139" s="1059" t="s">
        <v>482</v>
      </c>
      <c r="V139" s="1059"/>
      <c r="W139" s="1059"/>
      <c r="X139" s="1336" t="s">
        <v>513</v>
      </c>
      <c r="Y139" s="1336" t="s">
        <v>513</v>
      </c>
      <c r="Z139" s="1336" t="s">
        <v>513</v>
      </c>
      <c r="AA139" s="1336" t="s">
        <v>513</v>
      </c>
      <c r="AB139" s="1336" t="s">
        <v>513</v>
      </c>
      <c r="AC139" s="587"/>
      <c r="AD139" s="587"/>
      <c r="AE139" s="171">
        <v>4</v>
      </c>
      <c r="AF139" s="171">
        <v>4</v>
      </c>
      <c r="AG139" s="171">
        <v>4</v>
      </c>
      <c r="AH139" s="655"/>
    </row>
    <row r="140" spans="1:35" ht="21" customHeight="1" x14ac:dyDescent="0.2">
      <c r="A140" s="585">
        <v>5</v>
      </c>
      <c r="B140" s="552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655"/>
    </row>
    <row r="141" spans="1:35" ht="21" customHeight="1" x14ac:dyDescent="0.2">
      <c r="A141" s="585"/>
      <c r="B141" s="318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656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655"/>
    </row>
    <row r="142" spans="1:35" ht="21.95" customHeight="1" x14ac:dyDescent="0.2">
      <c r="A142" s="1" t="s">
        <v>603</v>
      </c>
      <c r="B142" s="273"/>
      <c r="C142" s="138"/>
      <c r="D142" s="138"/>
      <c r="E142" s="138"/>
      <c r="F142" s="138"/>
      <c r="G142" s="138"/>
      <c r="H142" s="138"/>
      <c r="I142" s="138"/>
      <c r="J142" s="138"/>
      <c r="K142" s="138"/>
      <c r="L142" s="138"/>
      <c r="M142" s="138"/>
      <c r="N142" s="138"/>
      <c r="O142" s="138"/>
      <c r="P142" s="138"/>
      <c r="Q142" s="138"/>
      <c r="R142" s="138"/>
      <c r="S142" s="138"/>
      <c r="T142" s="138"/>
      <c r="U142" s="138"/>
      <c r="V142" s="138"/>
      <c r="W142" s="138"/>
      <c r="X142" s="138"/>
      <c r="Y142" s="138"/>
      <c r="Z142" s="138"/>
      <c r="AA142" s="138"/>
      <c r="AB142" s="138"/>
      <c r="AC142" s="138"/>
      <c r="AD142" s="138"/>
      <c r="AE142" s="138"/>
      <c r="AF142" s="138"/>
      <c r="AG142" s="138"/>
    </row>
    <row r="143" spans="1:35" ht="21.95" customHeight="1" x14ac:dyDescent="0.2">
      <c r="A143" s="1"/>
      <c r="B143" s="200" t="s">
        <v>604</v>
      </c>
      <c r="C143" s="7"/>
      <c r="D143" s="530" t="s">
        <v>2</v>
      </c>
      <c r="E143" s="51"/>
      <c r="F143" s="573"/>
      <c r="G143" s="7"/>
      <c r="H143" s="530" t="s">
        <v>3</v>
      </c>
      <c r="I143" s="51"/>
      <c r="J143" s="573"/>
      <c r="K143" s="7"/>
      <c r="L143" s="530" t="s">
        <v>4</v>
      </c>
      <c r="M143" s="51"/>
      <c r="N143" s="573"/>
      <c r="O143" s="7"/>
      <c r="P143" s="530" t="s">
        <v>5</v>
      </c>
      <c r="Q143" s="51"/>
      <c r="R143" s="573"/>
      <c r="S143" s="7"/>
      <c r="T143" s="530" t="s">
        <v>6</v>
      </c>
      <c r="U143" s="51"/>
      <c r="V143" s="573"/>
      <c r="W143" s="7"/>
      <c r="X143" s="530" t="s">
        <v>7</v>
      </c>
      <c r="Y143" s="51"/>
      <c r="Z143" s="573"/>
      <c r="AA143" s="7"/>
      <c r="AB143" s="530" t="s">
        <v>8</v>
      </c>
      <c r="AC143" s="51"/>
      <c r="AD143" s="51"/>
      <c r="AE143" s="424" t="s">
        <v>10</v>
      </c>
      <c r="AF143" s="51"/>
      <c r="AG143" s="51"/>
      <c r="AH143" s="51"/>
      <c r="AI143" s="531"/>
    </row>
    <row r="144" spans="1:35" ht="21.95" customHeight="1" x14ac:dyDescent="0.2">
      <c r="A144" s="1"/>
      <c r="B144" s="305">
        <v>3701</v>
      </c>
      <c r="C144" s="641" t="s">
        <v>124</v>
      </c>
      <c r="D144" s="658"/>
      <c r="E144" s="55"/>
      <c r="F144" s="580"/>
      <c r="G144" s="641" t="s">
        <v>124</v>
      </c>
      <c r="H144" s="659"/>
      <c r="I144" s="55"/>
      <c r="J144" s="580"/>
      <c r="K144" s="641" t="s">
        <v>124</v>
      </c>
      <c r="L144" s="659"/>
      <c r="M144" s="55"/>
      <c r="N144" s="580"/>
      <c r="O144" s="641" t="s">
        <v>124</v>
      </c>
      <c r="P144" s="659"/>
      <c r="Q144" s="55"/>
      <c r="R144" s="580"/>
      <c r="S144" s="14" t="s">
        <v>125</v>
      </c>
      <c r="T144" s="659"/>
      <c r="U144" s="55"/>
      <c r="V144" s="580"/>
      <c r="W144" s="14"/>
      <c r="X144" s="659"/>
      <c r="Y144" s="55"/>
      <c r="Z144" s="580"/>
      <c r="AA144" s="14"/>
      <c r="AB144" s="659"/>
      <c r="AC144" s="55"/>
      <c r="AD144" s="55"/>
      <c r="AE144" s="660"/>
      <c r="AF144" s="55"/>
      <c r="AG144" s="55"/>
      <c r="AH144" s="55"/>
      <c r="AI144" s="661"/>
    </row>
    <row r="145" spans="1:35" ht="21.95" customHeight="1" x14ac:dyDescent="0.2">
      <c r="B145" s="662">
        <v>3700</v>
      </c>
      <c r="C145" s="121" t="s">
        <v>534</v>
      </c>
      <c r="D145" s="156"/>
      <c r="E145" s="156"/>
      <c r="F145" s="612"/>
      <c r="G145" s="121" t="s">
        <v>534</v>
      </c>
      <c r="H145" s="156"/>
      <c r="I145" s="156"/>
      <c r="J145" s="612"/>
      <c r="K145" s="121" t="s">
        <v>534</v>
      </c>
      <c r="L145" s="156"/>
      <c r="M145" s="156"/>
      <c r="N145" s="612"/>
      <c r="O145" s="121" t="s">
        <v>534</v>
      </c>
      <c r="P145" s="156"/>
      <c r="Q145" s="156"/>
      <c r="R145" s="612"/>
      <c r="S145" s="121" t="s">
        <v>116</v>
      </c>
      <c r="T145" s="156"/>
      <c r="U145" s="156"/>
      <c r="V145" s="612"/>
      <c r="W145" s="121"/>
      <c r="X145" s="156"/>
      <c r="Y145" s="156"/>
      <c r="Z145" s="612"/>
      <c r="AA145" s="611"/>
      <c r="AB145" s="156"/>
      <c r="AC145" s="156"/>
      <c r="AD145" s="613"/>
      <c r="AE145" s="663"/>
      <c r="AF145" s="156"/>
      <c r="AG145" s="156" t="s">
        <v>28</v>
      </c>
      <c r="AH145" s="613"/>
      <c r="AI145" s="489"/>
    </row>
    <row r="146" spans="1:35" ht="21.95" customHeight="1" x14ac:dyDescent="0.2">
      <c r="A146" s="1"/>
      <c r="B146" s="129" t="s">
        <v>605</v>
      </c>
      <c r="C146" s="611" t="s">
        <v>606</v>
      </c>
      <c r="D146" s="156"/>
      <c r="E146" s="156"/>
      <c r="F146" s="612"/>
      <c r="G146" s="611" t="s">
        <v>606</v>
      </c>
      <c r="H146" s="156"/>
      <c r="I146" s="156"/>
      <c r="J146" s="612"/>
      <c r="K146" s="611" t="s">
        <v>606</v>
      </c>
      <c r="L146" s="156"/>
      <c r="M146" s="156"/>
      <c r="N146" s="612"/>
      <c r="O146" s="611" t="s">
        <v>606</v>
      </c>
      <c r="P146" s="156"/>
      <c r="Q146" s="156"/>
      <c r="R146" s="612"/>
      <c r="S146" s="611" t="s">
        <v>607</v>
      </c>
      <c r="T146" s="156"/>
      <c r="U146" s="156"/>
      <c r="V146" s="612"/>
      <c r="W146" s="121"/>
      <c r="X146" s="156"/>
      <c r="Y146" s="156"/>
      <c r="Z146" s="612"/>
      <c r="AA146" s="121"/>
      <c r="AB146" s="156"/>
      <c r="AC146" s="156"/>
      <c r="AD146" s="613"/>
      <c r="AE146" s="121"/>
      <c r="AF146" s="156"/>
      <c r="AG146" s="156"/>
      <c r="AH146" s="613"/>
      <c r="AI146" s="489"/>
    </row>
    <row r="147" spans="1:35" ht="21.95" customHeight="1" x14ac:dyDescent="0.2">
      <c r="A147" s="1"/>
      <c r="B147" s="664">
        <v>8500</v>
      </c>
      <c r="C147" s="665" t="s">
        <v>264</v>
      </c>
      <c r="D147" s="55"/>
      <c r="E147" s="55"/>
      <c r="F147" s="666"/>
      <c r="G147" s="665" t="s">
        <v>264</v>
      </c>
      <c r="H147" s="55"/>
      <c r="I147" s="55"/>
      <c r="J147" s="666"/>
      <c r="K147" s="665" t="s">
        <v>264</v>
      </c>
      <c r="L147" s="55"/>
      <c r="M147" s="55"/>
      <c r="N147" s="666"/>
      <c r="O147" s="665" t="s">
        <v>264</v>
      </c>
      <c r="P147" s="55"/>
      <c r="Q147" s="55"/>
      <c r="R147" s="666"/>
      <c r="S147" s="665" t="s">
        <v>265</v>
      </c>
      <c r="T147" s="55"/>
      <c r="U147" s="55"/>
      <c r="V147" s="666"/>
      <c r="W147" s="665"/>
      <c r="X147" s="55"/>
      <c r="Y147" s="55"/>
      <c r="Z147" s="666"/>
      <c r="AA147" s="665"/>
      <c r="AB147" s="55"/>
      <c r="AC147" s="55"/>
      <c r="AD147" s="666"/>
      <c r="AE147" s="665"/>
      <c r="AF147" s="55"/>
      <c r="AG147" s="55"/>
      <c r="AH147" s="641"/>
      <c r="AI147" s="661"/>
    </row>
    <row r="148" spans="1:35" ht="21.95" customHeight="1" x14ac:dyDescent="0.2">
      <c r="A148" s="1"/>
      <c r="B148" s="9">
        <v>8514</v>
      </c>
      <c r="C148" s="667" t="s">
        <v>264</v>
      </c>
      <c r="D148" s="668"/>
      <c r="E148" s="669"/>
      <c r="F148" s="670"/>
      <c r="G148" s="667" t="s">
        <v>264</v>
      </c>
      <c r="H148" s="668"/>
      <c r="I148" s="669"/>
      <c r="J148" s="670"/>
      <c r="K148" s="667" t="s">
        <v>264</v>
      </c>
      <c r="L148" s="668"/>
      <c r="M148" s="669"/>
      <c r="N148" s="670"/>
      <c r="O148" s="667" t="s">
        <v>682</v>
      </c>
      <c r="P148" s="668"/>
      <c r="Q148" s="669"/>
      <c r="R148" s="670"/>
      <c r="S148" s="667" t="s">
        <v>265</v>
      </c>
      <c r="T148" s="668"/>
      <c r="U148" s="669"/>
      <c r="V148" s="670"/>
      <c r="W148" s="14"/>
      <c r="X148" s="659"/>
      <c r="Y148" s="55"/>
      <c r="Z148" s="580"/>
      <c r="AA148" s="14"/>
      <c r="AB148" s="659"/>
      <c r="AC148" s="55"/>
      <c r="AD148" s="55"/>
      <c r="AE148" s="660"/>
      <c r="AF148" s="55"/>
      <c r="AG148" s="55"/>
      <c r="AH148" s="55"/>
      <c r="AI148" s="661"/>
    </row>
    <row r="149" spans="1:35" ht="21.95" customHeight="1" x14ac:dyDescent="0.2">
      <c r="A149" s="1"/>
      <c r="B149" s="671">
        <v>8521</v>
      </c>
      <c r="C149" s="57" t="s">
        <v>534</v>
      </c>
      <c r="D149" s="53"/>
      <c r="E149" s="53"/>
      <c r="F149" s="619"/>
      <c r="G149" s="57" t="s">
        <v>534</v>
      </c>
      <c r="H149" s="53"/>
      <c r="I149" s="53"/>
      <c r="J149" s="619"/>
      <c r="K149" s="57" t="s">
        <v>534</v>
      </c>
      <c r="L149" s="53"/>
      <c r="M149" s="53"/>
      <c r="N149" s="619"/>
      <c r="O149" s="57" t="s">
        <v>534</v>
      </c>
      <c r="P149" s="53"/>
      <c r="Q149" s="53"/>
      <c r="R149" s="619"/>
      <c r="S149" s="57" t="s">
        <v>116</v>
      </c>
      <c r="T149" s="53"/>
      <c r="U149" s="53"/>
      <c r="V149" s="619"/>
      <c r="W149" s="57"/>
      <c r="X149" s="53"/>
      <c r="Y149" s="53"/>
      <c r="Z149" s="619"/>
      <c r="AA149" s="618"/>
      <c r="AB149" s="53"/>
      <c r="AC149" s="53"/>
      <c r="AD149" s="620"/>
      <c r="AE149" s="672"/>
      <c r="AF149" s="53"/>
      <c r="AG149" s="53" t="s">
        <v>28</v>
      </c>
      <c r="AH149" s="620"/>
      <c r="AI149" s="544"/>
    </row>
    <row r="150" spans="1:35" ht="21.95" customHeight="1" x14ac:dyDescent="0.2">
      <c r="A150" s="1"/>
      <c r="B150" s="72"/>
      <c r="C150" s="311"/>
      <c r="F150" s="353"/>
      <c r="G150" s="311"/>
      <c r="J150" s="353"/>
      <c r="K150" s="311"/>
      <c r="N150" s="353"/>
      <c r="O150" s="311"/>
      <c r="R150" s="353"/>
      <c r="S150" s="311"/>
      <c r="V150" s="353"/>
      <c r="W150" s="353"/>
      <c r="Z150" s="353"/>
      <c r="AA150" s="353"/>
      <c r="AD150" s="353"/>
      <c r="AE150" s="353"/>
      <c r="AH150" s="353"/>
    </row>
    <row r="151" spans="1:35" ht="21.95" customHeight="1" x14ac:dyDescent="0.2">
      <c r="A151" s="1" t="s">
        <v>659</v>
      </c>
      <c r="B151" s="72"/>
      <c r="C151" s="311"/>
      <c r="F151" s="353"/>
      <c r="G151" s="311"/>
      <c r="J151" s="353"/>
      <c r="K151" s="311"/>
      <c r="N151" s="353"/>
      <c r="O151" s="311"/>
      <c r="R151" s="353"/>
      <c r="S151" s="311"/>
      <c r="V151" s="353"/>
      <c r="W151" s="353"/>
      <c r="Z151" s="353"/>
      <c r="AA151" s="353"/>
      <c r="AD151" s="353"/>
      <c r="AE151" s="353"/>
      <c r="AH151" s="353"/>
    </row>
    <row r="152" spans="1:35" ht="21.95" customHeight="1" x14ac:dyDescent="0.2">
      <c r="A152" s="585"/>
      <c r="B152" s="296" t="s">
        <v>469</v>
      </c>
      <c r="C152" s="177">
        <v>1</v>
      </c>
      <c r="D152" s="177">
        <v>2</v>
      </c>
      <c r="E152" s="177">
        <v>3</v>
      </c>
      <c r="F152" s="177">
        <v>4</v>
      </c>
      <c r="G152" s="177">
        <v>5</v>
      </c>
      <c r="H152" s="497">
        <v>6</v>
      </c>
      <c r="I152" s="497">
        <v>7</v>
      </c>
      <c r="J152" s="177">
        <v>8</v>
      </c>
      <c r="K152" s="177">
        <v>9</v>
      </c>
      <c r="L152" s="177">
        <v>10</v>
      </c>
      <c r="M152" s="177">
        <v>11</v>
      </c>
      <c r="N152" s="177">
        <v>12</v>
      </c>
      <c r="O152" s="497">
        <v>13</v>
      </c>
      <c r="P152" s="497">
        <v>14</v>
      </c>
      <c r="Q152" s="177">
        <v>15</v>
      </c>
      <c r="R152" s="177">
        <v>16</v>
      </c>
      <c r="S152" s="177">
        <v>17</v>
      </c>
      <c r="T152" s="177">
        <v>18</v>
      </c>
      <c r="U152" s="177">
        <v>19</v>
      </c>
      <c r="V152" s="497">
        <v>20</v>
      </c>
      <c r="W152" s="497">
        <v>21</v>
      </c>
      <c r="X152" s="177">
        <v>22</v>
      </c>
      <c r="Y152" s="177">
        <v>23</v>
      </c>
      <c r="Z152" s="177">
        <v>24</v>
      </c>
      <c r="AA152" s="177">
        <v>25</v>
      </c>
      <c r="AB152" s="177">
        <v>26</v>
      </c>
      <c r="AC152" s="497">
        <v>27</v>
      </c>
      <c r="AD152" s="497">
        <v>28</v>
      </c>
      <c r="AE152" s="177">
        <v>29</v>
      </c>
      <c r="AF152" s="177">
        <v>30</v>
      </c>
      <c r="AG152" s="177">
        <v>31</v>
      </c>
      <c r="AH152" s="499" t="s">
        <v>470</v>
      </c>
      <c r="AI152" s="500" t="s">
        <v>471</v>
      </c>
    </row>
    <row r="153" spans="1:35" ht="21.95" customHeight="1" x14ac:dyDescent="0.2">
      <c r="A153" s="585"/>
      <c r="B153" s="673" t="s">
        <v>610</v>
      </c>
      <c r="C153" s="1059" t="s">
        <v>482</v>
      </c>
      <c r="D153" s="503" t="s">
        <v>482</v>
      </c>
      <c r="E153" s="503" t="s">
        <v>482</v>
      </c>
      <c r="F153" s="503" t="s">
        <v>482</v>
      </c>
      <c r="G153" s="503" t="s">
        <v>482</v>
      </c>
      <c r="H153" s="503"/>
      <c r="I153" s="503"/>
      <c r="J153" s="503" t="s">
        <v>482</v>
      </c>
      <c r="K153" s="503" t="s">
        <v>482</v>
      </c>
      <c r="L153" s="503" t="s">
        <v>482</v>
      </c>
      <c r="M153" s="503" t="s">
        <v>482</v>
      </c>
      <c r="N153" s="503" t="s">
        <v>482</v>
      </c>
      <c r="O153" s="503"/>
      <c r="P153" s="503"/>
      <c r="Q153" s="503" t="s">
        <v>482</v>
      </c>
      <c r="R153" s="503" t="s">
        <v>482</v>
      </c>
      <c r="S153" s="503" t="s">
        <v>482</v>
      </c>
      <c r="T153" s="503" t="s">
        <v>482</v>
      </c>
      <c r="U153" s="503" t="s">
        <v>482</v>
      </c>
      <c r="V153" s="503"/>
      <c r="W153" s="503"/>
      <c r="X153" s="503" t="s">
        <v>482</v>
      </c>
      <c r="Y153" s="503" t="s">
        <v>482</v>
      </c>
      <c r="Z153" s="503" t="s">
        <v>482</v>
      </c>
      <c r="AA153" s="503" t="s">
        <v>482</v>
      </c>
      <c r="AB153" s="503" t="s">
        <v>482</v>
      </c>
      <c r="AC153" s="503"/>
      <c r="AD153" s="503"/>
      <c r="AE153" s="503" t="s">
        <v>482</v>
      </c>
      <c r="AF153" s="503" t="s">
        <v>482</v>
      </c>
      <c r="AG153" s="503" t="s">
        <v>482</v>
      </c>
      <c r="AH153" s="703">
        <v>74</v>
      </c>
      <c r="AI153" s="704">
        <v>37</v>
      </c>
    </row>
    <row r="154" spans="1:35" ht="21.95" customHeight="1" x14ac:dyDescent="0.2">
      <c r="A154" s="674">
        <v>8500</v>
      </c>
      <c r="B154" s="675" t="s">
        <v>156</v>
      </c>
      <c r="C154" s="503" t="s">
        <v>482</v>
      </c>
      <c r="D154" s="503" t="s">
        <v>482</v>
      </c>
      <c r="E154" s="503" t="s">
        <v>482</v>
      </c>
      <c r="F154" s="503" t="s">
        <v>482</v>
      </c>
      <c r="G154" s="503" t="s">
        <v>482</v>
      </c>
      <c r="H154" s="503"/>
      <c r="I154" s="503"/>
      <c r="J154" s="1058" t="s">
        <v>482</v>
      </c>
      <c r="K154" s="503" t="s">
        <v>482</v>
      </c>
      <c r="L154" s="503" t="s">
        <v>482</v>
      </c>
      <c r="M154" s="503" t="s">
        <v>482</v>
      </c>
      <c r="N154" s="503" t="s">
        <v>482</v>
      </c>
      <c r="O154" s="503"/>
      <c r="P154" s="503"/>
      <c r="Q154" s="503" t="s">
        <v>482</v>
      </c>
      <c r="R154" s="503" t="s">
        <v>482</v>
      </c>
      <c r="S154" s="503" t="s">
        <v>482</v>
      </c>
      <c r="T154" s="503" t="s">
        <v>482</v>
      </c>
      <c r="U154" s="503" t="s">
        <v>482</v>
      </c>
      <c r="V154" s="503"/>
      <c r="W154" s="503"/>
      <c r="X154" s="503" t="s">
        <v>482</v>
      </c>
      <c r="Y154" s="503" t="s">
        <v>482</v>
      </c>
      <c r="Z154" s="503" t="s">
        <v>482</v>
      </c>
      <c r="AA154" s="503" t="s">
        <v>482</v>
      </c>
      <c r="AB154" s="503" t="s">
        <v>482</v>
      </c>
      <c r="AC154" s="503"/>
      <c r="AD154" s="503"/>
      <c r="AE154" s="503" t="s">
        <v>482</v>
      </c>
      <c r="AF154" s="503" t="s">
        <v>482</v>
      </c>
      <c r="AG154" s="503" t="s">
        <v>482</v>
      </c>
      <c r="AH154" s="648">
        <v>37</v>
      </c>
      <c r="AI154" s="649">
        <v>37</v>
      </c>
    </row>
    <row r="155" spans="1:35" ht="21" customHeight="1" x14ac:dyDescent="0.2">
      <c r="A155" s="441"/>
      <c r="B155" s="673" t="s">
        <v>611</v>
      </c>
      <c r="C155" s="1059" t="s">
        <v>482</v>
      </c>
      <c r="D155" s="1059" t="s">
        <v>482</v>
      </c>
      <c r="E155" s="1059" t="s">
        <v>482</v>
      </c>
      <c r="F155" s="1059" t="s">
        <v>482</v>
      </c>
      <c r="G155" s="1059" t="s">
        <v>482</v>
      </c>
      <c r="H155" s="1059"/>
      <c r="I155" s="1059"/>
      <c r="J155" s="503" t="s">
        <v>482</v>
      </c>
      <c r="K155" s="503" t="s">
        <v>482</v>
      </c>
      <c r="L155" s="503" t="s">
        <v>482</v>
      </c>
      <c r="M155" s="503" t="s">
        <v>482</v>
      </c>
      <c r="N155" s="503" t="s">
        <v>482</v>
      </c>
      <c r="O155" s="503"/>
      <c r="P155" s="503"/>
      <c r="Q155" s="503" t="s">
        <v>482</v>
      </c>
      <c r="R155" s="503" t="s">
        <v>482</v>
      </c>
      <c r="S155" s="503" t="s">
        <v>482</v>
      </c>
      <c r="T155" s="503" t="s">
        <v>482</v>
      </c>
      <c r="U155" s="1059" t="s">
        <v>482</v>
      </c>
      <c r="V155" s="503"/>
      <c r="W155" s="503"/>
      <c r="X155" s="503" t="s">
        <v>482</v>
      </c>
      <c r="Y155" s="503" t="s">
        <v>482</v>
      </c>
      <c r="Z155" s="503" t="s">
        <v>482</v>
      </c>
      <c r="AA155" s="503" t="s">
        <v>482</v>
      </c>
      <c r="AB155" s="503" t="s">
        <v>482</v>
      </c>
      <c r="AC155" s="503"/>
      <c r="AD155" s="503"/>
      <c r="AE155" s="503" t="s">
        <v>482</v>
      </c>
      <c r="AF155" s="503" t="s">
        <v>482</v>
      </c>
      <c r="AG155" s="503" t="s">
        <v>482</v>
      </c>
      <c r="AH155" s="648">
        <v>104</v>
      </c>
      <c r="AI155" s="649">
        <v>37</v>
      </c>
    </row>
    <row r="156" spans="1:35" ht="21" customHeight="1" x14ac:dyDescent="0.2">
      <c r="A156" s="441"/>
      <c r="B156" s="673" t="s">
        <v>613</v>
      </c>
      <c r="C156" s="503" t="s">
        <v>482</v>
      </c>
      <c r="D156" s="503" t="s">
        <v>482</v>
      </c>
      <c r="E156" s="503" t="s">
        <v>482</v>
      </c>
      <c r="F156" s="503" t="s">
        <v>482</v>
      </c>
      <c r="G156" s="503" t="s">
        <v>482</v>
      </c>
      <c r="H156" s="503"/>
      <c r="I156" s="503"/>
      <c r="J156" s="503" t="s">
        <v>482</v>
      </c>
      <c r="K156" s="503" t="s">
        <v>482</v>
      </c>
      <c r="L156" s="503" t="s">
        <v>482</v>
      </c>
      <c r="M156" s="503" t="s">
        <v>482</v>
      </c>
      <c r="N156" s="503" t="s">
        <v>482</v>
      </c>
      <c r="O156" s="503"/>
      <c r="P156" s="503"/>
      <c r="Q156" s="503" t="s">
        <v>482</v>
      </c>
      <c r="R156" s="503" t="s">
        <v>482</v>
      </c>
      <c r="S156" s="503" t="s">
        <v>482</v>
      </c>
      <c r="T156" s="1104" t="s">
        <v>482</v>
      </c>
      <c r="U156" s="1104" t="s">
        <v>482</v>
      </c>
      <c r="V156" s="1104"/>
      <c r="W156" s="1104"/>
      <c r="X156" s="1104" t="s">
        <v>482</v>
      </c>
      <c r="Y156" s="1104" t="s">
        <v>482</v>
      </c>
      <c r="Z156" s="1104" t="s">
        <v>482</v>
      </c>
      <c r="AA156" s="1104" t="s">
        <v>482</v>
      </c>
      <c r="AB156" s="1104" t="s">
        <v>482</v>
      </c>
      <c r="AC156" s="1104"/>
      <c r="AD156" s="1104"/>
      <c r="AE156" s="1104" t="s">
        <v>482</v>
      </c>
      <c r="AF156" s="1104" t="s">
        <v>617</v>
      </c>
      <c r="AG156" s="503" t="s">
        <v>482</v>
      </c>
      <c r="AH156" s="648">
        <v>37</v>
      </c>
      <c r="AI156" s="649">
        <v>37</v>
      </c>
    </row>
    <row r="157" spans="1:35" ht="21" customHeight="1" x14ac:dyDescent="0.2">
      <c r="A157" s="441">
        <v>8521</v>
      </c>
      <c r="B157" s="673" t="s">
        <v>614</v>
      </c>
      <c r="C157" s="1059" t="s">
        <v>482</v>
      </c>
      <c r="D157" s="1059" t="s">
        <v>482</v>
      </c>
      <c r="E157" s="1059" t="s">
        <v>482</v>
      </c>
      <c r="F157" s="1059" t="s">
        <v>482</v>
      </c>
      <c r="G157" s="1059" t="s">
        <v>482</v>
      </c>
      <c r="H157" s="1059"/>
      <c r="I157" s="1059"/>
      <c r="J157" s="1059" t="s">
        <v>482</v>
      </c>
      <c r="K157" s="1059" t="s">
        <v>482</v>
      </c>
      <c r="L157" s="1059" t="s">
        <v>482</v>
      </c>
      <c r="M157" s="1059" t="s">
        <v>482</v>
      </c>
      <c r="N157" s="1059" t="s">
        <v>482</v>
      </c>
      <c r="O157" s="1059"/>
      <c r="P157" s="1059"/>
      <c r="Q157" s="503" t="s">
        <v>482</v>
      </c>
      <c r="R157" s="503" t="s">
        <v>482</v>
      </c>
      <c r="S157" s="503" t="s">
        <v>482</v>
      </c>
      <c r="T157" s="503" t="s">
        <v>482</v>
      </c>
      <c r="U157" s="503" t="s">
        <v>482</v>
      </c>
      <c r="V157" s="503"/>
      <c r="W157" s="503"/>
      <c r="X157" s="1059" t="s">
        <v>482</v>
      </c>
      <c r="Y157" s="503" t="s">
        <v>482</v>
      </c>
      <c r="Z157" s="503" t="s">
        <v>482</v>
      </c>
      <c r="AA157" s="503" t="s">
        <v>482</v>
      </c>
      <c r="AB157" s="503" t="s">
        <v>482</v>
      </c>
      <c r="AC157" s="503"/>
      <c r="AD157" s="503"/>
      <c r="AE157" s="503" t="s">
        <v>482</v>
      </c>
      <c r="AF157" s="503" t="s">
        <v>482</v>
      </c>
      <c r="AG157" s="503" t="s">
        <v>482</v>
      </c>
      <c r="AH157" s="648">
        <v>88</v>
      </c>
      <c r="AI157" s="649">
        <v>37</v>
      </c>
    </row>
    <row r="158" spans="1:35" ht="21" customHeight="1" x14ac:dyDescent="0.2">
      <c r="A158" s="441"/>
      <c r="B158" s="676" t="s">
        <v>615</v>
      </c>
      <c r="C158" s="503" t="s">
        <v>482</v>
      </c>
      <c r="D158" s="503" t="s">
        <v>482</v>
      </c>
      <c r="E158" s="503" t="s">
        <v>482</v>
      </c>
      <c r="F158" s="503" t="s">
        <v>482</v>
      </c>
      <c r="G158" s="503" t="s">
        <v>482</v>
      </c>
      <c r="H158" s="503"/>
      <c r="I158" s="503"/>
      <c r="J158" s="1059" t="s">
        <v>482</v>
      </c>
      <c r="K158" s="1059" t="s">
        <v>482</v>
      </c>
      <c r="L158" s="503" t="s">
        <v>482</v>
      </c>
      <c r="M158" s="503" t="s">
        <v>482</v>
      </c>
      <c r="N158" s="503" t="s">
        <v>482</v>
      </c>
      <c r="O158" s="503"/>
      <c r="P158" s="503"/>
      <c r="Q158" s="503">
        <v>4</v>
      </c>
      <c r="R158" s="503">
        <v>4</v>
      </c>
      <c r="S158" s="503">
        <v>4</v>
      </c>
      <c r="T158" s="503">
        <v>4</v>
      </c>
      <c r="U158" s="503" t="s">
        <v>475</v>
      </c>
      <c r="V158" s="503"/>
      <c r="W158" s="503"/>
      <c r="X158" s="503" t="s">
        <v>482</v>
      </c>
      <c r="Y158" s="503" t="s">
        <v>482</v>
      </c>
      <c r="Z158" s="503" t="s">
        <v>482</v>
      </c>
      <c r="AA158" s="503" t="s">
        <v>482</v>
      </c>
      <c r="AB158" s="1058" t="s">
        <v>482</v>
      </c>
      <c r="AC158" s="503"/>
      <c r="AD158" s="503"/>
      <c r="AE158" s="503" t="s">
        <v>482</v>
      </c>
      <c r="AF158" s="1104" t="s">
        <v>482</v>
      </c>
      <c r="AG158" s="1104" t="s">
        <v>482</v>
      </c>
      <c r="AH158" s="648">
        <v>59</v>
      </c>
      <c r="AI158" s="649">
        <v>37</v>
      </c>
    </row>
    <row r="159" spans="1:35" ht="21" customHeight="1" x14ac:dyDescent="0.2">
      <c r="A159" s="441">
        <v>8514</v>
      </c>
      <c r="B159" s="673" t="s">
        <v>433</v>
      </c>
      <c r="C159" s="503" t="s">
        <v>482</v>
      </c>
      <c r="D159" s="503" t="s">
        <v>482</v>
      </c>
      <c r="E159" s="503" t="s">
        <v>482</v>
      </c>
      <c r="F159" s="503" t="s">
        <v>482</v>
      </c>
      <c r="G159" s="503" t="s">
        <v>482</v>
      </c>
      <c r="H159" s="503"/>
      <c r="I159" s="503"/>
      <c r="J159" s="503" t="s">
        <v>482</v>
      </c>
      <c r="K159" s="503" t="s">
        <v>482</v>
      </c>
      <c r="L159" s="503" t="s">
        <v>482</v>
      </c>
      <c r="M159" s="503" t="s">
        <v>482</v>
      </c>
      <c r="N159" s="503" t="s">
        <v>482</v>
      </c>
      <c r="O159" s="503"/>
      <c r="P159" s="503"/>
      <c r="Q159" s="503" t="s">
        <v>482</v>
      </c>
      <c r="R159" s="503" t="s">
        <v>482</v>
      </c>
      <c r="S159" s="503" t="s">
        <v>482</v>
      </c>
      <c r="T159" s="503" t="s">
        <v>482</v>
      </c>
      <c r="U159" s="503" t="s">
        <v>482</v>
      </c>
      <c r="V159" s="503"/>
      <c r="W159" s="503"/>
      <c r="X159" s="503" t="s">
        <v>482</v>
      </c>
      <c r="Y159" s="503" t="s">
        <v>482</v>
      </c>
      <c r="Z159" s="503" t="s">
        <v>482</v>
      </c>
      <c r="AA159" s="503" t="s">
        <v>482</v>
      </c>
      <c r="AB159" s="503" t="s">
        <v>482</v>
      </c>
      <c r="AC159" s="503"/>
      <c r="AD159" s="503"/>
      <c r="AE159" s="503" t="s">
        <v>482</v>
      </c>
      <c r="AF159" s="503" t="s">
        <v>482</v>
      </c>
      <c r="AG159" s="503" t="s">
        <v>482</v>
      </c>
      <c r="AH159" s="648">
        <v>37</v>
      </c>
      <c r="AI159" s="649">
        <v>37</v>
      </c>
    </row>
    <row r="160" spans="1:35" ht="21.95" customHeight="1" x14ac:dyDescent="0.2">
      <c r="A160" s="441">
        <v>3701</v>
      </c>
      <c r="B160" s="673" t="s">
        <v>431</v>
      </c>
      <c r="C160" s="1059" t="s">
        <v>482</v>
      </c>
      <c r="D160" s="1059" t="s">
        <v>482</v>
      </c>
      <c r="E160" s="1059" t="s">
        <v>482</v>
      </c>
      <c r="F160" s="1059" t="s">
        <v>482</v>
      </c>
      <c r="G160" s="1059" t="s">
        <v>482</v>
      </c>
      <c r="H160" s="1059"/>
      <c r="I160" s="1059"/>
      <c r="J160" s="1059" t="s">
        <v>482</v>
      </c>
      <c r="K160" s="1059" t="s">
        <v>482</v>
      </c>
      <c r="L160" s="1059" t="s">
        <v>482</v>
      </c>
      <c r="M160" s="1059" t="s">
        <v>482</v>
      </c>
      <c r="N160" s="1059" t="s">
        <v>482</v>
      </c>
      <c r="O160" s="1059"/>
      <c r="P160" s="1059"/>
      <c r="Q160" s="1058" t="s">
        <v>482</v>
      </c>
      <c r="R160" s="1058" t="s">
        <v>482</v>
      </c>
      <c r="S160" s="1058" t="s">
        <v>482</v>
      </c>
      <c r="T160" s="503" t="s">
        <v>482</v>
      </c>
      <c r="U160" s="503" t="s">
        <v>482</v>
      </c>
      <c r="V160" s="503"/>
      <c r="W160" s="503"/>
      <c r="X160" s="503" t="s">
        <v>482</v>
      </c>
      <c r="Y160" s="503" t="s">
        <v>482</v>
      </c>
      <c r="Z160" s="503" t="s">
        <v>482</v>
      </c>
      <c r="AA160" s="503" t="s">
        <v>482</v>
      </c>
      <c r="AB160" s="503" t="s">
        <v>482</v>
      </c>
      <c r="AC160" s="503"/>
      <c r="AD160" s="503"/>
      <c r="AE160" s="503" t="s">
        <v>482</v>
      </c>
      <c r="AF160" s="503" t="s">
        <v>482</v>
      </c>
      <c r="AG160" s="503" t="s">
        <v>482</v>
      </c>
      <c r="AH160" s="648">
        <v>148</v>
      </c>
      <c r="AI160" s="649">
        <v>37</v>
      </c>
    </row>
    <row r="161" spans="1:35" ht="21.95" customHeight="1" x14ac:dyDescent="0.2">
      <c r="A161" s="441">
        <v>3701</v>
      </c>
      <c r="B161" s="673" t="s">
        <v>434</v>
      </c>
      <c r="C161" s="503" t="s">
        <v>482</v>
      </c>
      <c r="D161" s="503" t="s">
        <v>482</v>
      </c>
      <c r="E161" s="503" t="s">
        <v>482</v>
      </c>
      <c r="F161" s="503" t="s">
        <v>482</v>
      </c>
      <c r="G161" s="503" t="s">
        <v>482</v>
      </c>
      <c r="H161" s="503"/>
      <c r="I161" s="503"/>
      <c r="J161" s="503" t="s">
        <v>482</v>
      </c>
      <c r="K161" s="503" t="s">
        <v>482</v>
      </c>
      <c r="L161" s="503" t="s">
        <v>482</v>
      </c>
      <c r="M161" s="503" t="s">
        <v>482</v>
      </c>
      <c r="N161" s="503" t="s">
        <v>482</v>
      </c>
      <c r="O161" s="503"/>
      <c r="P161" s="503"/>
      <c r="Q161" s="503" t="s">
        <v>482</v>
      </c>
      <c r="R161" s="503" t="s">
        <v>482</v>
      </c>
      <c r="S161" s="503" t="s">
        <v>482</v>
      </c>
      <c r="T161" s="503" t="s">
        <v>482</v>
      </c>
      <c r="U161" s="503" t="s">
        <v>482</v>
      </c>
      <c r="V161" s="503"/>
      <c r="W161" s="503"/>
      <c r="X161" s="503">
        <v>19</v>
      </c>
      <c r="Y161" s="503">
        <v>19</v>
      </c>
      <c r="Z161" s="503">
        <v>19</v>
      </c>
      <c r="AA161" s="503">
        <v>19</v>
      </c>
      <c r="AB161" s="503">
        <v>17</v>
      </c>
      <c r="AC161" s="503"/>
      <c r="AD161" s="503"/>
      <c r="AE161" s="503" t="s">
        <v>482</v>
      </c>
      <c r="AF161" s="503" t="s">
        <v>482</v>
      </c>
      <c r="AG161" s="503" t="s">
        <v>482</v>
      </c>
      <c r="AH161" s="648">
        <v>37</v>
      </c>
      <c r="AI161" s="649">
        <v>21</v>
      </c>
    </row>
    <row r="162" spans="1:35" ht="21.95" customHeight="1" x14ac:dyDescent="0.2">
      <c r="A162" s="441">
        <v>3701</v>
      </c>
      <c r="B162" s="673" t="s">
        <v>436</v>
      </c>
      <c r="C162" s="1059" t="s">
        <v>482</v>
      </c>
      <c r="D162" s="1059" t="s">
        <v>482</v>
      </c>
      <c r="E162" s="1059" t="s">
        <v>482</v>
      </c>
      <c r="F162" s="1059" t="s">
        <v>482</v>
      </c>
      <c r="G162" s="1059" t="s">
        <v>482</v>
      </c>
      <c r="H162" s="1059"/>
      <c r="I162" s="1059"/>
      <c r="J162" s="1059" t="s">
        <v>482</v>
      </c>
      <c r="K162" s="1059" t="s">
        <v>482</v>
      </c>
      <c r="L162" s="1059" t="s">
        <v>482</v>
      </c>
      <c r="M162" s="1059" t="s">
        <v>482</v>
      </c>
      <c r="N162" s="1059" t="s">
        <v>482</v>
      </c>
      <c r="O162" s="1059"/>
      <c r="P162" s="1059"/>
      <c r="Q162" s="1059" t="s">
        <v>552</v>
      </c>
      <c r="R162" s="1059" t="s">
        <v>552</v>
      </c>
      <c r="S162" s="1059" t="s">
        <v>552</v>
      </c>
      <c r="T162" s="1059" t="s">
        <v>552</v>
      </c>
      <c r="U162" s="1059" t="s">
        <v>552</v>
      </c>
      <c r="V162" s="1059"/>
      <c r="W162" s="1059"/>
      <c r="X162" s="503" t="s">
        <v>482</v>
      </c>
      <c r="Y162" s="503" t="s">
        <v>482</v>
      </c>
      <c r="Z162" s="503" t="s">
        <v>482</v>
      </c>
      <c r="AA162" s="503" t="s">
        <v>482</v>
      </c>
      <c r="AB162" s="503" t="s">
        <v>482</v>
      </c>
      <c r="AC162" s="503"/>
      <c r="AD162" s="503"/>
      <c r="AE162" s="503" t="s">
        <v>482</v>
      </c>
      <c r="AF162" s="503" t="s">
        <v>482</v>
      </c>
      <c r="AG162" s="503" t="s">
        <v>482</v>
      </c>
      <c r="AH162" s="648">
        <v>148</v>
      </c>
      <c r="AI162" s="649">
        <v>37</v>
      </c>
    </row>
    <row r="163" spans="1:35" ht="21.95" customHeight="1" x14ac:dyDescent="0.2">
      <c r="A163" s="441">
        <v>3701</v>
      </c>
      <c r="B163" s="673" t="s">
        <v>437</v>
      </c>
      <c r="C163" s="1059" t="s">
        <v>482</v>
      </c>
      <c r="D163" s="1059" t="s">
        <v>482</v>
      </c>
      <c r="E163" s="1059" t="s">
        <v>482</v>
      </c>
      <c r="F163" s="1059" t="s">
        <v>482</v>
      </c>
      <c r="G163" s="1059" t="s">
        <v>482</v>
      </c>
      <c r="H163" s="1059"/>
      <c r="I163" s="1059"/>
      <c r="J163" s="503" t="s">
        <v>482</v>
      </c>
      <c r="K163" s="503" t="s">
        <v>482</v>
      </c>
      <c r="L163" s="503" t="s">
        <v>482</v>
      </c>
      <c r="M163" s="503" t="s">
        <v>482</v>
      </c>
      <c r="N163" s="503" t="s">
        <v>482</v>
      </c>
      <c r="O163" s="503"/>
      <c r="P163" s="503"/>
      <c r="Q163" s="503">
        <v>19</v>
      </c>
      <c r="R163" s="503">
        <v>19</v>
      </c>
      <c r="S163" s="503">
        <v>19</v>
      </c>
      <c r="T163" s="503">
        <v>19</v>
      </c>
      <c r="U163" s="503">
        <v>17</v>
      </c>
      <c r="V163" s="503"/>
      <c r="W163" s="503"/>
      <c r="X163" s="503" t="s">
        <v>482</v>
      </c>
      <c r="Y163" s="503" t="s">
        <v>482</v>
      </c>
      <c r="Z163" s="503" t="s">
        <v>482</v>
      </c>
      <c r="AA163" s="503" t="s">
        <v>482</v>
      </c>
      <c r="AB163" s="503" t="s">
        <v>482</v>
      </c>
      <c r="AC163" s="503"/>
      <c r="AD163" s="503"/>
      <c r="AE163" s="503" t="s">
        <v>552</v>
      </c>
      <c r="AF163" s="503" t="s">
        <v>552</v>
      </c>
      <c r="AG163" s="503" t="s">
        <v>552</v>
      </c>
      <c r="AH163" s="648">
        <v>114</v>
      </c>
      <c r="AI163" s="649">
        <v>37</v>
      </c>
    </row>
    <row r="164" spans="1:35" ht="21.95" customHeight="1" x14ac:dyDescent="0.2">
      <c r="A164" s="441">
        <v>3701</v>
      </c>
      <c r="B164" s="673" t="s">
        <v>618</v>
      </c>
      <c r="C164" s="503">
        <v>19</v>
      </c>
      <c r="D164" s="503">
        <v>19</v>
      </c>
      <c r="E164" s="503">
        <v>19</v>
      </c>
      <c r="F164" s="503">
        <v>19</v>
      </c>
      <c r="G164" s="503">
        <v>17</v>
      </c>
      <c r="H164" s="503"/>
      <c r="I164" s="503"/>
      <c r="J164" s="503" t="s">
        <v>482</v>
      </c>
      <c r="K164" s="503" t="s">
        <v>482</v>
      </c>
      <c r="L164" s="503" t="s">
        <v>482</v>
      </c>
      <c r="M164" s="503" t="s">
        <v>482</v>
      </c>
      <c r="N164" s="503" t="s">
        <v>482</v>
      </c>
      <c r="O164" s="503"/>
      <c r="P164" s="503"/>
      <c r="Q164" s="503" t="s">
        <v>482</v>
      </c>
      <c r="R164" s="503" t="s">
        <v>482</v>
      </c>
      <c r="S164" s="503" t="s">
        <v>482</v>
      </c>
      <c r="T164" s="503" t="s">
        <v>482</v>
      </c>
      <c r="U164" s="503" t="s">
        <v>482</v>
      </c>
      <c r="V164" s="503"/>
      <c r="W164" s="503"/>
      <c r="X164" s="503" t="s">
        <v>482</v>
      </c>
      <c r="Y164" s="503" t="s">
        <v>482</v>
      </c>
      <c r="Z164" s="503" t="s">
        <v>482</v>
      </c>
      <c r="AA164" s="503" t="s">
        <v>482</v>
      </c>
      <c r="AB164" s="503" t="s">
        <v>482</v>
      </c>
      <c r="AC164" s="503"/>
      <c r="AD164" s="503"/>
      <c r="AE164" s="503">
        <v>19</v>
      </c>
      <c r="AF164" s="503">
        <v>19</v>
      </c>
      <c r="AG164" s="503">
        <v>19</v>
      </c>
      <c r="AH164" s="648">
        <v>37</v>
      </c>
      <c r="AI164" s="649">
        <v>37</v>
      </c>
    </row>
    <row r="165" spans="1:35" ht="21.95" customHeight="1" x14ac:dyDescent="0.2">
      <c r="A165" s="441">
        <v>3701</v>
      </c>
      <c r="B165" s="552" t="s">
        <v>619</v>
      </c>
      <c r="C165" s="503" t="s">
        <v>482</v>
      </c>
      <c r="D165" s="503" t="s">
        <v>482</v>
      </c>
      <c r="E165" s="503" t="s">
        <v>482</v>
      </c>
      <c r="F165" s="503" t="s">
        <v>482</v>
      </c>
      <c r="G165" s="503" t="s">
        <v>482</v>
      </c>
      <c r="H165" s="503"/>
      <c r="I165" s="503"/>
      <c r="J165" s="503">
        <v>19</v>
      </c>
      <c r="K165" s="503">
        <v>19</v>
      </c>
      <c r="L165" s="503">
        <v>19</v>
      </c>
      <c r="M165" s="503">
        <v>19</v>
      </c>
      <c r="N165" s="503">
        <v>17</v>
      </c>
      <c r="O165" s="503"/>
      <c r="P165" s="503"/>
      <c r="Q165" s="503" t="s">
        <v>482</v>
      </c>
      <c r="R165" s="503" t="s">
        <v>482</v>
      </c>
      <c r="S165" s="503" t="s">
        <v>482</v>
      </c>
      <c r="T165" s="503" t="s">
        <v>482</v>
      </c>
      <c r="U165" s="503" t="s">
        <v>482</v>
      </c>
      <c r="V165" s="503"/>
      <c r="W165" s="503"/>
      <c r="X165" s="503" t="s">
        <v>552</v>
      </c>
      <c r="Y165" s="503" t="s">
        <v>552</v>
      </c>
      <c r="Z165" s="503" t="s">
        <v>552</v>
      </c>
      <c r="AA165" s="503" t="s">
        <v>552</v>
      </c>
      <c r="AB165" s="503" t="s">
        <v>552</v>
      </c>
      <c r="AC165" s="503"/>
      <c r="AD165" s="503"/>
      <c r="AE165" s="1104" t="s">
        <v>730</v>
      </c>
      <c r="AF165" s="503" t="s">
        <v>482</v>
      </c>
      <c r="AG165" s="503" t="s">
        <v>482</v>
      </c>
      <c r="AH165" s="648">
        <v>37</v>
      </c>
      <c r="AI165" s="649">
        <v>37</v>
      </c>
    </row>
    <row r="166" spans="1:35" ht="21.95" customHeight="1" x14ac:dyDescent="0.2">
      <c r="A166" s="441">
        <v>3701</v>
      </c>
      <c r="B166" s="1434" t="s">
        <v>620</v>
      </c>
      <c r="C166" s="1059" t="s">
        <v>482</v>
      </c>
      <c r="D166" s="1059" t="s">
        <v>482</v>
      </c>
      <c r="E166" s="1059" t="s">
        <v>482</v>
      </c>
      <c r="F166" s="1059" t="s">
        <v>482</v>
      </c>
      <c r="G166" s="1059" t="s">
        <v>482</v>
      </c>
      <c r="H166" s="1059"/>
      <c r="I166" s="1059"/>
      <c r="J166" s="1059" t="s">
        <v>552</v>
      </c>
      <c r="K166" s="1059" t="s">
        <v>552</v>
      </c>
      <c r="L166" s="1059" t="s">
        <v>552</v>
      </c>
      <c r="M166" s="1059" t="s">
        <v>552</v>
      </c>
      <c r="N166" s="1059" t="s">
        <v>552</v>
      </c>
      <c r="O166" s="1059"/>
      <c r="P166" s="1059"/>
      <c r="Q166" s="1059" t="s">
        <v>482</v>
      </c>
      <c r="R166" s="1059" t="s">
        <v>482</v>
      </c>
      <c r="S166" s="1059" t="s">
        <v>482</v>
      </c>
      <c r="T166" s="1059" t="s">
        <v>482</v>
      </c>
      <c r="U166" s="1059" t="s">
        <v>482</v>
      </c>
      <c r="V166" s="1059"/>
      <c r="W166" s="1059"/>
      <c r="X166" s="503" t="s">
        <v>482</v>
      </c>
      <c r="Y166" s="503" t="s">
        <v>482</v>
      </c>
      <c r="Z166" s="503" t="s">
        <v>482</v>
      </c>
      <c r="AA166" s="503" t="s">
        <v>482</v>
      </c>
      <c r="AB166" s="503" t="s">
        <v>482</v>
      </c>
      <c r="AC166" s="503"/>
      <c r="AD166" s="503"/>
      <c r="AE166" s="503" t="s">
        <v>482</v>
      </c>
      <c r="AF166" s="503" t="s">
        <v>482</v>
      </c>
      <c r="AG166" s="503" t="s">
        <v>482</v>
      </c>
      <c r="AH166" s="648">
        <v>74</v>
      </c>
      <c r="AI166" s="649">
        <v>37</v>
      </c>
    </row>
    <row r="167" spans="1:35" ht="21.95" customHeight="1" x14ac:dyDescent="0.2">
      <c r="A167" s="1433">
        <v>3701</v>
      </c>
      <c r="B167" s="552" t="s">
        <v>621</v>
      </c>
      <c r="C167" s="1059" t="s">
        <v>482</v>
      </c>
      <c r="D167" s="1059" t="s">
        <v>482</v>
      </c>
      <c r="E167" s="1059" t="s">
        <v>482</v>
      </c>
      <c r="F167" s="1059" t="s">
        <v>482</v>
      </c>
      <c r="G167" s="1059" t="s">
        <v>482</v>
      </c>
      <c r="H167" s="1059"/>
      <c r="I167" s="1059"/>
      <c r="J167" s="503" t="s">
        <v>482</v>
      </c>
      <c r="K167" s="503" t="s">
        <v>482</v>
      </c>
      <c r="L167" s="503" t="s">
        <v>482</v>
      </c>
      <c r="M167" s="503" t="s">
        <v>482</v>
      </c>
      <c r="N167" s="503" t="s">
        <v>482</v>
      </c>
      <c r="O167" s="503"/>
      <c r="P167" s="503"/>
      <c r="Q167" s="503" t="s">
        <v>482</v>
      </c>
      <c r="R167" s="503" t="s">
        <v>482</v>
      </c>
      <c r="S167" s="503" t="s">
        <v>482</v>
      </c>
      <c r="T167" s="503" t="s">
        <v>482</v>
      </c>
      <c r="U167" s="503" t="s">
        <v>482</v>
      </c>
      <c r="V167" s="503"/>
      <c r="W167" s="503"/>
      <c r="X167" s="503" t="s">
        <v>482</v>
      </c>
      <c r="Y167" s="503" t="s">
        <v>482</v>
      </c>
      <c r="Z167" s="503" t="s">
        <v>482</v>
      </c>
      <c r="AA167" s="503" t="s">
        <v>482</v>
      </c>
      <c r="AB167" s="503" t="s">
        <v>482</v>
      </c>
      <c r="AC167" s="503"/>
      <c r="AD167" s="503"/>
      <c r="AE167" s="503" t="s">
        <v>482</v>
      </c>
      <c r="AF167" s="503" t="s">
        <v>482</v>
      </c>
      <c r="AG167" s="503" t="s">
        <v>482</v>
      </c>
      <c r="AH167" s="648">
        <v>74</v>
      </c>
      <c r="AI167" s="649">
        <v>37</v>
      </c>
    </row>
    <row r="168" spans="1:35" ht="21.95" customHeight="1" x14ac:dyDescent="0.2">
      <c r="A168" s="441">
        <v>3701</v>
      </c>
      <c r="B168" s="673" t="s">
        <v>622</v>
      </c>
      <c r="C168" s="503" t="s">
        <v>482</v>
      </c>
      <c r="D168" s="503" t="s">
        <v>482</v>
      </c>
      <c r="E168" s="503" t="s">
        <v>482</v>
      </c>
      <c r="F168" s="503" t="s">
        <v>482</v>
      </c>
      <c r="G168" s="503" t="s">
        <v>482</v>
      </c>
      <c r="H168" s="503"/>
      <c r="I168" s="503"/>
      <c r="J168" s="503" t="s">
        <v>482</v>
      </c>
      <c r="K168" s="503" t="s">
        <v>482</v>
      </c>
      <c r="L168" s="503" t="s">
        <v>482</v>
      </c>
      <c r="M168" s="503" t="s">
        <v>482</v>
      </c>
      <c r="N168" s="503" t="s">
        <v>482</v>
      </c>
      <c r="O168" s="503"/>
      <c r="P168" s="503"/>
      <c r="Q168" s="503" t="s">
        <v>482</v>
      </c>
      <c r="R168" s="503" t="s">
        <v>482</v>
      </c>
      <c r="S168" s="503" t="s">
        <v>482</v>
      </c>
      <c r="T168" s="503" t="s">
        <v>482</v>
      </c>
      <c r="U168" s="503" t="s">
        <v>482</v>
      </c>
      <c r="V168" s="503"/>
      <c r="W168" s="503"/>
      <c r="X168" s="503" t="s">
        <v>482</v>
      </c>
      <c r="Y168" s="503" t="s">
        <v>482</v>
      </c>
      <c r="Z168" s="503" t="s">
        <v>482</v>
      </c>
      <c r="AA168" s="503" t="s">
        <v>482</v>
      </c>
      <c r="AB168" s="503" t="s">
        <v>482</v>
      </c>
      <c r="AC168" s="503"/>
      <c r="AD168" s="503"/>
      <c r="AE168" s="503" t="s">
        <v>482</v>
      </c>
      <c r="AF168" s="503" t="s">
        <v>482</v>
      </c>
      <c r="AG168" s="503" t="s">
        <v>482</v>
      </c>
      <c r="AH168" s="648">
        <v>119</v>
      </c>
      <c r="AI168" s="649">
        <v>37</v>
      </c>
    </row>
    <row r="169" spans="1:35" ht="21.95" customHeight="1" x14ac:dyDescent="0.2">
      <c r="A169" s="441">
        <v>3701</v>
      </c>
      <c r="B169" s="673" t="s">
        <v>623</v>
      </c>
      <c r="C169" s="503" t="s">
        <v>482</v>
      </c>
      <c r="D169" s="503" t="s">
        <v>482</v>
      </c>
      <c r="E169" s="503" t="s">
        <v>482</v>
      </c>
      <c r="F169" s="503" t="s">
        <v>482</v>
      </c>
      <c r="G169" s="503" t="s">
        <v>482</v>
      </c>
      <c r="H169" s="503"/>
      <c r="I169" s="503"/>
      <c r="J169" s="503" t="s">
        <v>482</v>
      </c>
      <c r="K169" s="503" t="s">
        <v>482</v>
      </c>
      <c r="L169" s="1104" t="s">
        <v>482</v>
      </c>
      <c r="M169" s="1104" t="s">
        <v>482</v>
      </c>
      <c r="N169" s="1104" t="s">
        <v>617</v>
      </c>
      <c r="O169" s="503"/>
      <c r="P169" s="503"/>
      <c r="Q169" s="503" t="s">
        <v>482</v>
      </c>
      <c r="R169" s="503" t="s">
        <v>482</v>
      </c>
      <c r="S169" s="1058" t="s">
        <v>482</v>
      </c>
      <c r="T169" s="503" t="s">
        <v>482</v>
      </c>
      <c r="U169" s="1081" t="s">
        <v>482</v>
      </c>
      <c r="V169" s="503"/>
      <c r="W169" s="503"/>
      <c r="X169" s="503" t="s">
        <v>482</v>
      </c>
      <c r="Y169" s="503" t="s">
        <v>482</v>
      </c>
      <c r="Z169" s="503" t="s">
        <v>482</v>
      </c>
      <c r="AA169" s="503" t="s">
        <v>482</v>
      </c>
      <c r="AB169" s="503" t="s">
        <v>482</v>
      </c>
      <c r="AC169" s="503"/>
      <c r="AD169" s="503"/>
      <c r="AE169" s="503" t="s">
        <v>482</v>
      </c>
      <c r="AF169" s="503" t="s">
        <v>482</v>
      </c>
      <c r="AG169" s="503" t="s">
        <v>482</v>
      </c>
      <c r="AH169" s="648">
        <v>6</v>
      </c>
      <c r="AI169" s="649">
        <v>15</v>
      </c>
    </row>
    <row r="170" spans="1:35" ht="21.95" customHeight="1" x14ac:dyDescent="0.2">
      <c r="A170" s="441">
        <v>3701</v>
      </c>
      <c r="B170" s="673"/>
      <c r="C170" s="503"/>
      <c r="D170" s="503"/>
      <c r="E170" s="503"/>
      <c r="F170" s="503"/>
      <c r="G170" s="503"/>
      <c r="H170" s="503"/>
      <c r="I170" s="503"/>
      <c r="J170" s="503"/>
      <c r="K170" s="503"/>
      <c r="L170" s="503"/>
      <c r="M170" s="503"/>
      <c r="N170" s="503"/>
      <c r="O170" s="503"/>
      <c r="P170" s="503"/>
      <c r="Q170" s="503"/>
      <c r="R170" s="503"/>
      <c r="S170" s="503"/>
      <c r="T170" s="503"/>
      <c r="U170" s="503"/>
      <c r="V170" s="503"/>
      <c r="W170" s="503"/>
      <c r="X170" s="503"/>
      <c r="Y170" s="503"/>
      <c r="Z170" s="503"/>
      <c r="AA170" s="503"/>
      <c r="AB170" s="503"/>
      <c r="AC170" s="503"/>
      <c r="AD170" s="503"/>
      <c r="AE170" s="503"/>
      <c r="AF170" s="503"/>
      <c r="AG170" s="503"/>
      <c r="AH170" s="648"/>
      <c r="AI170" s="649"/>
    </row>
    <row r="171" spans="1:35" ht="21.95" customHeight="1" x14ac:dyDescent="0.2">
      <c r="A171" s="441">
        <v>3701</v>
      </c>
      <c r="B171" s="673"/>
      <c r="C171" s="503"/>
      <c r="D171" s="503"/>
      <c r="E171" s="503"/>
      <c r="F171" s="503"/>
      <c r="G171" s="503"/>
      <c r="H171" s="503"/>
      <c r="I171" s="503"/>
      <c r="J171" s="503"/>
      <c r="K171" s="503"/>
      <c r="L171" s="503"/>
      <c r="M171" s="503"/>
      <c r="N171" s="503"/>
      <c r="O171" s="503"/>
      <c r="P171" s="503"/>
      <c r="Q171" s="503"/>
      <c r="R171" s="503"/>
      <c r="S171" s="503"/>
      <c r="T171" s="503"/>
      <c r="U171" s="503"/>
      <c r="V171" s="503"/>
      <c r="W171" s="503"/>
      <c r="X171" s="503"/>
      <c r="Y171" s="503"/>
      <c r="Z171" s="503"/>
      <c r="AA171" s="503"/>
      <c r="AB171" s="503"/>
      <c r="AC171" s="503"/>
      <c r="AD171" s="503"/>
      <c r="AE171" s="503"/>
      <c r="AF171" s="503"/>
      <c r="AG171" s="503"/>
      <c r="AH171" s="648"/>
      <c r="AI171" s="649"/>
    </row>
    <row r="172" spans="1:35" ht="21.95" customHeight="1" x14ac:dyDescent="0.2">
      <c r="A172" s="621"/>
      <c r="B172" s="677"/>
      <c r="C172" s="590"/>
      <c r="D172" s="590"/>
      <c r="E172" s="590"/>
      <c r="F172" s="590"/>
      <c r="G172" s="590"/>
      <c r="H172" s="590"/>
      <c r="I172" s="590"/>
      <c r="J172" s="590"/>
      <c r="K172" s="525"/>
      <c r="L172" s="590"/>
      <c r="M172" s="590"/>
      <c r="N172" s="590"/>
      <c r="O172" s="590"/>
      <c r="P172" s="546"/>
      <c r="Q172" s="546"/>
      <c r="R172" s="546"/>
      <c r="S172" s="590"/>
      <c r="T172" s="590"/>
      <c r="U172" s="590"/>
      <c r="V172" s="590"/>
      <c r="W172" s="590"/>
      <c r="X172" s="590"/>
      <c r="Y172" s="590"/>
      <c r="Z172" s="590"/>
      <c r="AA172" s="590"/>
      <c r="AB172" s="590"/>
      <c r="AC172" s="590"/>
      <c r="AD172" s="590"/>
      <c r="AE172" s="590"/>
      <c r="AF172" s="590"/>
      <c r="AG172" s="590"/>
      <c r="AH172" s="591"/>
      <c r="AI172" s="591"/>
    </row>
    <row r="173" spans="1:35" ht="21.95" customHeight="1" x14ac:dyDescent="0.2"/>
    <row r="174" spans="1:35" ht="21" customHeight="1" x14ac:dyDescent="0.2">
      <c r="A174" s="1" t="s">
        <v>624</v>
      </c>
    </row>
    <row r="175" spans="1:35" ht="21" customHeight="1" x14ac:dyDescent="0.2">
      <c r="B175" s="200" t="s">
        <v>604</v>
      </c>
      <c r="C175" s="7"/>
      <c r="D175" s="530" t="s">
        <v>2</v>
      </c>
      <c r="E175" s="51"/>
      <c r="F175" s="573"/>
      <c r="G175" s="7"/>
      <c r="H175" s="530" t="s">
        <v>3</v>
      </c>
      <c r="I175" s="51"/>
      <c r="J175" s="573"/>
      <c r="K175" s="7"/>
      <c r="L175" s="530" t="s">
        <v>4</v>
      </c>
      <c r="M175" s="51"/>
      <c r="N175" s="573"/>
      <c r="O175" s="7"/>
      <c r="P175" s="530" t="s">
        <v>5</v>
      </c>
      <c r="Q175" s="51"/>
      <c r="R175" s="573"/>
      <c r="S175" s="7"/>
      <c r="T175" s="530" t="s">
        <v>6</v>
      </c>
      <c r="U175" s="51"/>
      <c r="V175" s="573"/>
      <c r="W175" s="7"/>
      <c r="X175" s="530" t="s">
        <v>7</v>
      </c>
      <c r="Y175" s="51"/>
      <c r="Z175" s="573"/>
      <c r="AA175" s="7"/>
      <c r="AB175" s="530" t="s">
        <v>8</v>
      </c>
      <c r="AC175" s="51"/>
      <c r="AD175" s="51"/>
      <c r="AE175" s="424" t="s">
        <v>10</v>
      </c>
      <c r="AF175" s="51"/>
      <c r="AG175" s="51"/>
      <c r="AH175" s="51"/>
      <c r="AI175" s="531"/>
    </row>
    <row r="176" spans="1:35" ht="21" customHeight="1" x14ac:dyDescent="0.2">
      <c r="B176" s="9">
        <v>8502</v>
      </c>
      <c r="C176" s="14" t="s">
        <v>11</v>
      </c>
      <c r="D176" s="659"/>
      <c r="E176" s="55"/>
      <c r="F176" s="580"/>
      <c r="G176" s="14" t="s">
        <v>11</v>
      </c>
      <c r="H176" s="659"/>
      <c r="I176" s="55"/>
      <c r="J176" s="580"/>
      <c r="K176" s="14" t="s">
        <v>11</v>
      </c>
      <c r="L176" s="659"/>
      <c r="M176" s="55"/>
      <c r="N176" s="580"/>
      <c r="O176" s="14" t="s">
        <v>11</v>
      </c>
      <c r="P176" s="659"/>
      <c r="Q176" s="55"/>
      <c r="R176" s="580"/>
      <c r="S176" s="14" t="s">
        <v>12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5" ht="21" customHeight="1" x14ac:dyDescent="0.2">
      <c r="B177" s="662">
        <v>3701</v>
      </c>
      <c r="C177" s="121" t="s">
        <v>11</v>
      </c>
      <c r="D177" s="130"/>
      <c r="E177" s="55"/>
      <c r="F177" s="580"/>
      <c r="G177" s="121" t="s">
        <v>11</v>
      </c>
      <c r="H177" s="659"/>
      <c r="I177" s="55"/>
      <c r="J177" s="580"/>
      <c r="K177" s="121" t="s">
        <v>11</v>
      </c>
      <c r="L177" s="659"/>
      <c r="M177" s="55"/>
      <c r="N177" s="580"/>
      <c r="O177" s="121" t="s">
        <v>11</v>
      </c>
      <c r="P177" s="659"/>
      <c r="Q177" s="55"/>
      <c r="R177" s="580"/>
      <c r="S177" s="14" t="s">
        <v>12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5" ht="21" customHeight="1" x14ac:dyDescent="0.2">
      <c r="B178" s="662">
        <v>3705</v>
      </c>
      <c r="C178" s="121" t="s">
        <v>147</v>
      </c>
      <c r="D178" s="130"/>
      <c r="E178" s="55"/>
      <c r="F178" s="580"/>
      <c r="G178" s="121" t="s">
        <v>147</v>
      </c>
      <c r="H178" s="659"/>
      <c r="I178" s="55"/>
      <c r="J178" s="580"/>
      <c r="K178" s="121" t="s">
        <v>147</v>
      </c>
      <c r="L178" s="659"/>
      <c r="M178" s="55"/>
      <c r="N178" s="580"/>
      <c r="O178" s="121" t="s">
        <v>147</v>
      </c>
      <c r="P178" s="659"/>
      <c r="Q178" s="55"/>
      <c r="R178" s="580"/>
      <c r="S178" s="121" t="s">
        <v>536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5" ht="21" customHeight="1" x14ac:dyDescent="0.2">
      <c r="B179" s="662" t="s">
        <v>625</v>
      </c>
      <c r="C179" s="611" t="s">
        <v>626</v>
      </c>
      <c r="D179" s="130"/>
      <c r="E179" s="55"/>
      <c r="F179" s="580"/>
      <c r="G179" s="611" t="s">
        <v>626</v>
      </c>
      <c r="H179" s="659"/>
      <c r="I179" s="55"/>
      <c r="J179" s="580"/>
      <c r="K179" s="611" t="s">
        <v>626</v>
      </c>
      <c r="L179" s="659"/>
      <c r="M179" s="55"/>
      <c r="N179" s="580"/>
      <c r="O179" s="611" t="s">
        <v>626</v>
      </c>
      <c r="P179" s="659"/>
      <c r="Q179" s="55"/>
      <c r="R179" s="580"/>
      <c r="S179" s="611" t="s">
        <v>626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5" ht="21" customHeight="1" x14ac:dyDescent="0.2">
      <c r="B180" s="662" t="s">
        <v>627</v>
      </c>
      <c r="C180" s="611" t="s">
        <v>628</v>
      </c>
      <c r="D180" s="130"/>
      <c r="E180" s="55"/>
      <c r="F180" s="580"/>
      <c r="G180" s="659" t="s">
        <v>629</v>
      </c>
      <c r="H180" s="659"/>
      <c r="I180" s="55"/>
      <c r="J180" s="580"/>
      <c r="K180" s="659" t="s">
        <v>630</v>
      </c>
      <c r="L180" s="659"/>
      <c r="M180" s="55"/>
      <c r="N180" s="580"/>
      <c r="O180" s="659" t="s">
        <v>630</v>
      </c>
      <c r="P180" s="659"/>
      <c r="Q180" s="55"/>
      <c r="R180" s="580"/>
      <c r="S180" s="659" t="s">
        <v>631</v>
      </c>
      <c r="T180" s="659"/>
      <c r="U180" s="55"/>
      <c r="V180" s="580"/>
      <c r="W180" s="14"/>
      <c r="X180" s="659"/>
      <c r="Y180" s="55"/>
      <c r="Z180" s="580"/>
      <c r="AA180" s="14"/>
      <c r="AB180" s="659"/>
      <c r="AC180" s="55"/>
      <c r="AD180" s="55"/>
      <c r="AE180" s="660"/>
      <c r="AF180" s="55"/>
      <c r="AG180" s="55"/>
      <c r="AH180" s="55"/>
      <c r="AI180" s="661"/>
    </row>
    <row r="181" spans="1:35" ht="21" customHeight="1" x14ac:dyDescent="0.2">
      <c r="B181" s="662" t="s">
        <v>324</v>
      </c>
      <c r="C181" s="611" t="s">
        <v>632</v>
      </c>
      <c r="D181" s="130"/>
      <c r="E181" s="55"/>
      <c r="F181" s="580"/>
      <c r="G181" s="611" t="s">
        <v>632</v>
      </c>
      <c r="H181" s="130"/>
      <c r="I181" s="55"/>
      <c r="J181" s="580"/>
      <c r="K181" s="611" t="s">
        <v>632</v>
      </c>
      <c r="L181" s="130"/>
      <c r="M181" s="55"/>
      <c r="N181" s="580"/>
      <c r="O181" s="611" t="s">
        <v>632</v>
      </c>
      <c r="P181" s="130"/>
      <c r="Q181" s="55"/>
      <c r="R181" s="580"/>
      <c r="S181" s="659" t="s">
        <v>633</v>
      </c>
      <c r="T181" s="659"/>
      <c r="U181" s="55"/>
      <c r="V181" s="580"/>
      <c r="W181" s="14"/>
      <c r="X181" s="659"/>
      <c r="Y181" s="55"/>
      <c r="Z181" s="580"/>
      <c r="AA181" s="14"/>
      <c r="AB181" s="659"/>
      <c r="AC181" s="55"/>
      <c r="AD181" s="55"/>
      <c r="AE181" s="660"/>
      <c r="AF181" s="55"/>
      <c r="AG181" s="55"/>
      <c r="AH181" s="55"/>
      <c r="AI181" s="661"/>
    </row>
    <row r="182" spans="1:35" ht="21" customHeight="1" x14ac:dyDescent="0.2">
      <c r="B182" s="662" t="s">
        <v>325</v>
      </c>
      <c r="C182" s="611" t="s">
        <v>634</v>
      </c>
      <c r="D182" s="130"/>
      <c r="E182" s="55"/>
      <c r="F182" s="580"/>
      <c r="G182" s="611" t="s">
        <v>634</v>
      </c>
      <c r="H182" s="130"/>
      <c r="I182" s="55"/>
      <c r="J182" s="580"/>
      <c r="K182" s="611" t="s">
        <v>634</v>
      </c>
      <c r="L182" s="130"/>
      <c r="M182" s="55"/>
      <c r="N182" s="580"/>
      <c r="O182" s="611" t="s">
        <v>634</v>
      </c>
      <c r="P182" s="130"/>
      <c r="Q182" s="55"/>
      <c r="R182" s="580"/>
      <c r="S182" s="659" t="s">
        <v>635</v>
      </c>
      <c r="T182" s="659"/>
      <c r="U182" s="55"/>
      <c r="V182" s="580"/>
      <c r="W182" s="14"/>
      <c r="X182" s="659"/>
      <c r="Y182" s="55"/>
      <c r="Z182" s="580"/>
      <c r="AA182" s="14"/>
      <c r="AB182" s="659"/>
      <c r="AC182" s="55"/>
      <c r="AD182" s="55"/>
      <c r="AE182" s="660"/>
      <c r="AF182" s="55"/>
      <c r="AG182" s="55"/>
      <c r="AH182" s="55"/>
      <c r="AI182" s="661"/>
    </row>
    <row r="183" spans="1:35" ht="21" customHeight="1" x14ac:dyDescent="0.2">
      <c r="B183" s="671" t="s">
        <v>326</v>
      </c>
      <c r="C183" s="618" t="s">
        <v>722</v>
      </c>
      <c r="D183" s="48"/>
      <c r="E183" s="678"/>
      <c r="F183" s="239"/>
      <c r="G183" s="618" t="s">
        <v>731</v>
      </c>
      <c r="H183" s="48"/>
      <c r="I183" s="678"/>
      <c r="J183" s="239"/>
      <c r="K183" s="618" t="s">
        <v>731</v>
      </c>
      <c r="L183" s="48"/>
      <c r="M183" s="678"/>
      <c r="N183" s="239"/>
      <c r="O183" s="618" t="s">
        <v>731</v>
      </c>
      <c r="P183" s="48"/>
      <c r="Q183" s="678"/>
      <c r="R183" s="239"/>
      <c r="S183" s="148" t="s">
        <v>723</v>
      </c>
      <c r="T183" s="148"/>
      <c r="U183" s="678"/>
      <c r="V183" s="239"/>
      <c r="W183" s="679"/>
      <c r="X183" s="148"/>
      <c r="Y183" s="678"/>
      <c r="Z183" s="239"/>
      <c r="AA183" s="679"/>
      <c r="AB183" s="148"/>
      <c r="AC183" s="678"/>
      <c r="AD183" s="678"/>
      <c r="AE183" s="680"/>
      <c r="AF183" s="678"/>
      <c r="AG183" s="678"/>
      <c r="AH183" s="678"/>
      <c r="AI183" s="681"/>
    </row>
    <row r="184" spans="1:35" ht="21" customHeight="1" x14ac:dyDescent="0.2">
      <c r="B184" s="273"/>
      <c r="C184" s="311"/>
      <c r="D184" s="72"/>
      <c r="G184" s="311"/>
      <c r="H184" s="72"/>
      <c r="K184" s="311"/>
      <c r="L184" s="72"/>
      <c r="O184" s="311"/>
      <c r="P184" s="72"/>
      <c r="S184" s="311"/>
      <c r="T184" s="311"/>
      <c r="X184" s="311"/>
      <c r="AB184" s="311"/>
      <c r="AE184" s="311"/>
    </row>
    <row r="185" spans="1:35" ht="21" customHeight="1" x14ac:dyDescent="0.2">
      <c r="A185" s="682" t="s">
        <v>638</v>
      </c>
    </row>
    <row r="186" spans="1:35" ht="21" customHeight="1" x14ac:dyDescent="0.2">
      <c r="A186" s="585"/>
      <c r="B186" s="296" t="s">
        <v>469</v>
      </c>
      <c r="C186" s="177">
        <v>1</v>
      </c>
      <c r="D186" s="177">
        <v>2</v>
      </c>
      <c r="E186" s="177">
        <v>3</v>
      </c>
      <c r="F186" s="177">
        <v>4</v>
      </c>
      <c r="G186" s="177">
        <v>5</v>
      </c>
      <c r="H186" s="497">
        <v>6</v>
      </c>
      <c r="I186" s="497">
        <v>7</v>
      </c>
      <c r="J186" s="177">
        <v>8</v>
      </c>
      <c r="K186" s="177">
        <v>9</v>
      </c>
      <c r="L186" s="177">
        <v>10</v>
      </c>
      <c r="M186" s="177">
        <v>11</v>
      </c>
      <c r="N186" s="177">
        <v>12</v>
      </c>
      <c r="O186" s="497">
        <v>13</v>
      </c>
      <c r="P186" s="497">
        <v>14</v>
      </c>
      <c r="Q186" s="177">
        <v>15</v>
      </c>
      <c r="R186" s="177">
        <v>16</v>
      </c>
      <c r="S186" s="177">
        <v>17</v>
      </c>
      <c r="T186" s="177">
        <v>18</v>
      </c>
      <c r="U186" s="177">
        <v>19</v>
      </c>
      <c r="V186" s="497">
        <v>20</v>
      </c>
      <c r="W186" s="497">
        <v>21</v>
      </c>
      <c r="X186" s="177">
        <v>22</v>
      </c>
      <c r="Y186" s="177">
        <v>23</v>
      </c>
      <c r="Z186" s="177">
        <v>24</v>
      </c>
      <c r="AA186" s="177">
        <v>25</v>
      </c>
      <c r="AB186" s="177">
        <v>26</v>
      </c>
      <c r="AC186" s="497">
        <v>27</v>
      </c>
      <c r="AD186" s="497">
        <v>28</v>
      </c>
      <c r="AE186" s="177">
        <v>29</v>
      </c>
      <c r="AF186" s="177">
        <v>30</v>
      </c>
      <c r="AG186" s="177">
        <v>31</v>
      </c>
      <c r="AH186" s="499" t="s">
        <v>470</v>
      </c>
      <c r="AI186" s="500" t="s">
        <v>471</v>
      </c>
    </row>
    <row r="187" spans="1:35" ht="21" customHeight="1" x14ac:dyDescent="0.2">
      <c r="A187" s="441">
        <v>3702</v>
      </c>
      <c r="B187" s="152" t="s">
        <v>639</v>
      </c>
      <c r="C187" s="1059">
        <v>1</v>
      </c>
      <c r="D187" s="1059">
        <v>1</v>
      </c>
      <c r="E187" s="1059">
        <v>1</v>
      </c>
      <c r="F187" s="1059">
        <v>1</v>
      </c>
      <c r="G187" s="1059">
        <v>1</v>
      </c>
      <c r="H187" s="1059"/>
      <c r="I187" s="1059"/>
      <c r="J187" s="1059">
        <v>2</v>
      </c>
      <c r="K187" s="1059">
        <v>2</v>
      </c>
      <c r="L187" s="1059">
        <v>2</v>
      </c>
      <c r="M187" s="1059">
        <v>2</v>
      </c>
      <c r="N187" s="1059">
        <v>2</v>
      </c>
      <c r="O187" s="1059"/>
      <c r="P187" s="1059"/>
      <c r="Q187" s="503">
        <v>1</v>
      </c>
      <c r="R187" s="503">
        <v>1</v>
      </c>
      <c r="S187" s="503">
        <v>1</v>
      </c>
      <c r="T187" s="503">
        <v>1</v>
      </c>
      <c r="U187" s="503">
        <v>1</v>
      </c>
      <c r="V187" s="503"/>
      <c r="W187" s="503"/>
      <c r="X187" s="503">
        <v>2</v>
      </c>
      <c r="Y187" s="503">
        <v>2</v>
      </c>
      <c r="Z187" s="503">
        <v>2</v>
      </c>
      <c r="AA187" s="503">
        <v>2</v>
      </c>
      <c r="AB187" s="503">
        <v>2</v>
      </c>
      <c r="AC187" s="504"/>
      <c r="AD187" s="503"/>
      <c r="AE187" s="503">
        <v>2</v>
      </c>
      <c r="AF187" s="503">
        <v>2</v>
      </c>
      <c r="AG187" s="503">
        <v>2</v>
      </c>
      <c r="AH187" s="505">
        <v>72</v>
      </c>
      <c r="AI187" s="506">
        <v>37</v>
      </c>
    </row>
    <row r="188" spans="1:35" ht="21" customHeight="1" x14ac:dyDescent="0.2">
      <c r="A188" s="441">
        <v>3701</v>
      </c>
      <c r="B188" s="152" t="s">
        <v>640</v>
      </c>
      <c r="C188" s="1059" t="s">
        <v>482</v>
      </c>
      <c r="D188" s="1059" t="s">
        <v>482</v>
      </c>
      <c r="E188" s="1059" t="s">
        <v>482</v>
      </c>
      <c r="F188" s="1059" t="s">
        <v>482</v>
      </c>
      <c r="G188" s="1059" t="s">
        <v>482</v>
      </c>
      <c r="H188" s="1059"/>
      <c r="I188" s="1059"/>
      <c r="J188" s="1059" t="s">
        <v>482</v>
      </c>
      <c r="K188" s="1059" t="s">
        <v>482</v>
      </c>
      <c r="L188" s="1059" t="s">
        <v>482</v>
      </c>
      <c r="M188" s="1059" t="s">
        <v>482</v>
      </c>
      <c r="N188" s="1059" t="s">
        <v>482</v>
      </c>
      <c r="O188" s="1059"/>
      <c r="P188" s="1059"/>
      <c r="Q188" s="503" t="s">
        <v>482</v>
      </c>
      <c r="R188" s="503" t="s">
        <v>482</v>
      </c>
      <c r="S188" s="503" t="s">
        <v>482</v>
      </c>
      <c r="T188" s="503" t="s">
        <v>482</v>
      </c>
      <c r="U188" s="503" t="s">
        <v>482</v>
      </c>
      <c r="V188" s="503"/>
      <c r="W188" s="503"/>
      <c r="X188" s="503" t="s">
        <v>482</v>
      </c>
      <c r="Y188" s="503" t="s">
        <v>482</v>
      </c>
      <c r="Z188" s="503" t="s">
        <v>482</v>
      </c>
      <c r="AA188" s="503" t="s">
        <v>482</v>
      </c>
      <c r="AB188" s="503" t="s">
        <v>482</v>
      </c>
      <c r="AC188" s="503"/>
      <c r="AD188" s="503"/>
      <c r="AE188" s="503" t="s">
        <v>482</v>
      </c>
      <c r="AF188" s="503" t="s">
        <v>482</v>
      </c>
      <c r="AG188" s="503" t="s">
        <v>482</v>
      </c>
      <c r="AH188" s="505">
        <v>74</v>
      </c>
      <c r="AI188" s="506">
        <v>37</v>
      </c>
    </row>
    <row r="189" spans="1:35" ht="21" customHeight="1" x14ac:dyDescent="0.2">
      <c r="A189" s="441">
        <v>3702</v>
      </c>
      <c r="B189" s="152" t="s">
        <v>641</v>
      </c>
      <c r="C189" s="503">
        <v>2</v>
      </c>
      <c r="D189" s="503">
        <v>2</v>
      </c>
      <c r="E189" s="503">
        <v>2</v>
      </c>
      <c r="F189" s="503">
        <v>2</v>
      </c>
      <c r="G189" s="503">
        <v>2</v>
      </c>
      <c r="H189" s="503"/>
      <c r="I189" s="503"/>
      <c r="J189" s="503">
        <v>1</v>
      </c>
      <c r="K189" s="503">
        <v>1</v>
      </c>
      <c r="L189" s="503">
        <v>1</v>
      </c>
      <c r="M189" s="503">
        <v>1</v>
      </c>
      <c r="N189" s="503">
        <v>1</v>
      </c>
      <c r="O189" s="503"/>
      <c r="P189" s="503"/>
      <c r="Q189" s="503">
        <v>2</v>
      </c>
      <c r="R189" s="503">
        <v>2</v>
      </c>
      <c r="S189" s="503">
        <v>2</v>
      </c>
      <c r="T189" s="503">
        <v>2</v>
      </c>
      <c r="U189" s="503">
        <v>2</v>
      </c>
      <c r="V189" s="503"/>
      <c r="W189" s="503"/>
      <c r="X189" s="503">
        <v>1</v>
      </c>
      <c r="Y189" s="503">
        <v>1</v>
      </c>
      <c r="Z189" s="503">
        <v>1</v>
      </c>
      <c r="AA189" s="503">
        <v>1</v>
      </c>
      <c r="AB189" s="503">
        <v>1</v>
      </c>
      <c r="AC189" s="503"/>
      <c r="AD189" s="503"/>
      <c r="AE189" s="503">
        <v>1</v>
      </c>
      <c r="AF189" s="503">
        <v>1</v>
      </c>
      <c r="AG189" s="503">
        <v>1</v>
      </c>
      <c r="AH189" s="505">
        <v>74</v>
      </c>
      <c r="AI189" s="506">
        <v>37</v>
      </c>
    </row>
    <row r="190" spans="1:35" ht="21" customHeight="1" x14ac:dyDescent="0.2">
      <c r="A190" s="683">
        <v>3706</v>
      </c>
      <c r="B190" s="552"/>
      <c r="C190" s="503"/>
      <c r="D190" s="503"/>
      <c r="E190" s="503"/>
      <c r="F190" s="503"/>
      <c r="G190" s="503"/>
      <c r="H190" s="503"/>
      <c r="I190" s="503"/>
      <c r="J190" s="503"/>
      <c r="K190" s="503"/>
      <c r="L190" s="503"/>
      <c r="M190" s="503"/>
      <c r="N190" s="503"/>
      <c r="O190" s="503"/>
      <c r="P190" s="503"/>
      <c r="Q190" s="503"/>
      <c r="R190" s="503"/>
      <c r="S190" s="503"/>
      <c r="T190" s="503"/>
      <c r="U190" s="503"/>
      <c r="V190" s="503"/>
      <c r="W190" s="503"/>
      <c r="X190" s="503"/>
      <c r="Y190" s="503"/>
      <c r="Z190" s="503"/>
      <c r="AA190" s="503"/>
      <c r="AB190" s="503"/>
      <c r="AC190" s="503"/>
      <c r="AD190" s="503"/>
      <c r="AE190" s="503"/>
      <c r="AF190" s="503"/>
      <c r="AG190" s="503"/>
      <c r="AH190" s="505"/>
      <c r="AI190" s="506"/>
    </row>
    <row r="191" spans="1:35" ht="21" customHeight="1" x14ac:dyDescent="0.2">
      <c r="A191" s="684"/>
      <c r="C191" s="686"/>
      <c r="D191" s="686"/>
      <c r="E191" s="686"/>
      <c r="F191" s="686"/>
      <c r="G191" s="686"/>
      <c r="H191" s="686"/>
      <c r="I191" s="686"/>
      <c r="J191" s="686"/>
      <c r="K191" s="686"/>
      <c r="L191" s="686"/>
      <c r="M191" s="686"/>
      <c r="N191" s="686"/>
      <c r="O191" s="686"/>
      <c r="P191" s="686"/>
      <c r="Q191" s="686"/>
      <c r="R191" s="686"/>
      <c r="S191" s="686"/>
      <c r="T191" s="686"/>
      <c r="U191" s="686"/>
      <c r="V191" s="686"/>
      <c r="W191" s="686"/>
      <c r="X191" s="686"/>
      <c r="Y191" s="686"/>
      <c r="Z191" s="686"/>
      <c r="AA191" s="686"/>
      <c r="AB191" s="686"/>
      <c r="AC191" s="686"/>
      <c r="AD191" s="686"/>
      <c r="AE191" s="686"/>
      <c r="AF191" s="686"/>
      <c r="AG191" s="687"/>
      <c r="AH191" s="688"/>
      <c r="AI191" s="689"/>
    </row>
    <row r="192" spans="1:35" ht="21" customHeight="1" x14ac:dyDescent="0.2">
      <c r="A192" s="441">
        <v>3702</v>
      </c>
      <c r="B192" s="133" t="s">
        <v>724</v>
      </c>
      <c r="C192" s="1058" t="s">
        <v>596</v>
      </c>
      <c r="D192" s="1058" t="s">
        <v>596</v>
      </c>
      <c r="E192" s="1058" t="s">
        <v>596</v>
      </c>
      <c r="F192" s="1058" t="s">
        <v>596</v>
      </c>
      <c r="G192" s="1058" t="s">
        <v>596</v>
      </c>
      <c r="H192" s="1059"/>
      <c r="I192" s="1059"/>
      <c r="J192" s="1058" t="s">
        <v>644</v>
      </c>
      <c r="K192" s="1058" t="s">
        <v>644</v>
      </c>
      <c r="L192" s="503" t="s">
        <v>644</v>
      </c>
      <c r="M192" s="503" t="s">
        <v>644</v>
      </c>
      <c r="N192" s="503" t="s">
        <v>644</v>
      </c>
      <c r="O192" s="503"/>
      <c r="P192" s="152"/>
      <c r="Q192" s="503" t="s">
        <v>643</v>
      </c>
      <c r="R192" s="503" t="s">
        <v>643</v>
      </c>
      <c r="S192" s="503" t="s">
        <v>643</v>
      </c>
      <c r="T192" s="503" t="s">
        <v>643</v>
      </c>
      <c r="U192" s="503" t="s">
        <v>643</v>
      </c>
      <c r="V192" s="503"/>
      <c r="W192" s="154"/>
      <c r="X192" s="503" t="s">
        <v>596</v>
      </c>
      <c r="Y192" s="503" t="s">
        <v>596</v>
      </c>
      <c r="Z192" s="503" t="s">
        <v>596</v>
      </c>
      <c r="AA192" s="503" t="s">
        <v>596</v>
      </c>
      <c r="AB192" s="503" t="s">
        <v>596</v>
      </c>
      <c r="AC192" s="503"/>
      <c r="AD192" s="503"/>
      <c r="AE192" s="503" t="s">
        <v>644</v>
      </c>
      <c r="AF192" s="503" t="s">
        <v>644</v>
      </c>
      <c r="AG192" s="503" t="s">
        <v>644</v>
      </c>
      <c r="AH192" s="505">
        <v>74</v>
      </c>
      <c r="AI192" s="506">
        <v>37</v>
      </c>
    </row>
    <row r="193" spans="1:35" ht="21" customHeight="1" x14ac:dyDescent="0.2">
      <c r="A193" s="441"/>
      <c r="B193" s="152" t="s">
        <v>645</v>
      </c>
      <c r="C193" s="1059" t="s">
        <v>644</v>
      </c>
      <c r="D193" s="1059" t="s">
        <v>644</v>
      </c>
      <c r="E193" s="1059" t="s">
        <v>644</v>
      </c>
      <c r="F193" s="1059" t="s">
        <v>644</v>
      </c>
      <c r="G193" s="1059" t="s">
        <v>644</v>
      </c>
      <c r="H193" s="1059"/>
      <c r="I193" s="1059"/>
      <c r="J193" s="1059" t="s">
        <v>643</v>
      </c>
      <c r="K193" s="1059" t="s">
        <v>643</v>
      </c>
      <c r="L193" s="1059" t="s">
        <v>643</v>
      </c>
      <c r="M193" s="1059" t="s">
        <v>643</v>
      </c>
      <c r="N193" s="1059" t="s">
        <v>643</v>
      </c>
      <c r="O193" s="1059"/>
      <c r="P193" s="1420"/>
      <c r="Q193" s="503" t="s">
        <v>596</v>
      </c>
      <c r="R193" s="503" t="s">
        <v>596</v>
      </c>
      <c r="S193" s="503" t="s">
        <v>596</v>
      </c>
      <c r="T193" s="503" t="s">
        <v>596</v>
      </c>
      <c r="U193" s="503" t="s">
        <v>596</v>
      </c>
      <c r="V193" s="503"/>
      <c r="W193" s="154"/>
      <c r="X193" s="503" t="s">
        <v>644</v>
      </c>
      <c r="Y193" s="503" t="s">
        <v>644</v>
      </c>
      <c r="Z193" s="503" t="s">
        <v>644</v>
      </c>
      <c r="AA193" s="503" t="s">
        <v>644</v>
      </c>
      <c r="AB193" s="503" t="s">
        <v>644</v>
      </c>
      <c r="AC193" s="503"/>
      <c r="AD193" s="503"/>
      <c r="AE193" s="503" t="s">
        <v>643</v>
      </c>
      <c r="AF193" s="503" t="s">
        <v>643</v>
      </c>
      <c r="AG193" s="503" t="s">
        <v>643</v>
      </c>
      <c r="AH193" s="505">
        <v>82</v>
      </c>
      <c r="AI193" s="506">
        <v>37</v>
      </c>
    </row>
    <row r="194" spans="1:35" ht="21" customHeight="1" x14ac:dyDescent="0.2">
      <c r="A194" s="441"/>
      <c r="B194" s="152" t="s">
        <v>646</v>
      </c>
      <c r="C194" s="503" t="s">
        <v>643</v>
      </c>
      <c r="D194" s="503" t="s">
        <v>643</v>
      </c>
      <c r="E194" s="503" t="s">
        <v>643</v>
      </c>
      <c r="F194" s="503" t="s">
        <v>643</v>
      </c>
      <c r="G194" s="503" t="s">
        <v>643</v>
      </c>
      <c r="H194" s="503"/>
      <c r="I194" s="503"/>
      <c r="J194" s="503" t="s">
        <v>596</v>
      </c>
      <c r="K194" s="503" t="s">
        <v>596</v>
      </c>
      <c r="L194" s="503" t="s">
        <v>596</v>
      </c>
      <c r="M194" s="503" t="s">
        <v>596</v>
      </c>
      <c r="N194" s="503" t="s">
        <v>596</v>
      </c>
      <c r="O194" s="503"/>
      <c r="P194" s="152"/>
      <c r="Q194" s="503" t="s">
        <v>644</v>
      </c>
      <c r="R194" s="503" t="s">
        <v>644</v>
      </c>
      <c r="S194" s="503" t="s">
        <v>644</v>
      </c>
      <c r="T194" s="503" t="s">
        <v>644</v>
      </c>
      <c r="U194" s="503" t="s">
        <v>644</v>
      </c>
      <c r="V194" s="503"/>
      <c r="W194" s="154"/>
      <c r="X194" s="503" t="s">
        <v>643</v>
      </c>
      <c r="Y194" s="503" t="s">
        <v>643</v>
      </c>
      <c r="Z194" s="503" t="s">
        <v>643</v>
      </c>
      <c r="AA194" s="503" t="s">
        <v>643</v>
      </c>
      <c r="AB194" s="503" t="s">
        <v>643</v>
      </c>
      <c r="AC194" s="503"/>
      <c r="AD194" s="503"/>
      <c r="AE194" s="503" t="s">
        <v>596</v>
      </c>
      <c r="AF194" s="503" t="s">
        <v>596</v>
      </c>
      <c r="AG194" s="503" t="s">
        <v>596</v>
      </c>
      <c r="AH194" s="505">
        <v>74</v>
      </c>
      <c r="AI194" s="506">
        <v>37</v>
      </c>
    </row>
    <row r="195" spans="1:35" ht="21" customHeight="1" x14ac:dyDescent="0.2"/>
    <row r="196" spans="1:35" ht="21" customHeight="1" x14ac:dyDescent="0.2"/>
    <row r="197" spans="1:35" ht="21" customHeight="1" x14ac:dyDescent="0.2">
      <c r="A197" s="1" t="s">
        <v>647</v>
      </c>
    </row>
    <row r="198" spans="1:35" ht="21" customHeight="1" x14ac:dyDescent="0.2">
      <c r="B198" s="200" t="s">
        <v>604</v>
      </c>
      <c r="C198" s="7"/>
      <c r="D198" s="530" t="s">
        <v>2</v>
      </c>
      <c r="E198" s="51"/>
      <c r="F198" s="573"/>
      <c r="G198" s="7"/>
      <c r="H198" s="530" t="s">
        <v>3</v>
      </c>
      <c r="I198" s="51"/>
      <c r="J198" s="573"/>
      <c r="K198" s="7"/>
      <c r="L198" s="530" t="s">
        <v>4</v>
      </c>
      <c r="M198" s="51"/>
      <c r="N198" s="573"/>
      <c r="O198" s="7"/>
      <c r="P198" s="530" t="s">
        <v>5</v>
      </c>
      <c r="Q198" s="51"/>
      <c r="R198" s="573"/>
      <c r="S198" s="7"/>
      <c r="T198" s="530" t="s">
        <v>6</v>
      </c>
      <c r="U198" s="51"/>
      <c r="V198" s="573"/>
      <c r="W198" s="7"/>
      <c r="X198" s="530" t="s">
        <v>7</v>
      </c>
      <c r="Y198" s="51"/>
      <c r="Z198" s="573"/>
      <c r="AA198" s="7"/>
      <c r="AB198" s="530" t="s">
        <v>8</v>
      </c>
      <c r="AC198" s="51"/>
      <c r="AD198" s="51"/>
      <c r="AE198" s="424" t="s">
        <v>10</v>
      </c>
      <c r="AF198" s="51"/>
      <c r="AG198" s="51"/>
      <c r="AH198" s="51"/>
      <c r="AI198" s="531"/>
    </row>
    <row r="199" spans="1:35" ht="21" customHeight="1" x14ac:dyDescent="0.2">
      <c r="B199" s="9">
        <v>8500</v>
      </c>
      <c r="C199" s="121" t="s">
        <v>33</v>
      </c>
      <c r="D199" s="659"/>
      <c r="E199" s="55"/>
      <c r="F199" s="580"/>
      <c r="G199" s="121" t="s">
        <v>33</v>
      </c>
      <c r="H199" s="659"/>
      <c r="I199" s="55"/>
      <c r="J199" s="580"/>
      <c r="K199" s="121" t="s">
        <v>33</v>
      </c>
      <c r="L199" s="659"/>
      <c r="M199" s="55"/>
      <c r="N199" s="580"/>
      <c r="O199" s="121" t="s">
        <v>33</v>
      </c>
      <c r="P199" s="659"/>
      <c r="Q199" s="55"/>
      <c r="R199" s="580"/>
      <c r="S199" s="121" t="s">
        <v>34</v>
      </c>
      <c r="T199" s="659"/>
      <c r="U199" s="55"/>
      <c r="V199" s="580"/>
      <c r="W199" s="14"/>
      <c r="X199" s="659"/>
      <c r="Y199" s="55"/>
      <c r="Z199" s="580"/>
      <c r="AA199" s="14"/>
      <c r="AB199" s="659"/>
      <c r="AC199" s="55"/>
      <c r="AD199" s="55"/>
      <c r="AE199" s="660"/>
      <c r="AF199" s="55"/>
      <c r="AG199" s="55"/>
      <c r="AH199" s="55"/>
      <c r="AI199" s="661"/>
    </row>
    <row r="200" spans="1:35" ht="21" customHeight="1" x14ac:dyDescent="0.2">
      <c r="B200" s="162" t="s">
        <v>648</v>
      </c>
      <c r="C200" s="690" t="s">
        <v>649</v>
      </c>
      <c r="D200" s="607"/>
      <c r="E200" s="678"/>
      <c r="F200" s="239"/>
      <c r="G200" s="690" t="s">
        <v>649</v>
      </c>
      <c r="H200" s="148"/>
      <c r="I200" s="678"/>
      <c r="J200" s="239"/>
      <c r="K200" s="690" t="s">
        <v>649</v>
      </c>
      <c r="L200" s="148"/>
      <c r="M200" s="678"/>
      <c r="N200" s="239"/>
      <c r="O200" s="690" t="s">
        <v>650</v>
      </c>
      <c r="P200" s="148"/>
      <c r="Q200" s="678"/>
      <c r="R200" s="239"/>
      <c r="S200" s="690" t="s">
        <v>16</v>
      </c>
      <c r="T200" s="148"/>
      <c r="U200" s="678"/>
      <c r="V200" s="239"/>
      <c r="W200" s="679"/>
      <c r="X200" s="148"/>
      <c r="Y200" s="678"/>
      <c r="Z200" s="239"/>
      <c r="AA200" s="679"/>
      <c r="AB200" s="148"/>
      <c r="AC200" s="678"/>
      <c r="AD200" s="678"/>
      <c r="AE200" s="680"/>
      <c r="AF200" s="678"/>
      <c r="AG200" s="678"/>
      <c r="AH200" s="678"/>
      <c r="AI200" s="681"/>
    </row>
    <row r="201" spans="1:35" ht="21" customHeight="1" x14ac:dyDescent="0.2">
      <c r="A201" s="60" t="s">
        <v>651</v>
      </c>
    </row>
    <row r="202" spans="1:35" ht="21" customHeight="1" x14ac:dyDescent="0.2">
      <c r="A202" s="691"/>
      <c r="B202" s="296" t="s">
        <v>469</v>
      </c>
      <c r="C202" s="177">
        <v>1</v>
      </c>
      <c r="D202" s="177">
        <v>2</v>
      </c>
      <c r="E202" s="177">
        <v>3</v>
      </c>
      <c r="F202" s="177">
        <v>4</v>
      </c>
      <c r="G202" s="177">
        <v>5</v>
      </c>
      <c r="H202" s="497">
        <v>6</v>
      </c>
      <c r="I202" s="497">
        <v>7</v>
      </c>
      <c r="J202" s="177">
        <v>8</v>
      </c>
      <c r="K202" s="177">
        <v>9</v>
      </c>
      <c r="L202" s="177">
        <v>10</v>
      </c>
      <c r="M202" s="177">
        <v>11</v>
      </c>
      <c r="N202" s="177">
        <v>12</v>
      </c>
      <c r="O202" s="497">
        <v>13</v>
      </c>
      <c r="P202" s="497">
        <v>14</v>
      </c>
      <c r="Q202" s="177">
        <v>15</v>
      </c>
      <c r="R202" s="177">
        <v>16</v>
      </c>
      <c r="S202" s="177">
        <v>17</v>
      </c>
      <c r="T202" s="177">
        <v>18</v>
      </c>
      <c r="U202" s="177">
        <v>19</v>
      </c>
      <c r="V202" s="497">
        <v>20</v>
      </c>
      <c r="W202" s="497">
        <v>21</v>
      </c>
      <c r="X202" s="177">
        <v>22</v>
      </c>
      <c r="Y202" s="177">
        <v>23</v>
      </c>
      <c r="Z202" s="177">
        <v>24</v>
      </c>
      <c r="AA202" s="177">
        <v>25</v>
      </c>
      <c r="AB202" s="177">
        <v>26</v>
      </c>
      <c r="AC202" s="497">
        <v>27</v>
      </c>
      <c r="AD202" s="497">
        <v>28</v>
      </c>
      <c r="AE202" s="177">
        <v>29</v>
      </c>
      <c r="AF202" s="177">
        <v>30</v>
      </c>
      <c r="AG202" s="177">
        <v>31</v>
      </c>
      <c r="AH202" s="499" t="s">
        <v>470</v>
      </c>
      <c r="AI202" s="500" t="s">
        <v>471</v>
      </c>
    </row>
    <row r="203" spans="1:35" ht="21" customHeight="1" x14ac:dyDescent="0.2">
      <c r="A203" s="154">
        <v>8500</v>
      </c>
      <c r="B203" s="692" t="s">
        <v>652</v>
      </c>
      <c r="C203" s="503" t="s">
        <v>482</v>
      </c>
      <c r="D203" s="503" t="s">
        <v>482</v>
      </c>
      <c r="E203" s="1059" t="s">
        <v>482</v>
      </c>
      <c r="F203" s="1059" t="s">
        <v>482</v>
      </c>
      <c r="G203" s="1059" t="s">
        <v>482</v>
      </c>
      <c r="H203" s="503"/>
      <c r="I203" s="503"/>
      <c r="J203" s="503" t="s">
        <v>482</v>
      </c>
      <c r="K203" s="503" t="s">
        <v>482</v>
      </c>
      <c r="L203" s="503" t="s">
        <v>482</v>
      </c>
      <c r="M203" s="503" t="s">
        <v>482</v>
      </c>
      <c r="N203" s="503" t="s">
        <v>482</v>
      </c>
      <c r="O203" s="503"/>
      <c r="P203" s="503"/>
      <c r="Q203" s="503" t="s">
        <v>482</v>
      </c>
      <c r="R203" s="503" t="s">
        <v>482</v>
      </c>
      <c r="S203" s="503" t="s">
        <v>482</v>
      </c>
      <c r="T203" s="503" t="s">
        <v>482</v>
      </c>
      <c r="U203" s="503" t="s">
        <v>482</v>
      </c>
      <c r="V203" s="503"/>
      <c r="W203" s="503"/>
      <c r="X203" s="1104" t="s">
        <v>482</v>
      </c>
      <c r="Y203" s="1104" t="s">
        <v>617</v>
      </c>
      <c r="Z203" s="503" t="s">
        <v>482</v>
      </c>
      <c r="AA203" s="503" t="s">
        <v>482</v>
      </c>
      <c r="AB203" s="1058" t="s">
        <v>482</v>
      </c>
      <c r="AC203" s="503"/>
      <c r="AD203" s="503"/>
      <c r="AE203" s="503" t="s">
        <v>482</v>
      </c>
      <c r="AF203" s="503" t="s">
        <v>482</v>
      </c>
      <c r="AG203" s="503" t="s">
        <v>482</v>
      </c>
      <c r="AH203" s="693">
        <v>111</v>
      </c>
      <c r="AI203" s="694">
        <v>37</v>
      </c>
    </row>
    <row r="204" spans="1:35" ht="21" customHeight="1" x14ac:dyDescent="0.2">
      <c r="A204" s="501" t="s">
        <v>653</v>
      </c>
      <c r="B204" s="152" t="s">
        <v>654</v>
      </c>
      <c r="C204" s="503" t="s">
        <v>482</v>
      </c>
      <c r="D204" s="503" t="s">
        <v>482</v>
      </c>
      <c r="E204" s="503" t="s">
        <v>482</v>
      </c>
      <c r="F204" s="503" t="s">
        <v>482</v>
      </c>
      <c r="G204" s="503" t="s">
        <v>482</v>
      </c>
      <c r="H204" s="503"/>
      <c r="I204" s="503"/>
      <c r="J204" s="503" t="s">
        <v>482</v>
      </c>
      <c r="K204" s="503" t="s">
        <v>482</v>
      </c>
      <c r="L204" s="503" t="s">
        <v>482</v>
      </c>
      <c r="M204" s="503" t="s">
        <v>482</v>
      </c>
      <c r="N204" s="503" t="s">
        <v>482</v>
      </c>
      <c r="O204" s="503"/>
      <c r="P204" s="503"/>
      <c r="Q204" s="503" t="s">
        <v>482</v>
      </c>
      <c r="R204" s="503" t="s">
        <v>482</v>
      </c>
      <c r="S204" s="503" t="s">
        <v>482</v>
      </c>
      <c r="T204" s="503" t="s">
        <v>482</v>
      </c>
      <c r="U204" s="503" t="s">
        <v>482</v>
      </c>
      <c r="V204" s="503"/>
      <c r="W204" s="503"/>
      <c r="X204" s="503" t="s">
        <v>482</v>
      </c>
      <c r="Y204" s="503" t="s">
        <v>482</v>
      </c>
      <c r="Z204" s="503" t="s">
        <v>482</v>
      </c>
      <c r="AA204" s="503" t="s">
        <v>482</v>
      </c>
      <c r="AB204" s="503" t="s">
        <v>482</v>
      </c>
      <c r="AC204" s="503"/>
      <c r="AD204" s="503"/>
      <c r="AE204" s="503" t="s">
        <v>482</v>
      </c>
      <c r="AF204" s="503" t="s">
        <v>482</v>
      </c>
      <c r="AG204" s="503" t="s">
        <v>482</v>
      </c>
      <c r="AH204" s="693">
        <v>185</v>
      </c>
      <c r="AI204" s="694">
        <v>37</v>
      </c>
    </row>
    <row r="205" spans="1:35" ht="21" customHeight="1" x14ac:dyDescent="0.2">
      <c r="A205" s="152">
        <v>8500</v>
      </c>
      <c r="B205" s="152" t="s">
        <v>655</v>
      </c>
      <c r="C205" s="503" t="s">
        <v>482</v>
      </c>
      <c r="D205" s="503" t="s">
        <v>482</v>
      </c>
      <c r="E205" s="503" t="s">
        <v>482</v>
      </c>
      <c r="F205" s="503" t="s">
        <v>482</v>
      </c>
      <c r="G205" s="503" t="s">
        <v>482</v>
      </c>
      <c r="H205" s="503"/>
      <c r="I205" s="503"/>
      <c r="J205" s="503" t="s">
        <v>482</v>
      </c>
      <c r="K205" s="503" t="s">
        <v>482</v>
      </c>
      <c r="L205" s="503" t="s">
        <v>482</v>
      </c>
      <c r="M205" s="503" t="s">
        <v>482</v>
      </c>
      <c r="N205" s="503" t="s">
        <v>482</v>
      </c>
      <c r="O205" s="503"/>
      <c r="P205" s="503"/>
      <c r="Q205" s="503" t="s">
        <v>482</v>
      </c>
      <c r="R205" s="503" t="s">
        <v>482</v>
      </c>
      <c r="S205" s="503" t="s">
        <v>482</v>
      </c>
      <c r="T205" s="503" t="s">
        <v>482</v>
      </c>
      <c r="U205" s="503" t="s">
        <v>482</v>
      </c>
      <c r="V205" s="503"/>
      <c r="W205" s="503"/>
      <c r="X205" s="503" t="s">
        <v>482</v>
      </c>
      <c r="Y205" s="503" t="s">
        <v>482</v>
      </c>
      <c r="Z205" s="503" t="s">
        <v>482</v>
      </c>
      <c r="AA205" s="503" t="s">
        <v>482</v>
      </c>
      <c r="AB205" s="503" t="s">
        <v>482</v>
      </c>
      <c r="AC205" s="503"/>
      <c r="AD205" s="503"/>
      <c r="AE205" s="503" t="s">
        <v>482</v>
      </c>
      <c r="AF205" s="1104" t="s">
        <v>482</v>
      </c>
      <c r="AG205" s="1104" t="s">
        <v>482</v>
      </c>
      <c r="AH205" s="693">
        <v>74</v>
      </c>
      <c r="AI205" s="694">
        <v>37</v>
      </c>
    </row>
    <row r="206" spans="1:35" ht="21.95" customHeight="1" x14ac:dyDescent="0.2">
      <c r="A206" s="441"/>
      <c r="B206" s="152" t="s">
        <v>656</v>
      </c>
      <c r="C206" s="503" t="s">
        <v>482</v>
      </c>
      <c r="D206" s="503" t="s">
        <v>482</v>
      </c>
      <c r="E206" s="503" t="s">
        <v>482</v>
      </c>
      <c r="F206" s="503" t="s">
        <v>482</v>
      </c>
      <c r="G206" s="503" t="s">
        <v>482</v>
      </c>
      <c r="H206" s="503"/>
      <c r="I206" s="503"/>
      <c r="J206" s="503" t="s">
        <v>482</v>
      </c>
      <c r="K206" s="503" t="s">
        <v>482</v>
      </c>
      <c r="L206" s="503" t="s">
        <v>482</v>
      </c>
      <c r="M206" s="503" t="s">
        <v>482</v>
      </c>
      <c r="N206" s="503" t="s">
        <v>482</v>
      </c>
      <c r="O206" s="503"/>
      <c r="P206" s="503"/>
      <c r="Q206" s="1059" t="s">
        <v>482</v>
      </c>
      <c r="R206" s="1059" t="s">
        <v>482</v>
      </c>
      <c r="S206" s="1059" t="s">
        <v>482</v>
      </c>
      <c r="T206" s="1059" t="s">
        <v>482</v>
      </c>
      <c r="U206" s="1059" t="s">
        <v>482</v>
      </c>
      <c r="V206" s="1059"/>
      <c r="W206" s="1059"/>
      <c r="X206" s="1059" t="s">
        <v>482</v>
      </c>
      <c r="Y206" s="1059" t="s">
        <v>482</v>
      </c>
      <c r="Z206" s="1059" t="s">
        <v>482</v>
      </c>
      <c r="AA206" s="1059" t="s">
        <v>482</v>
      </c>
      <c r="AB206" s="1059" t="s">
        <v>482</v>
      </c>
      <c r="AC206" s="1059"/>
      <c r="AD206" s="1059"/>
      <c r="AE206" s="503" t="s">
        <v>482</v>
      </c>
      <c r="AF206" s="503" t="s">
        <v>482</v>
      </c>
      <c r="AG206" s="503" t="s">
        <v>482</v>
      </c>
      <c r="AH206" s="693">
        <v>74</v>
      </c>
      <c r="AI206" s="694">
        <v>37</v>
      </c>
    </row>
    <row r="207" spans="1:35" ht="21.95" customHeight="1" x14ac:dyDescent="0.2">
      <c r="A207" s="512">
        <v>3350</v>
      </c>
      <c r="B207" s="54" t="s">
        <v>657</v>
      </c>
      <c r="C207" s="503" t="s">
        <v>482</v>
      </c>
      <c r="D207" s="503" t="s">
        <v>482</v>
      </c>
      <c r="E207" s="503" t="s">
        <v>482</v>
      </c>
      <c r="F207" s="503" t="s">
        <v>482</v>
      </c>
      <c r="G207" s="503" t="s">
        <v>482</v>
      </c>
      <c r="H207" s="503"/>
      <c r="I207" s="503"/>
      <c r="J207" s="503" t="s">
        <v>482</v>
      </c>
      <c r="K207" s="503" t="s">
        <v>482</v>
      </c>
      <c r="L207" s="503" t="s">
        <v>482</v>
      </c>
      <c r="M207" s="503" t="s">
        <v>482</v>
      </c>
      <c r="N207" s="503" t="s">
        <v>482</v>
      </c>
      <c r="O207" s="503"/>
      <c r="P207" s="503"/>
      <c r="Q207" s="503" t="s">
        <v>482</v>
      </c>
      <c r="R207" s="503" t="s">
        <v>482</v>
      </c>
      <c r="S207" s="503" t="s">
        <v>482</v>
      </c>
      <c r="T207" s="503" t="s">
        <v>482</v>
      </c>
      <c r="U207" s="503" t="s">
        <v>482</v>
      </c>
      <c r="V207" s="503"/>
      <c r="W207" s="503"/>
      <c r="X207" s="503" t="s">
        <v>482</v>
      </c>
      <c r="Y207" s="503" t="s">
        <v>482</v>
      </c>
      <c r="Z207" s="503" t="s">
        <v>482</v>
      </c>
      <c r="AA207" s="503" t="s">
        <v>482</v>
      </c>
      <c r="AB207" s="503" t="s">
        <v>482</v>
      </c>
      <c r="AC207" s="503"/>
      <c r="AD207" s="503"/>
      <c r="AE207" s="503" t="s">
        <v>482</v>
      </c>
      <c r="AF207" s="503" t="s">
        <v>482</v>
      </c>
      <c r="AG207" s="503" t="s">
        <v>482</v>
      </c>
      <c r="AH207" s="693">
        <v>37</v>
      </c>
      <c r="AI207" s="694">
        <v>37</v>
      </c>
    </row>
    <row r="208" spans="1:35" ht="21.95" customHeight="1" x14ac:dyDescent="0.2">
      <c r="A208" s="524">
        <v>3701</v>
      </c>
      <c r="B208" s="152" t="s">
        <v>658</v>
      </c>
      <c r="C208" s="503" t="s">
        <v>482</v>
      </c>
      <c r="D208" s="503" t="s">
        <v>482</v>
      </c>
      <c r="E208" s="503" t="s">
        <v>482</v>
      </c>
      <c r="F208" s="503" t="s">
        <v>482</v>
      </c>
      <c r="G208" s="503" t="s">
        <v>482</v>
      </c>
      <c r="H208" s="503"/>
      <c r="I208" s="503"/>
      <c r="J208" s="503" t="s">
        <v>482</v>
      </c>
      <c r="K208" s="503" t="s">
        <v>482</v>
      </c>
      <c r="L208" s="503" t="s">
        <v>482</v>
      </c>
      <c r="M208" s="503" t="s">
        <v>482</v>
      </c>
      <c r="N208" s="503" t="s">
        <v>482</v>
      </c>
      <c r="O208" s="503"/>
      <c r="P208" s="503"/>
      <c r="Q208" s="1059" t="s">
        <v>482</v>
      </c>
      <c r="R208" s="1059" t="s">
        <v>482</v>
      </c>
      <c r="S208" s="1059" t="s">
        <v>482</v>
      </c>
      <c r="T208" s="1059" t="s">
        <v>482</v>
      </c>
      <c r="U208" s="1059" t="s">
        <v>482</v>
      </c>
      <c r="V208" s="1059"/>
      <c r="W208" s="1059"/>
      <c r="X208" s="1059" t="s">
        <v>482</v>
      </c>
      <c r="Y208" s="1059" t="s">
        <v>482</v>
      </c>
      <c r="Z208" s="1059" t="s">
        <v>482</v>
      </c>
      <c r="AA208" s="1059" t="s">
        <v>482</v>
      </c>
      <c r="AB208" s="1059" t="s">
        <v>482</v>
      </c>
      <c r="AC208" s="1059"/>
      <c r="AD208" s="1059"/>
      <c r="AE208" s="1059" t="s">
        <v>482</v>
      </c>
      <c r="AF208" s="1059" t="s">
        <v>482</v>
      </c>
      <c r="AG208" s="1059" t="s">
        <v>482</v>
      </c>
      <c r="AH208" s="705">
        <v>74</v>
      </c>
      <c r="AI208" s="706">
        <v>37</v>
      </c>
    </row>
    <row r="209" spans="1:35" ht="25.5" customHeight="1" x14ac:dyDescent="0.2">
      <c r="A209" s="1" t="s">
        <v>683</v>
      </c>
    </row>
    <row r="210" spans="1:35" ht="21" customHeight="1" x14ac:dyDescent="0.2">
      <c r="A210" s="1"/>
      <c r="B210" s="200" t="s">
        <v>604</v>
      </c>
      <c r="C210" s="7"/>
      <c r="D210" s="530" t="s">
        <v>2</v>
      </c>
      <c r="E210" s="51"/>
      <c r="F210" s="573"/>
      <c r="G210" s="7"/>
      <c r="H210" s="530" t="s">
        <v>3</v>
      </c>
      <c r="I210" s="51"/>
      <c r="J210" s="573"/>
      <c r="K210" s="7"/>
      <c r="L210" s="530" t="s">
        <v>4</v>
      </c>
      <c r="M210" s="51"/>
      <c r="N210" s="573"/>
      <c r="O210" s="7"/>
      <c r="P210" s="530" t="s">
        <v>5</v>
      </c>
      <c r="Q210" s="51"/>
      <c r="R210" s="573"/>
      <c r="S210" s="7"/>
      <c r="T210" s="530" t="s">
        <v>6</v>
      </c>
      <c r="U210" s="51"/>
      <c r="V210" s="573"/>
      <c r="W210" s="7"/>
      <c r="X210" s="530" t="s">
        <v>7</v>
      </c>
      <c r="Y210" s="51"/>
      <c r="Z210" s="573"/>
      <c r="AA210" s="7"/>
      <c r="AB210" s="530" t="s">
        <v>8</v>
      </c>
      <c r="AC210" s="51"/>
      <c r="AD210" s="51"/>
      <c r="AE210" s="424" t="s">
        <v>10</v>
      </c>
      <c r="AF210" s="51"/>
      <c r="AG210" s="51"/>
      <c r="AH210" s="51"/>
      <c r="AI210" s="531"/>
    </row>
    <row r="211" spans="1:35" ht="21" customHeight="1" x14ac:dyDescent="0.2">
      <c r="A211" s="1"/>
      <c r="B211" s="9"/>
      <c r="C211" s="14"/>
      <c r="D211" s="659"/>
      <c r="E211" s="55"/>
      <c r="F211" s="580"/>
      <c r="G211" s="14"/>
      <c r="H211" s="659"/>
      <c r="I211" s="55"/>
      <c r="J211" s="580"/>
      <c r="K211" s="14"/>
      <c r="L211" s="659"/>
      <c r="M211" s="55"/>
      <c r="N211" s="580"/>
      <c r="O211" s="14"/>
      <c r="P211" s="659"/>
      <c r="Q211" s="55"/>
      <c r="R211" s="580"/>
      <c r="S211" s="14"/>
      <c r="T211" s="659"/>
      <c r="U211" s="55"/>
      <c r="V211" s="580"/>
      <c r="W211" s="14"/>
      <c r="X211" s="659"/>
      <c r="Y211" s="55"/>
      <c r="Z211" s="580"/>
      <c r="AA211" s="14"/>
      <c r="AB211" s="659"/>
      <c r="AC211" s="55"/>
      <c r="AD211" s="55"/>
      <c r="AE211" s="660"/>
      <c r="AF211" s="55"/>
      <c r="AG211" s="55"/>
      <c r="AH211" s="55"/>
      <c r="AI211" s="661"/>
    </row>
    <row r="212" spans="1:35" ht="21" customHeight="1" x14ac:dyDescent="0.2">
      <c r="B212" s="662"/>
      <c r="C212" s="121"/>
      <c r="D212" s="156"/>
      <c r="E212" s="156"/>
      <c r="F212" s="612"/>
      <c r="G212" s="121"/>
      <c r="H212" s="156"/>
      <c r="I212" s="156"/>
      <c r="J212" s="612"/>
      <c r="K212" s="121"/>
      <c r="L212" s="156"/>
      <c r="M212" s="156"/>
      <c r="N212" s="612"/>
      <c r="O212" s="121"/>
      <c r="P212" s="156"/>
      <c r="Q212" s="156"/>
      <c r="R212" s="612"/>
      <c r="S212" s="121"/>
      <c r="T212" s="156"/>
      <c r="U212" s="156"/>
      <c r="V212" s="612"/>
      <c r="W212" s="121"/>
      <c r="X212" s="156"/>
      <c r="Y212" s="156"/>
      <c r="Z212" s="612"/>
      <c r="AA212" s="611"/>
      <c r="AB212" s="156"/>
      <c r="AC212" s="156"/>
      <c r="AD212" s="613"/>
      <c r="AE212" s="663"/>
      <c r="AF212" s="156"/>
      <c r="AG212" s="156" t="s">
        <v>28</v>
      </c>
      <c r="AH212" s="613"/>
      <c r="AI212" s="489"/>
    </row>
    <row r="213" spans="1:35" ht="21" customHeight="1" x14ac:dyDescent="0.2">
      <c r="A213" s="1"/>
      <c r="B213" s="47"/>
      <c r="C213" s="618"/>
      <c r="D213" s="53"/>
      <c r="E213" s="53"/>
      <c r="F213" s="619"/>
      <c r="G213" s="618"/>
      <c r="H213" s="53"/>
      <c r="I213" s="53"/>
      <c r="J213" s="619"/>
      <c r="K213" s="618"/>
      <c r="L213" s="53"/>
      <c r="M213" s="53"/>
      <c r="N213" s="619"/>
      <c r="O213" s="618"/>
      <c r="P213" s="53"/>
      <c r="Q213" s="53"/>
      <c r="R213" s="619"/>
      <c r="S213" s="618"/>
      <c r="T213" s="53"/>
      <c r="U213" s="53"/>
      <c r="V213" s="619"/>
      <c r="W213" s="57"/>
      <c r="X213" s="53"/>
      <c r="Y213" s="53"/>
      <c r="Z213" s="619"/>
      <c r="AA213" s="57"/>
      <c r="AB213" s="53"/>
      <c r="AC213" s="53"/>
      <c r="AD213" s="620"/>
      <c r="AE213" s="57"/>
      <c r="AF213" s="53"/>
      <c r="AG213" s="53"/>
      <c r="AH213" s="620"/>
      <c r="AI213" s="544"/>
    </row>
    <row r="214" spans="1:35" ht="33" customHeight="1" x14ac:dyDescent="0.2">
      <c r="A214" s="1"/>
      <c r="B214" s="72"/>
      <c r="C214" s="311"/>
      <c r="F214" s="353"/>
      <c r="G214" s="311"/>
      <c r="J214" s="353"/>
      <c r="K214" s="311"/>
      <c r="N214" s="353"/>
      <c r="O214" s="311"/>
      <c r="R214" s="353"/>
      <c r="S214" s="311"/>
      <c r="V214" s="353"/>
      <c r="W214" s="353"/>
      <c r="Z214" s="353"/>
      <c r="AA214" s="353"/>
      <c r="AD214" s="353"/>
      <c r="AE214" s="353"/>
      <c r="AH214" s="353"/>
    </row>
    <row r="215" spans="1:35" ht="21" customHeight="1" x14ac:dyDescent="0.2">
      <c r="A215" s="585" t="s">
        <v>468</v>
      </c>
      <c r="B215" s="296" t="s">
        <v>469</v>
      </c>
      <c r="C215" s="177">
        <v>1</v>
      </c>
      <c r="D215" s="177">
        <v>2</v>
      </c>
      <c r="E215" s="177">
        <v>3</v>
      </c>
      <c r="F215" s="177">
        <v>4</v>
      </c>
      <c r="G215" s="177">
        <v>5</v>
      </c>
      <c r="H215" s="497">
        <v>6</v>
      </c>
      <c r="I215" s="497">
        <v>7</v>
      </c>
      <c r="J215" s="177">
        <v>8</v>
      </c>
      <c r="K215" s="177">
        <v>9</v>
      </c>
      <c r="L215" s="177">
        <v>10</v>
      </c>
      <c r="M215" s="177">
        <v>11</v>
      </c>
      <c r="N215" s="177">
        <v>12</v>
      </c>
      <c r="O215" s="497">
        <v>13</v>
      </c>
      <c r="P215" s="497">
        <v>14</v>
      </c>
      <c r="Q215" s="177">
        <v>15</v>
      </c>
      <c r="R215" s="177">
        <v>16</v>
      </c>
      <c r="S215" s="177">
        <v>17</v>
      </c>
      <c r="T215" s="177">
        <v>18</v>
      </c>
      <c r="U215" s="177">
        <v>19</v>
      </c>
      <c r="V215" s="497">
        <v>20</v>
      </c>
      <c r="W215" s="497">
        <v>21</v>
      </c>
      <c r="X215" s="177">
        <v>22</v>
      </c>
      <c r="Y215" s="177">
        <v>23</v>
      </c>
      <c r="Z215" s="177">
        <v>24</v>
      </c>
      <c r="AA215" s="177">
        <v>25</v>
      </c>
      <c r="AB215" s="177">
        <v>26</v>
      </c>
      <c r="AC215" s="497">
        <v>27</v>
      </c>
      <c r="AD215" s="497">
        <v>28</v>
      </c>
      <c r="AE215" s="177">
        <v>29</v>
      </c>
      <c r="AF215" s="177">
        <v>30</v>
      </c>
      <c r="AG215" s="177">
        <v>31</v>
      </c>
      <c r="AH215" s="499" t="s">
        <v>470</v>
      </c>
      <c r="AI215" s="500" t="s">
        <v>471</v>
      </c>
    </row>
    <row r="216" spans="1:35" ht="21" customHeight="1" x14ac:dyDescent="0.2">
      <c r="A216" s="441"/>
      <c r="B216" s="673" t="s">
        <v>661</v>
      </c>
      <c r="C216" s="503" t="s">
        <v>482</v>
      </c>
      <c r="D216" s="503" t="s">
        <v>482</v>
      </c>
      <c r="E216" s="503" t="s">
        <v>482</v>
      </c>
      <c r="F216" s="503" t="s">
        <v>482</v>
      </c>
      <c r="G216" s="503" t="s">
        <v>482</v>
      </c>
      <c r="H216" s="503"/>
      <c r="I216" s="503"/>
      <c r="J216" s="503" t="s">
        <v>482</v>
      </c>
      <c r="K216" s="503" t="s">
        <v>482</v>
      </c>
      <c r="L216" s="503" t="s">
        <v>482</v>
      </c>
      <c r="M216" s="503" t="s">
        <v>482</v>
      </c>
      <c r="N216" s="503" t="s">
        <v>482</v>
      </c>
      <c r="O216" s="503"/>
      <c r="P216" s="503"/>
      <c r="Q216" s="503" t="s">
        <v>482</v>
      </c>
      <c r="R216" s="503" t="s">
        <v>482</v>
      </c>
      <c r="S216" s="503" t="s">
        <v>482</v>
      </c>
      <c r="T216" s="503" t="s">
        <v>482</v>
      </c>
      <c r="U216" s="503" t="s">
        <v>482</v>
      </c>
      <c r="V216" s="503"/>
      <c r="W216" s="503"/>
      <c r="X216" s="503" t="s">
        <v>482</v>
      </c>
      <c r="Y216" s="503" t="s">
        <v>482</v>
      </c>
      <c r="Z216" s="503" t="s">
        <v>482</v>
      </c>
      <c r="AA216" s="503" t="s">
        <v>482</v>
      </c>
      <c r="AB216" s="503" t="s">
        <v>482</v>
      </c>
      <c r="AC216" s="503"/>
      <c r="AD216" s="503"/>
      <c r="AE216" s="503" t="s">
        <v>482</v>
      </c>
      <c r="AF216" s="503" t="s">
        <v>482</v>
      </c>
      <c r="AG216" s="503" t="s">
        <v>482</v>
      </c>
      <c r="AH216" s="693">
        <v>140</v>
      </c>
      <c r="AI216" s="694">
        <v>37</v>
      </c>
    </row>
    <row r="217" spans="1:35" ht="21" customHeight="1" x14ac:dyDescent="0.2">
      <c r="A217" s="441"/>
      <c r="B217" s="673" t="s">
        <v>662</v>
      </c>
      <c r="C217" s="1088" t="s">
        <v>482</v>
      </c>
      <c r="D217" s="1088" t="s">
        <v>482</v>
      </c>
      <c r="E217" s="1088" t="s">
        <v>482</v>
      </c>
      <c r="F217" s="1088" t="s">
        <v>482</v>
      </c>
      <c r="G217" s="1088" t="s">
        <v>482</v>
      </c>
      <c r="H217" s="1088"/>
      <c r="I217" s="1088"/>
      <c r="J217" s="1088" t="s">
        <v>482</v>
      </c>
      <c r="K217" s="1088" t="s">
        <v>482</v>
      </c>
      <c r="L217" s="1088" t="s">
        <v>482</v>
      </c>
      <c r="M217" s="1088" t="s">
        <v>482</v>
      </c>
      <c r="N217" s="1088" t="s">
        <v>482</v>
      </c>
      <c r="O217" s="1088"/>
      <c r="P217" s="1088"/>
      <c r="Q217" s="1088" t="s">
        <v>482</v>
      </c>
      <c r="R217" s="1088" t="s">
        <v>482</v>
      </c>
      <c r="S217" s="1088" t="s">
        <v>482</v>
      </c>
      <c r="T217" s="1088" t="s">
        <v>482</v>
      </c>
      <c r="U217" s="1088" t="s">
        <v>482</v>
      </c>
      <c r="V217" s="1088"/>
      <c r="W217" s="1088"/>
      <c r="X217" s="1088" t="s">
        <v>482</v>
      </c>
      <c r="Y217" s="1088" t="s">
        <v>482</v>
      </c>
      <c r="Z217" s="1088" t="s">
        <v>482</v>
      </c>
      <c r="AA217" s="1088" t="s">
        <v>482</v>
      </c>
      <c r="AB217" s="1088" t="s">
        <v>482</v>
      </c>
      <c r="AC217" s="1088"/>
      <c r="AD217" s="1088"/>
      <c r="AE217" s="1088" t="s">
        <v>482</v>
      </c>
      <c r="AF217" s="1088" t="s">
        <v>482</v>
      </c>
      <c r="AG217" s="1088" t="s">
        <v>482</v>
      </c>
      <c r="AH217" s="693">
        <v>140</v>
      </c>
      <c r="AI217" s="694">
        <v>37</v>
      </c>
    </row>
    <row r="218" spans="1:35" ht="21" customHeight="1" x14ac:dyDescent="0.2">
      <c r="A218" s="441"/>
      <c r="B218" s="673" t="s">
        <v>663</v>
      </c>
      <c r="C218" s="503" t="s">
        <v>482</v>
      </c>
      <c r="D218" s="503" t="s">
        <v>482</v>
      </c>
      <c r="E218" s="503" t="s">
        <v>482</v>
      </c>
      <c r="F218" s="503" t="s">
        <v>482</v>
      </c>
      <c r="G218" s="503" t="s">
        <v>482</v>
      </c>
      <c r="H218" s="503"/>
      <c r="I218" s="503"/>
      <c r="J218" s="503" t="s">
        <v>482</v>
      </c>
      <c r="K218" s="503" t="s">
        <v>482</v>
      </c>
      <c r="L218" s="503" t="s">
        <v>482</v>
      </c>
      <c r="M218" s="503" t="s">
        <v>482</v>
      </c>
      <c r="N218" s="503" t="s">
        <v>482</v>
      </c>
      <c r="O218" s="503"/>
      <c r="P218" s="503"/>
      <c r="Q218" s="503" t="s">
        <v>482</v>
      </c>
      <c r="R218" s="503" t="s">
        <v>482</v>
      </c>
      <c r="S218" s="503" t="s">
        <v>482</v>
      </c>
      <c r="T218" s="503" t="s">
        <v>482</v>
      </c>
      <c r="U218" s="1081" t="s">
        <v>482</v>
      </c>
      <c r="V218" s="503"/>
      <c r="W218" s="503"/>
      <c r="X218" s="503" t="s">
        <v>482</v>
      </c>
      <c r="Y218" s="503" t="s">
        <v>482</v>
      </c>
      <c r="Z218" s="503" t="s">
        <v>482</v>
      </c>
      <c r="AA218" s="503" t="s">
        <v>482</v>
      </c>
      <c r="AB218" s="503" t="s">
        <v>482</v>
      </c>
      <c r="AC218" s="503"/>
      <c r="AD218" s="503"/>
      <c r="AE218" s="503" t="s">
        <v>482</v>
      </c>
      <c r="AF218" s="503" t="s">
        <v>482</v>
      </c>
      <c r="AG218" s="503" t="s">
        <v>482</v>
      </c>
      <c r="AH218" s="693">
        <v>81</v>
      </c>
      <c r="AI218" s="694">
        <v>31</v>
      </c>
    </row>
    <row r="219" spans="1:35" ht="21" customHeight="1" x14ac:dyDescent="0.2">
      <c r="A219" s="441"/>
      <c r="B219" s="673" t="s">
        <v>664</v>
      </c>
      <c r="C219" s="503" t="s">
        <v>482</v>
      </c>
      <c r="D219" s="503" t="s">
        <v>482</v>
      </c>
      <c r="E219" s="503" t="s">
        <v>482</v>
      </c>
      <c r="F219" s="503" t="s">
        <v>482</v>
      </c>
      <c r="G219" s="503" t="s">
        <v>482</v>
      </c>
      <c r="H219" s="503"/>
      <c r="I219" s="503"/>
      <c r="J219" s="503" t="s">
        <v>482</v>
      </c>
      <c r="K219" s="503" t="s">
        <v>482</v>
      </c>
      <c r="L219" s="503" t="s">
        <v>482</v>
      </c>
      <c r="M219" s="503" t="s">
        <v>482</v>
      </c>
      <c r="N219" s="503" t="s">
        <v>482</v>
      </c>
      <c r="O219" s="503"/>
      <c r="P219" s="503"/>
      <c r="Q219" s="1059" t="s">
        <v>482</v>
      </c>
      <c r="R219" s="1059" t="s">
        <v>482</v>
      </c>
      <c r="S219" s="1059" t="s">
        <v>482</v>
      </c>
      <c r="T219" s="1059" t="s">
        <v>482</v>
      </c>
      <c r="U219" s="1059" t="s">
        <v>482</v>
      </c>
      <c r="V219" s="1059"/>
      <c r="W219" s="1059"/>
      <c r="X219" s="1059" t="s">
        <v>482</v>
      </c>
      <c r="Y219" s="1059" t="s">
        <v>482</v>
      </c>
      <c r="Z219" s="1059" t="s">
        <v>482</v>
      </c>
      <c r="AA219" s="1059" t="s">
        <v>482</v>
      </c>
      <c r="AB219" s="1059" t="s">
        <v>482</v>
      </c>
      <c r="AC219" s="1059"/>
      <c r="AD219" s="1059"/>
      <c r="AE219" s="1059" t="s">
        <v>482</v>
      </c>
      <c r="AF219" s="1059" t="s">
        <v>482</v>
      </c>
      <c r="AG219" s="1059" t="s">
        <v>482</v>
      </c>
      <c r="AH219" s="693">
        <v>74</v>
      </c>
      <c r="AI219" s="694">
        <v>37</v>
      </c>
    </row>
    <row r="220" spans="1:35" ht="21" customHeight="1" x14ac:dyDescent="0.2">
      <c r="A220" s="441"/>
      <c r="B220" s="673" t="s">
        <v>665</v>
      </c>
      <c r="C220" s="503" t="s">
        <v>482</v>
      </c>
      <c r="D220" s="503" t="s">
        <v>482</v>
      </c>
      <c r="E220" s="503" t="s">
        <v>482</v>
      </c>
      <c r="F220" s="503" t="s">
        <v>482</v>
      </c>
      <c r="G220" s="503" t="s">
        <v>482</v>
      </c>
      <c r="H220" s="503"/>
      <c r="I220" s="503"/>
      <c r="J220" s="503" t="s">
        <v>482</v>
      </c>
      <c r="K220" s="503" t="s">
        <v>482</v>
      </c>
      <c r="L220" s="503" t="s">
        <v>482</v>
      </c>
      <c r="M220" s="503" t="s">
        <v>482</v>
      </c>
      <c r="N220" s="503" t="s">
        <v>482</v>
      </c>
      <c r="O220" s="503"/>
      <c r="P220" s="503"/>
      <c r="Q220" s="503" t="s">
        <v>482</v>
      </c>
      <c r="R220" s="503" t="s">
        <v>482</v>
      </c>
      <c r="S220" s="503" t="s">
        <v>482</v>
      </c>
      <c r="T220" s="503" t="s">
        <v>482</v>
      </c>
      <c r="U220" s="503" t="s">
        <v>482</v>
      </c>
      <c r="V220" s="503"/>
      <c r="W220" s="503"/>
      <c r="X220" s="503" t="s">
        <v>482</v>
      </c>
      <c r="Y220" s="503" t="s">
        <v>482</v>
      </c>
      <c r="Z220" s="503" t="s">
        <v>482</v>
      </c>
      <c r="AA220" s="503" t="s">
        <v>482</v>
      </c>
      <c r="AB220" s="503" t="s">
        <v>482</v>
      </c>
      <c r="AC220" s="503"/>
      <c r="AD220" s="503"/>
      <c r="AE220" s="503" t="s">
        <v>482</v>
      </c>
      <c r="AF220" s="503" t="s">
        <v>482</v>
      </c>
      <c r="AG220" s="503" t="s">
        <v>482</v>
      </c>
      <c r="AH220" s="693">
        <v>37</v>
      </c>
      <c r="AI220" s="694">
        <v>37</v>
      </c>
    </row>
    <row r="221" spans="1:35" ht="21" customHeight="1" x14ac:dyDescent="0.2">
      <c r="A221" s="441"/>
      <c r="B221" s="673" t="s">
        <v>666</v>
      </c>
      <c r="C221" s="503" t="s">
        <v>482</v>
      </c>
      <c r="D221" s="503" t="s">
        <v>482</v>
      </c>
      <c r="E221" s="503" t="s">
        <v>482</v>
      </c>
      <c r="F221" s="503" t="s">
        <v>482</v>
      </c>
      <c r="G221" s="503" t="s">
        <v>482</v>
      </c>
      <c r="H221" s="503"/>
      <c r="I221" s="503"/>
      <c r="J221" s="503" t="s">
        <v>482</v>
      </c>
      <c r="K221" s="503" t="s">
        <v>482</v>
      </c>
      <c r="L221" s="503" t="s">
        <v>482</v>
      </c>
      <c r="M221" s="503" t="s">
        <v>482</v>
      </c>
      <c r="N221" s="1058" t="s">
        <v>482</v>
      </c>
      <c r="O221" s="503"/>
      <c r="P221" s="503"/>
      <c r="Q221" s="1058" t="s">
        <v>482</v>
      </c>
      <c r="R221" s="1058" t="s">
        <v>482</v>
      </c>
      <c r="S221" s="1058" t="s">
        <v>482</v>
      </c>
      <c r="T221" s="1058" t="s">
        <v>482</v>
      </c>
      <c r="U221" s="1058" t="s">
        <v>482</v>
      </c>
      <c r="V221" s="503"/>
      <c r="W221" s="503"/>
      <c r="X221" s="503" t="s">
        <v>482</v>
      </c>
      <c r="Y221" s="503" t="s">
        <v>482</v>
      </c>
      <c r="Z221" s="503" t="s">
        <v>482</v>
      </c>
      <c r="AA221" s="503" t="s">
        <v>482</v>
      </c>
      <c r="AB221" s="503" t="s">
        <v>482</v>
      </c>
      <c r="AC221" s="503"/>
      <c r="AD221" s="503"/>
      <c r="AE221" s="503" t="s">
        <v>482</v>
      </c>
      <c r="AF221" s="503" t="s">
        <v>482</v>
      </c>
      <c r="AG221" s="503" t="s">
        <v>482</v>
      </c>
      <c r="AH221" s="693">
        <v>37</v>
      </c>
      <c r="AI221" s="694">
        <v>37</v>
      </c>
    </row>
    <row r="222" spans="1:35" ht="21" customHeight="1" x14ac:dyDescent="0.2">
      <c r="A222" s="441"/>
      <c r="B222" s="673" t="s">
        <v>667</v>
      </c>
      <c r="C222" s="1059" t="s">
        <v>482</v>
      </c>
      <c r="D222" s="1059" t="s">
        <v>482</v>
      </c>
      <c r="E222" s="1059" t="s">
        <v>482</v>
      </c>
      <c r="F222" s="1059" t="s">
        <v>482</v>
      </c>
      <c r="G222" s="1059" t="s">
        <v>482</v>
      </c>
      <c r="H222" s="1059"/>
      <c r="I222" s="1059"/>
      <c r="J222" s="503" t="s">
        <v>482</v>
      </c>
      <c r="K222" s="503" t="s">
        <v>482</v>
      </c>
      <c r="L222" s="503" t="s">
        <v>482</v>
      </c>
      <c r="M222" s="503" t="s">
        <v>482</v>
      </c>
      <c r="N222" s="503" t="s">
        <v>482</v>
      </c>
      <c r="O222" s="503"/>
      <c r="P222" s="503"/>
      <c r="Q222" s="1104" t="s">
        <v>482</v>
      </c>
      <c r="R222" s="1104" t="s">
        <v>617</v>
      </c>
      <c r="S222" s="503" t="s">
        <v>482</v>
      </c>
      <c r="T222" s="503" t="s">
        <v>482</v>
      </c>
      <c r="U222" s="503" t="s">
        <v>482</v>
      </c>
      <c r="V222" s="503"/>
      <c r="W222" s="503"/>
      <c r="X222" s="503" t="s">
        <v>482</v>
      </c>
      <c r="Y222" s="503" t="s">
        <v>482</v>
      </c>
      <c r="Z222" s="503" t="s">
        <v>482</v>
      </c>
      <c r="AA222" s="503" t="s">
        <v>482</v>
      </c>
      <c r="AB222" s="503" t="s">
        <v>482</v>
      </c>
      <c r="AC222" s="503"/>
      <c r="AD222" s="503"/>
      <c r="AE222" s="1059" t="s">
        <v>482</v>
      </c>
      <c r="AF222" s="1059" t="s">
        <v>482</v>
      </c>
      <c r="AG222" s="1059" t="s">
        <v>482</v>
      </c>
      <c r="AH222" s="693">
        <v>156</v>
      </c>
      <c r="AI222" s="694">
        <v>37</v>
      </c>
    </row>
    <row r="223" spans="1:35" ht="21" customHeight="1" x14ac:dyDescent="0.2">
      <c r="A223" s="441"/>
      <c r="B223" s="673" t="s">
        <v>668</v>
      </c>
      <c r="C223" s="1059" t="s">
        <v>482</v>
      </c>
      <c r="D223" s="1059" t="s">
        <v>482</v>
      </c>
      <c r="E223" s="1059" t="s">
        <v>482</v>
      </c>
      <c r="F223" s="1059" t="s">
        <v>482</v>
      </c>
      <c r="G223" s="1059" t="s">
        <v>482</v>
      </c>
      <c r="H223" s="1059"/>
      <c r="I223" s="1059"/>
      <c r="J223" s="1059" t="s">
        <v>482</v>
      </c>
      <c r="K223" s="1059" t="s">
        <v>482</v>
      </c>
      <c r="L223" s="1059" t="s">
        <v>482</v>
      </c>
      <c r="M223" s="1059" t="s">
        <v>482</v>
      </c>
      <c r="N223" s="1059" t="s">
        <v>482</v>
      </c>
      <c r="O223" s="1059"/>
      <c r="P223" s="1059"/>
      <c r="Q223" s="1059" t="s">
        <v>482</v>
      </c>
      <c r="R223" s="1059" t="s">
        <v>482</v>
      </c>
      <c r="S223" s="1059" t="s">
        <v>482</v>
      </c>
      <c r="T223" s="1059" t="s">
        <v>482</v>
      </c>
      <c r="U223" s="1059" t="s">
        <v>482</v>
      </c>
      <c r="V223" s="1059"/>
      <c r="W223" s="1059"/>
      <c r="X223" s="503" t="s">
        <v>482</v>
      </c>
      <c r="Y223" s="503" t="s">
        <v>482</v>
      </c>
      <c r="Z223" s="503" t="s">
        <v>482</v>
      </c>
      <c r="AA223" s="503" t="s">
        <v>482</v>
      </c>
      <c r="AB223" s="503" t="s">
        <v>482</v>
      </c>
      <c r="AC223" s="503"/>
      <c r="AD223" s="503"/>
      <c r="AE223" s="503" t="s">
        <v>482</v>
      </c>
      <c r="AF223" s="503" t="s">
        <v>482</v>
      </c>
      <c r="AG223" s="503" t="s">
        <v>482</v>
      </c>
      <c r="AH223" s="693">
        <v>66</v>
      </c>
      <c r="AI223" s="694">
        <v>37</v>
      </c>
    </row>
    <row r="224" spans="1:35" ht="21" customHeight="1" x14ac:dyDescent="0.2">
      <c r="A224" s="441"/>
      <c r="B224" s="673" t="s">
        <v>669</v>
      </c>
      <c r="C224" s="503" t="s">
        <v>482</v>
      </c>
      <c r="D224" s="503" t="s">
        <v>482</v>
      </c>
      <c r="E224" s="503" t="s">
        <v>482</v>
      </c>
      <c r="F224" s="503" t="s">
        <v>482</v>
      </c>
      <c r="G224" s="503" t="s">
        <v>482</v>
      </c>
      <c r="H224" s="503"/>
      <c r="I224" s="503"/>
      <c r="J224" s="1059" t="s">
        <v>482</v>
      </c>
      <c r="K224" s="1059" t="s">
        <v>482</v>
      </c>
      <c r="L224" s="1059" t="s">
        <v>482</v>
      </c>
      <c r="M224" s="1059" t="s">
        <v>482</v>
      </c>
      <c r="N224" s="1059" t="s">
        <v>482</v>
      </c>
      <c r="O224" s="1059"/>
      <c r="P224" s="1059"/>
      <c r="Q224" s="1059" t="s">
        <v>482</v>
      </c>
      <c r="R224" s="1059" t="s">
        <v>482</v>
      </c>
      <c r="S224" s="1059" t="s">
        <v>482</v>
      </c>
      <c r="T224" s="1059" t="s">
        <v>482</v>
      </c>
      <c r="U224" s="1059" t="s">
        <v>482</v>
      </c>
      <c r="V224" s="1059"/>
      <c r="W224" s="1059"/>
      <c r="X224" s="1059" t="s">
        <v>482</v>
      </c>
      <c r="Y224" s="1059" t="s">
        <v>482</v>
      </c>
      <c r="Z224" s="1059" t="s">
        <v>482</v>
      </c>
      <c r="AA224" s="1059" t="s">
        <v>482</v>
      </c>
      <c r="AB224" s="1059" t="s">
        <v>482</v>
      </c>
      <c r="AC224" s="1059"/>
      <c r="AD224" s="1059"/>
      <c r="AE224" s="503" t="s">
        <v>482</v>
      </c>
      <c r="AF224" s="503" t="s">
        <v>482</v>
      </c>
      <c r="AG224" s="503" t="s">
        <v>482</v>
      </c>
      <c r="AH224" s="693">
        <v>159</v>
      </c>
      <c r="AI224" s="694">
        <v>37</v>
      </c>
    </row>
    <row r="225" spans="1:35" ht="21" customHeight="1" x14ac:dyDescent="0.2">
      <c r="A225" s="441"/>
      <c r="B225" s="673" t="s">
        <v>670</v>
      </c>
      <c r="C225" s="1059" t="s">
        <v>482</v>
      </c>
      <c r="D225" s="1059" t="s">
        <v>482</v>
      </c>
      <c r="E225" s="1059" t="s">
        <v>482</v>
      </c>
      <c r="F225" s="1059" t="s">
        <v>482</v>
      </c>
      <c r="G225" s="1059" t="s">
        <v>482</v>
      </c>
      <c r="H225" s="1059"/>
      <c r="I225" s="1059"/>
      <c r="J225" s="1059" t="s">
        <v>482</v>
      </c>
      <c r="K225" s="1059" t="s">
        <v>482</v>
      </c>
      <c r="L225" s="1059" t="s">
        <v>482</v>
      </c>
      <c r="M225" s="1059" t="s">
        <v>482</v>
      </c>
      <c r="N225" s="1059" t="s">
        <v>482</v>
      </c>
      <c r="O225" s="503"/>
      <c r="P225" s="503"/>
      <c r="Q225" s="503" t="s">
        <v>482</v>
      </c>
      <c r="R225" s="503" t="s">
        <v>482</v>
      </c>
      <c r="S225" s="503" t="s">
        <v>482</v>
      </c>
      <c r="T225" s="503" t="s">
        <v>482</v>
      </c>
      <c r="U225" s="503" t="s">
        <v>482</v>
      </c>
      <c r="V225" s="503"/>
      <c r="W225" s="503"/>
      <c r="X225" s="503" t="s">
        <v>482</v>
      </c>
      <c r="Y225" s="503" t="s">
        <v>482</v>
      </c>
      <c r="Z225" s="503" t="s">
        <v>482</v>
      </c>
      <c r="AA225" s="503" t="s">
        <v>482</v>
      </c>
      <c r="AB225" s="503" t="s">
        <v>482</v>
      </c>
      <c r="AC225" s="503"/>
      <c r="AD225" s="503"/>
      <c r="AE225" s="503" t="s">
        <v>482</v>
      </c>
      <c r="AF225" s="503" t="s">
        <v>482</v>
      </c>
      <c r="AG225" s="503" t="s">
        <v>482</v>
      </c>
      <c r="AH225" s="693">
        <v>43</v>
      </c>
      <c r="AI225" s="694">
        <v>37</v>
      </c>
    </row>
    <row r="226" spans="1:35" ht="21" customHeight="1" x14ac:dyDescent="0.2">
      <c r="A226" s="441"/>
      <c r="B226" s="152" t="s">
        <v>671</v>
      </c>
      <c r="C226" s="1059" t="s">
        <v>482</v>
      </c>
      <c r="D226" s="1059" t="s">
        <v>482</v>
      </c>
      <c r="E226" s="1059" t="s">
        <v>482</v>
      </c>
      <c r="F226" s="1059" t="s">
        <v>482</v>
      </c>
      <c r="G226" s="1059" t="s">
        <v>482</v>
      </c>
      <c r="H226" s="1059"/>
      <c r="I226" s="1059"/>
      <c r="J226" s="503" t="s">
        <v>482</v>
      </c>
      <c r="K226" s="503" t="s">
        <v>482</v>
      </c>
      <c r="L226" s="503" t="s">
        <v>482</v>
      </c>
      <c r="M226" s="503" t="s">
        <v>482</v>
      </c>
      <c r="N226" s="503" t="s">
        <v>482</v>
      </c>
      <c r="O226" s="503"/>
      <c r="P226" s="503"/>
      <c r="Q226" s="503" t="s">
        <v>482</v>
      </c>
      <c r="R226" s="503" t="s">
        <v>482</v>
      </c>
      <c r="S226" s="503" t="s">
        <v>482</v>
      </c>
      <c r="T226" s="503" t="s">
        <v>482</v>
      </c>
      <c r="U226" s="503" t="s">
        <v>482</v>
      </c>
      <c r="V226" s="503"/>
      <c r="W226" s="503"/>
      <c r="X226" s="503" t="s">
        <v>482</v>
      </c>
      <c r="Y226" s="503" t="s">
        <v>482</v>
      </c>
      <c r="Z226" s="503" t="s">
        <v>482</v>
      </c>
      <c r="AA226" s="503" t="s">
        <v>482</v>
      </c>
      <c r="AB226" s="503" t="s">
        <v>482</v>
      </c>
      <c r="AC226" s="503"/>
      <c r="AD226" s="503"/>
      <c r="AE226" s="503" t="s">
        <v>482</v>
      </c>
      <c r="AF226" s="503" t="s">
        <v>482</v>
      </c>
      <c r="AG226" s="503" t="s">
        <v>482</v>
      </c>
      <c r="AH226" s="693">
        <v>74</v>
      </c>
      <c r="AI226" s="694">
        <v>37</v>
      </c>
    </row>
    <row r="227" spans="1:35" ht="21" customHeight="1" x14ac:dyDescent="0.2">
      <c r="A227" s="441"/>
      <c r="B227" s="152" t="s">
        <v>672</v>
      </c>
      <c r="C227" s="503" t="s">
        <v>482</v>
      </c>
      <c r="D227" s="503" t="s">
        <v>482</v>
      </c>
      <c r="E227" s="503" t="s">
        <v>482</v>
      </c>
      <c r="F227" s="1059" t="s">
        <v>482</v>
      </c>
      <c r="G227" s="1059" t="s">
        <v>482</v>
      </c>
      <c r="H227" s="503"/>
      <c r="I227" s="503"/>
      <c r="J227" s="503" t="s">
        <v>482</v>
      </c>
      <c r="K227" s="503" t="s">
        <v>482</v>
      </c>
      <c r="L227" s="503" t="s">
        <v>482</v>
      </c>
      <c r="M227" s="503" t="s">
        <v>482</v>
      </c>
      <c r="N227" s="503" t="s">
        <v>482</v>
      </c>
      <c r="O227" s="503"/>
      <c r="P227" s="503"/>
      <c r="Q227" s="503" t="s">
        <v>482</v>
      </c>
      <c r="R227" s="503" t="s">
        <v>482</v>
      </c>
      <c r="S227" s="503" t="s">
        <v>482</v>
      </c>
      <c r="T227" s="503" t="s">
        <v>482</v>
      </c>
      <c r="U227" s="1059" t="s">
        <v>482</v>
      </c>
      <c r="V227" s="503"/>
      <c r="W227" s="503"/>
      <c r="X227" s="503" t="s">
        <v>482</v>
      </c>
      <c r="Y227" s="503" t="s">
        <v>482</v>
      </c>
      <c r="Z227" s="1059" t="s">
        <v>482</v>
      </c>
      <c r="AA227" s="1059" t="s">
        <v>482</v>
      </c>
      <c r="AB227" s="1059" t="s">
        <v>482</v>
      </c>
      <c r="AC227" s="503"/>
      <c r="AD227" s="503"/>
      <c r="AE227" s="503" t="s">
        <v>482</v>
      </c>
      <c r="AF227" s="503" t="s">
        <v>482</v>
      </c>
      <c r="AG227" s="503" t="s">
        <v>482</v>
      </c>
      <c r="AH227" s="693">
        <v>56</v>
      </c>
      <c r="AI227" s="694">
        <v>37</v>
      </c>
    </row>
    <row r="228" spans="1:35" ht="21" customHeight="1" x14ac:dyDescent="0.2">
      <c r="A228" s="152"/>
      <c r="B228" s="152" t="s">
        <v>673</v>
      </c>
      <c r="C228" s="503" t="s">
        <v>482</v>
      </c>
      <c r="D228" s="503" t="s">
        <v>482</v>
      </c>
      <c r="E228" s="503" t="s">
        <v>482</v>
      </c>
      <c r="F228" s="503" t="s">
        <v>482</v>
      </c>
      <c r="G228" s="503" t="s">
        <v>482</v>
      </c>
      <c r="H228" s="503"/>
      <c r="I228" s="503"/>
      <c r="J228" s="503" t="s">
        <v>482</v>
      </c>
      <c r="K228" s="503" t="s">
        <v>482</v>
      </c>
      <c r="L228" s="503" t="s">
        <v>482</v>
      </c>
      <c r="M228" s="503" t="s">
        <v>482</v>
      </c>
      <c r="N228" s="503" t="s">
        <v>482</v>
      </c>
      <c r="O228" s="503"/>
      <c r="P228" s="503"/>
      <c r="Q228" s="503" t="s">
        <v>482</v>
      </c>
      <c r="R228" s="503" t="s">
        <v>482</v>
      </c>
      <c r="S228" s="503" t="s">
        <v>482</v>
      </c>
      <c r="T228" s="503" t="s">
        <v>482</v>
      </c>
      <c r="U228" s="503" t="s">
        <v>482</v>
      </c>
      <c r="V228" s="503"/>
      <c r="W228" s="503"/>
      <c r="X228" s="503" t="s">
        <v>482</v>
      </c>
      <c r="Y228" s="503" t="s">
        <v>482</v>
      </c>
      <c r="Z228" s="503" t="s">
        <v>482</v>
      </c>
      <c r="AA228" s="503" t="s">
        <v>482</v>
      </c>
      <c r="AB228" s="503" t="s">
        <v>482</v>
      </c>
      <c r="AC228" s="503"/>
      <c r="AD228" s="503"/>
      <c r="AE228" s="503" t="s">
        <v>482</v>
      </c>
      <c r="AF228" s="503" t="s">
        <v>482</v>
      </c>
      <c r="AG228" s="503" t="s">
        <v>482</v>
      </c>
      <c r="AH228" s="693">
        <v>154</v>
      </c>
      <c r="AI228" s="694">
        <v>37</v>
      </c>
    </row>
    <row r="229" spans="1:35" ht="21" customHeight="1" x14ac:dyDescent="0.2">
      <c r="A229" s="152"/>
      <c r="B229" s="152"/>
      <c r="C229" s="503"/>
      <c r="D229" s="503"/>
      <c r="E229" s="503"/>
      <c r="F229" s="503"/>
      <c r="G229" s="503"/>
      <c r="H229" s="503"/>
      <c r="I229" s="503"/>
      <c r="J229" s="503"/>
      <c r="K229" s="503"/>
      <c r="L229" s="503"/>
      <c r="M229" s="503"/>
      <c r="N229" s="503"/>
      <c r="O229" s="503"/>
      <c r="P229" s="503"/>
      <c r="Q229" s="503"/>
      <c r="R229" s="503"/>
      <c r="S229" s="503"/>
      <c r="T229" s="503"/>
      <c r="U229" s="503"/>
      <c r="V229" s="503"/>
      <c r="W229" s="503"/>
      <c r="X229" s="503"/>
      <c r="Y229" s="503"/>
      <c r="Z229" s="503"/>
      <c r="AA229" s="503"/>
      <c r="AB229" s="503"/>
      <c r="AC229" s="503"/>
      <c r="AD229" s="503"/>
      <c r="AE229" s="503"/>
      <c r="AF229" s="503"/>
      <c r="AG229" s="503"/>
      <c r="AH229" s="693"/>
      <c r="AI229" s="694"/>
    </row>
    <row r="230" spans="1:35" ht="21" customHeight="1" x14ac:dyDescent="0.2">
      <c r="A230" s="152"/>
      <c r="B230" s="152"/>
      <c r="C230" s="503"/>
      <c r="D230" s="503"/>
      <c r="E230" s="503"/>
      <c r="F230" s="503"/>
      <c r="G230" s="503"/>
      <c r="H230" s="503"/>
      <c r="I230" s="503"/>
      <c r="J230" s="503"/>
      <c r="K230" s="503"/>
      <c r="L230" s="503"/>
      <c r="M230" s="503"/>
      <c r="N230" s="503"/>
      <c r="O230" s="503"/>
      <c r="P230" s="503"/>
      <c r="Q230" s="503"/>
      <c r="R230" s="503"/>
      <c r="S230" s="503"/>
      <c r="T230" s="503"/>
      <c r="U230" s="503"/>
      <c r="V230" s="503"/>
      <c r="W230" s="503"/>
      <c r="X230" s="503"/>
      <c r="Y230" s="503"/>
      <c r="Z230" s="503"/>
      <c r="AA230" s="503"/>
      <c r="AB230" s="503"/>
      <c r="AC230" s="503"/>
      <c r="AD230" s="503"/>
      <c r="AE230" s="503"/>
      <c r="AF230" s="503"/>
      <c r="AG230" s="503"/>
      <c r="AH230" s="693"/>
      <c r="AI230" s="694"/>
    </row>
    <row r="231" spans="1:35" ht="21" customHeight="1" x14ac:dyDescent="0.2">
      <c r="A231" s="152"/>
      <c r="B231" s="152"/>
      <c r="C231" s="503"/>
      <c r="D231" s="503"/>
      <c r="E231" s="503"/>
      <c r="F231" s="503"/>
      <c r="G231" s="503"/>
      <c r="H231" s="503"/>
      <c r="I231" s="503"/>
      <c r="J231" s="503"/>
      <c r="K231" s="503"/>
      <c r="L231" s="503"/>
      <c r="M231" s="503"/>
      <c r="N231" s="503"/>
      <c r="O231" s="503"/>
      <c r="P231" s="503"/>
      <c r="Q231" s="503"/>
      <c r="R231" s="503"/>
      <c r="S231" s="503"/>
      <c r="T231" s="503"/>
      <c r="U231" s="503"/>
      <c r="V231" s="503"/>
      <c r="W231" s="503"/>
      <c r="X231" s="503"/>
      <c r="Y231" s="503"/>
      <c r="Z231" s="503"/>
      <c r="AA231" s="503"/>
      <c r="AB231" s="503"/>
      <c r="AC231" s="503"/>
      <c r="AD231" s="503"/>
      <c r="AE231" s="503"/>
      <c r="AF231" s="503"/>
      <c r="AG231" s="503"/>
      <c r="AH231" s="648"/>
      <c r="AI231" s="649"/>
    </row>
    <row r="232" spans="1:35" ht="21" customHeight="1" x14ac:dyDescent="0.2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4"/>
      <c r="AH232" s="648"/>
      <c r="AI232" s="649"/>
    </row>
    <row r="233" spans="1:35" ht="21" customHeight="1" x14ac:dyDescent="0.2">
      <c r="A233" s="152"/>
      <c r="B233" s="152"/>
      <c r="C233" s="152"/>
      <c r="D233" s="152"/>
      <c r="E233" s="152"/>
      <c r="F233" s="152"/>
      <c r="G233" s="152"/>
      <c r="H233" s="152"/>
      <c r="I233" s="152"/>
      <c r="J233" s="152"/>
      <c r="K233" s="152"/>
      <c r="L233" s="152"/>
      <c r="M233" s="152"/>
      <c r="N233" s="152"/>
      <c r="O233" s="152"/>
      <c r="P233" s="152"/>
      <c r="Q233" s="152"/>
      <c r="R233" s="152"/>
      <c r="S233" s="152"/>
      <c r="T233" s="152"/>
      <c r="U233" s="152"/>
      <c r="V233" s="152"/>
      <c r="W233" s="152"/>
      <c r="X233" s="152"/>
      <c r="Y233" s="152"/>
      <c r="Z233" s="152"/>
      <c r="AA233" s="152"/>
      <c r="AB233" s="152"/>
      <c r="AC233" s="152"/>
      <c r="AD233" s="152"/>
      <c r="AE233" s="152"/>
      <c r="AF233" s="152"/>
      <c r="AG233" s="154"/>
      <c r="AH233" s="648"/>
      <c r="AI233" s="649"/>
    </row>
    <row r="234" spans="1:35" ht="21" customHeight="1" x14ac:dyDescent="0.2">
      <c r="A234" s="152"/>
      <c r="B234" s="152"/>
      <c r="C234" s="152"/>
      <c r="D234" s="152"/>
      <c r="E234" s="152"/>
      <c r="F234" s="152"/>
      <c r="G234" s="152"/>
      <c r="H234" s="152"/>
      <c r="I234" s="152"/>
      <c r="J234" s="152"/>
      <c r="K234" s="152"/>
      <c r="L234" s="152"/>
      <c r="M234" s="152"/>
      <c r="N234" s="152"/>
      <c r="O234" s="152"/>
      <c r="P234" s="152"/>
      <c r="Q234" s="152"/>
      <c r="R234" s="152"/>
      <c r="S234" s="152"/>
      <c r="T234" s="152"/>
      <c r="U234" s="152"/>
      <c r="V234" s="152"/>
      <c r="W234" s="152"/>
      <c r="X234" s="152"/>
      <c r="Y234" s="152"/>
      <c r="Z234" s="152"/>
      <c r="AA234" s="152"/>
      <c r="AB234" s="152"/>
      <c r="AC234" s="152"/>
      <c r="AD234" s="152"/>
      <c r="AE234" s="152"/>
      <c r="AF234" s="152"/>
      <c r="AG234" s="154"/>
      <c r="AH234" s="330"/>
      <c r="AI234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3" max="16383" man="1"/>
  </row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AACD-BC82-4EEB-86F0-D97E21A7EC21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EF1EF-03E2-4F67-9203-23B2283D25AD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EE7FF-FD56-48DF-95E4-E0CF02370F63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8"/>
  <dimension ref="A1:AK232"/>
  <sheetViews>
    <sheetView topLeftCell="B204" zoomScale="67" zoomScaleNormal="67" workbookViewId="0">
      <selection activeCell="AM225" sqref="AM225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177">
        <v>1</v>
      </c>
      <c r="D10" s="177">
        <v>2</v>
      </c>
      <c r="E10" s="497">
        <v>3</v>
      </c>
      <c r="F10" s="497">
        <v>4</v>
      </c>
      <c r="G10" s="177">
        <v>5</v>
      </c>
      <c r="H10" s="177">
        <v>6</v>
      </c>
      <c r="I10" s="177">
        <v>7</v>
      </c>
      <c r="J10" s="177">
        <v>8</v>
      </c>
      <c r="K10" s="177">
        <v>9</v>
      </c>
      <c r="L10" s="497">
        <v>10</v>
      </c>
      <c r="M10" s="497">
        <v>11</v>
      </c>
      <c r="N10" s="177">
        <v>12</v>
      </c>
      <c r="O10" s="177">
        <v>13</v>
      </c>
      <c r="P10" s="177">
        <v>14</v>
      </c>
      <c r="Q10" s="177">
        <v>15</v>
      </c>
      <c r="R10" s="177">
        <v>16</v>
      </c>
      <c r="S10" s="497">
        <v>17</v>
      </c>
      <c r="T10" s="497">
        <v>18</v>
      </c>
      <c r="U10" s="177">
        <v>19</v>
      </c>
      <c r="V10" s="177">
        <v>20</v>
      </c>
      <c r="W10" s="177">
        <v>21</v>
      </c>
      <c r="X10" s="177">
        <v>22</v>
      </c>
      <c r="Y10" s="177">
        <v>23</v>
      </c>
      <c r="Z10" s="497">
        <v>24</v>
      </c>
      <c r="AA10" s="497">
        <v>25</v>
      </c>
      <c r="AB10" s="177">
        <v>26</v>
      </c>
      <c r="AC10" s="177">
        <v>27</v>
      </c>
      <c r="AD10" s="177">
        <v>28</v>
      </c>
      <c r="AE10" s="177">
        <v>29</v>
      </c>
      <c r="AF10" s="177">
        <v>30</v>
      </c>
      <c r="AG10" s="177"/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177"/>
      <c r="D11" s="177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x14ac:dyDescent="0.2">
      <c r="A13" s="512">
        <v>8546</v>
      </c>
      <c r="B13" s="513" t="s">
        <v>473</v>
      </c>
      <c r="C13" s="1064">
        <v>2</v>
      </c>
      <c r="D13" s="1064">
        <v>2</v>
      </c>
      <c r="E13" s="1064" t="s">
        <v>474</v>
      </c>
      <c r="F13" s="1064" t="s">
        <v>474</v>
      </c>
      <c r="G13" s="553" t="s">
        <v>475</v>
      </c>
      <c r="H13" s="553" t="s">
        <v>475</v>
      </c>
      <c r="I13" s="553" t="s">
        <v>475</v>
      </c>
      <c r="J13" s="553" t="s">
        <v>475</v>
      </c>
      <c r="K13" s="553" t="s">
        <v>475</v>
      </c>
      <c r="L13" s="553"/>
      <c r="M13" s="553"/>
      <c r="N13" s="553">
        <v>3</v>
      </c>
      <c r="O13" s="553">
        <v>3</v>
      </c>
      <c r="P13" s="553">
        <v>3</v>
      </c>
      <c r="Q13" s="553">
        <v>3</v>
      </c>
      <c r="R13" s="553">
        <v>3</v>
      </c>
      <c r="S13" s="553"/>
      <c r="T13" s="553"/>
      <c r="U13" s="553">
        <v>4</v>
      </c>
      <c r="V13" s="553">
        <v>4</v>
      </c>
      <c r="W13" s="1116" t="s">
        <v>732</v>
      </c>
      <c r="X13" s="1116">
        <v>4</v>
      </c>
      <c r="Y13" s="1116">
        <v>4</v>
      </c>
      <c r="Z13" s="1116" t="s">
        <v>476</v>
      </c>
      <c r="AA13" s="1116" t="s">
        <v>476</v>
      </c>
      <c r="AB13" s="553" t="s">
        <v>475</v>
      </c>
      <c r="AC13" s="553" t="s">
        <v>475</v>
      </c>
      <c r="AD13" s="553" t="s">
        <v>475</v>
      </c>
      <c r="AE13" s="553" t="s">
        <v>475</v>
      </c>
      <c r="AF13" s="553" t="s">
        <v>475</v>
      </c>
      <c r="AG13" s="515"/>
      <c r="AH13" s="516">
        <v>79</v>
      </c>
      <c r="AI13" s="517">
        <v>37</v>
      </c>
    </row>
    <row r="14" spans="1:35" ht="21.95" customHeight="1" x14ac:dyDescent="0.2">
      <c r="A14" s="501">
        <v>8546</v>
      </c>
      <c r="B14" s="346" t="s">
        <v>477</v>
      </c>
      <c r="C14" s="1064" t="s">
        <v>475</v>
      </c>
      <c r="D14" s="1064" t="s">
        <v>475</v>
      </c>
      <c r="E14" s="1064"/>
      <c r="F14" s="1064"/>
      <c r="G14" s="553">
        <v>1</v>
      </c>
      <c r="H14" s="553">
        <v>1</v>
      </c>
      <c r="I14" s="553">
        <v>1</v>
      </c>
      <c r="J14" s="553">
        <v>1</v>
      </c>
      <c r="K14" s="553">
        <v>1</v>
      </c>
      <c r="L14" s="553"/>
      <c r="M14" s="553"/>
      <c r="N14" s="553">
        <v>2</v>
      </c>
      <c r="O14" s="553">
        <v>2</v>
      </c>
      <c r="P14" s="553" t="s">
        <v>552</v>
      </c>
      <c r="Q14" s="553" t="s">
        <v>552</v>
      </c>
      <c r="R14" s="553">
        <v>2</v>
      </c>
      <c r="S14" s="553" t="s">
        <v>474</v>
      </c>
      <c r="T14" s="553" t="s">
        <v>474</v>
      </c>
      <c r="U14" s="553" t="s">
        <v>475</v>
      </c>
      <c r="V14" s="553" t="s">
        <v>475</v>
      </c>
      <c r="W14" s="553" t="s">
        <v>475</v>
      </c>
      <c r="X14" s="553" t="s">
        <v>475</v>
      </c>
      <c r="Y14" s="553" t="s">
        <v>475</v>
      </c>
      <c r="Z14" s="553"/>
      <c r="AA14" s="553"/>
      <c r="AB14" s="553">
        <v>3</v>
      </c>
      <c r="AC14" s="553">
        <v>3</v>
      </c>
      <c r="AD14" s="553">
        <v>3</v>
      </c>
      <c r="AE14" s="553">
        <v>3</v>
      </c>
      <c r="AF14" s="553">
        <v>3</v>
      </c>
      <c r="AG14" s="504"/>
      <c r="AH14" s="505">
        <v>82</v>
      </c>
      <c r="AI14" s="506">
        <v>37</v>
      </c>
    </row>
    <row r="15" spans="1:35" ht="21.95" customHeight="1" x14ac:dyDescent="0.2">
      <c r="A15" s="501">
        <v>8546</v>
      </c>
      <c r="B15" s="346" t="s">
        <v>174</v>
      </c>
      <c r="C15" s="553">
        <v>1</v>
      </c>
      <c r="D15" s="553">
        <v>1</v>
      </c>
      <c r="E15" s="553"/>
      <c r="F15" s="553"/>
      <c r="G15" s="553">
        <v>2</v>
      </c>
      <c r="H15" s="553">
        <v>2</v>
      </c>
      <c r="I15" s="553">
        <v>2</v>
      </c>
      <c r="J15" s="553">
        <v>2</v>
      </c>
      <c r="K15" s="553">
        <v>2</v>
      </c>
      <c r="L15" s="553" t="s">
        <v>474</v>
      </c>
      <c r="M15" s="553" t="s">
        <v>474</v>
      </c>
      <c r="N15" s="553" t="s">
        <v>475</v>
      </c>
      <c r="O15" s="553" t="s">
        <v>475</v>
      </c>
      <c r="P15" s="553" t="s">
        <v>552</v>
      </c>
      <c r="Q15" s="553" t="s">
        <v>552</v>
      </c>
      <c r="R15" s="553" t="s">
        <v>475</v>
      </c>
      <c r="S15" s="553"/>
      <c r="T15" s="553"/>
      <c r="U15" s="1064">
        <v>3</v>
      </c>
      <c r="V15" s="1064">
        <v>3</v>
      </c>
      <c r="W15" s="1064">
        <v>3</v>
      </c>
      <c r="X15" s="1064">
        <v>3</v>
      </c>
      <c r="Y15" s="1064">
        <v>3</v>
      </c>
      <c r="Z15" s="553"/>
      <c r="AA15" s="553"/>
      <c r="AB15" s="553">
        <v>4</v>
      </c>
      <c r="AC15" s="553">
        <v>4</v>
      </c>
      <c r="AD15" s="553">
        <v>4</v>
      </c>
      <c r="AE15" s="1064">
        <v>4</v>
      </c>
      <c r="AF15" s="1064">
        <v>4</v>
      </c>
      <c r="AG15" s="504"/>
      <c r="AH15" s="505">
        <v>96</v>
      </c>
      <c r="AI15" s="506">
        <v>37</v>
      </c>
    </row>
    <row r="16" spans="1:35" ht="21.95" customHeight="1" x14ac:dyDescent="0.2">
      <c r="A16" s="501">
        <v>8546</v>
      </c>
      <c r="B16" s="346" t="s">
        <v>478</v>
      </c>
      <c r="C16" s="553">
        <v>3</v>
      </c>
      <c r="D16" s="553">
        <v>3</v>
      </c>
      <c r="E16" s="553"/>
      <c r="F16" s="553"/>
      <c r="G16" s="553">
        <v>4</v>
      </c>
      <c r="H16" s="553">
        <v>4</v>
      </c>
      <c r="I16" s="553">
        <v>4</v>
      </c>
      <c r="J16" s="553">
        <v>4</v>
      </c>
      <c r="K16" s="553">
        <v>4</v>
      </c>
      <c r="L16" s="553" t="s">
        <v>476</v>
      </c>
      <c r="M16" s="553" t="s">
        <v>476</v>
      </c>
      <c r="N16" s="553" t="s">
        <v>475</v>
      </c>
      <c r="O16" s="553" t="s">
        <v>475</v>
      </c>
      <c r="P16" s="553" t="s">
        <v>475</v>
      </c>
      <c r="Q16" s="553" t="s">
        <v>475</v>
      </c>
      <c r="R16" s="553" t="s">
        <v>475</v>
      </c>
      <c r="S16" s="553"/>
      <c r="T16" s="553"/>
      <c r="U16" s="553">
        <v>1</v>
      </c>
      <c r="V16" s="553">
        <v>1</v>
      </c>
      <c r="W16" s="553">
        <v>1</v>
      </c>
      <c r="X16" s="553">
        <v>1</v>
      </c>
      <c r="Y16" s="553">
        <v>1</v>
      </c>
      <c r="Z16" s="553"/>
      <c r="AA16" s="553"/>
      <c r="AB16" s="553">
        <v>2</v>
      </c>
      <c r="AC16" s="553">
        <v>2</v>
      </c>
      <c r="AD16" s="553">
        <v>2</v>
      </c>
      <c r="AE16" s="553">
        <v>2</v>
      </c>
      <c r="AF16" s="553">
        <v>2</v>
      </c>
      <c r="AG16" s="504"/>
      <c r="AH16" s="505">
        <v>78</v>
      </c>
      <c r="AI16" s="506">
        <v>37</v>
      </c>
    </row>
    <row r="17" spans="1:37" ht="21.95" customHeight="1" x14ac:dyDescent="0.2">
      <c r="A17" s="501">
        <v>8546</v>
      </c>
      <c r="B17" s="346" t="s">
        <v>479</v>
      </c>
      <c r="C17" s="553" t="s">
        <v>475</v>
      </c>
      <c r="D17" s="553" t="s">
        <v>475</v>
      </c>
      <c r="E17" s="553"/>
      <c r="F17" s="553"/>
      <c r="G17" s="553">
        <v>3</v>
      </c>
      <c r="H17" s="553">
        <v>3</v>
      </c>
      <c r="I17" s="553">
        <v>3</v>
      </c>
      <c r="J17" s="553">
        <v>3</v>
      </c>
      <c r="K17" s="553">
        <v>3</v>
      </c>
      <c r="L17" s="553"/>
      <c r="M17" s="553"/>
      <c r="N17" s="553">
        <v>4</v>
      </c>
      <c r="O17" s="553">
        <v>4</v>
      </c>
      <c r="P17" s="553">
        <v>4</v>
      </c>
      <c r="Q17" s="553">
        <v>4</v>
      </c>
      <c r="R17" s="553">
        <v>4</v>
      </c>
      <c r="S17" s="553" t="s">
        <v>476</v>
      </c>
      <c r="T17" s="1083" t="s">
        <v>476</v>
      </c>
      <c r="U17" s="553" t="s">
        <v>475</v>
      </c>
      <c r="V17" s="553" t="s">
        <v>475</v>
      </c>
      <c r="W17" s="1461" t="s">
        <v>732</v>
      </c>
      <c r="X17" s="1461">
        <v>4</v>
      </c>
      <c r="Y17" s="1461">
        <v>4</v>
      </c>
      <c r="Z17" s="1461" t="s">
        <v>476</v>
      </c>
      <c r="AA17" s="1461" t="s">
        <v>476</v>
      </c>
      <c r="AB17" s="553" t="s">
        <v>475</v>
      </c>
      <c r="AC17" s="553" t="s">
        <v>475</v>
      </c>
      <c r="AD17" s="553">
        <v>1</v>
      </c>
      <c r="AE17" s="553">
        <v>1</v>
      </c>
      <c r="AF17" s="553">
        <v>1</v>
      </c>
      <c r="AG17" s="504"/>
      <c r="AH17" s="505">
        <v>79</v>
      </c>
      <c r="AI17" s="506">
        <v>37</v>
      </c>
    </row>
    <row r="18" spans="1:37" ht="21.95" customHeight="1" x14ac:dyDescent="0.2">
      <c r="A18" s="501">
        <v>8546</v>
      </c>
      <c r="B18" s="346" t="s">
        <v>480</v>
      </c>
      <c r="C18" s="553">
        <v>4</v>
      </c>
      <c r="D18" s="553">
        <v>4</v>
      </c>
      <c r="E18" s="553" t="s">
        <v>476</v>
      </c>
      <c r="F18" s="553" t="s">
        <v>476</v>
      </c>
      <c r="G18" s="553" t="s">
        <v>475</v>
      </c>
      <c r="H18" s="553" t="s">
        <v>475</v>
      </c>
      <c r="I18" s="553" t="s">
        <v>475</v>
      </c>
      <c r="J18" s="553" t="s">
        <v>475</v>
      </c>
      <c r="K18" s="553" t="s">
        <v>475</v>
      </c>
      <c r="L18" s="553"/>
      <c r="M18" s="553"/>
      <c r="N18" s="553">
        <v>1</v>
      </c>
      <c r="O18" s="553">
        <v>1</v>
      </c>
      <c r="P18" s="553">
        <v>1</v>
      </c>
      <c r="Q18" s="1083">
        <v>1</v>
      </c>
      <c r="R18" s="1083">
        <v>1</v>
      </c>
      <c r="S18" s="553"/>
      <c r="T18" s="553"/>
      <c r="U18" s="553">
        <v>2</v>
      </c>
      <c r="V18" s="553">
        <v>2</v>
      </c>
      <c r="W18" s="553">
        <v>2</v>
      </c>
      <c r="X18" s="553">
        <v>2</v>
      </c>
      <c r="Y18" s="553">
        <v>2</v>
      </c>
      <c r="Z18" s="553" t="s">
        <v>474</v>
      </c>
      <c r="AA18" s="553" t="s">
        <v>474</v>
      </c>
      <c r="AB18" s="553" t="s">
        <v>475</v>
      </c>
      <c r="AC18" s="553" t="s">
        <v>475</v>
      </c>
      <c r="AD18" s="553" t="s">
        <v>475</v>
      </c>
      <c r="AE18" s="553" t="s">
        <v>475</v>
      </c>
      <c r="AF18" s="553" t="s">
        <v>475</v>
      </c>
      <c r="AG18" s="504"/>
      <c r="AH18" s="505">
        <v>78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10"/>
      <c r="AI19" s="511"/>
    </row>
    <row r="20" spans="1:37" ht="21.95" customHeight="1" x14ac:dyDescent="0.2">
      <c r="A20" s="501">
        <v>8500</v>
      </c>
      <c r="B20" s="185" t="s">
        <v>188</v>
      </c>
      <c r="C20" s="553">
        <v>2</v>
      </c>
      <c r="D20" s="553">
        <v>2</v>
      </c>
      <c r="E20" s="553" t="s">
        <v>474</v>
      </c>
      <c r="F20" s="553" t="s">
        <v>474</v>
      </c>
      <c r="G20" s="553" t="s">
        <v>475</v>
      </c>
      <c r="H20" s="553" t="s">
        <v>475</v>
      </c>
      <c r="I20" s="553" t="s">
        <v>475</v>
      </c>
      <c r="J20" s="553" t="s">
        <v>475</v>
      </c>
      <c r="K20" s="553" t="s">
        <v>475</v>
      </c>
      <c r="L20" s="553"/>
      <c r="M20" s="553"/>
      <c r="N20" s="553" t="s">
        <v>475</v>
      </c>
      <c r="O20" s="553" t="s">
        <v>475</v>
      </c>
      <c r="P20" s="553" t="s">
        <v>475</v>
      </c>
      <c r="Q20" s="553">
        <v>2</v>
      </c>
      <c r="R20" s="553">
        <v>1</v>
      </c>
      <c r="S20" s="553" t="s">
        <v>484</v>
      </c>
      <c r="T20" s="553" t="s">
        <v>484</v>
      </c>
      <c r="U20" s="553">
        <v>3</v>
      </c>
      <c r="V20" s="553">
        <v>3</v>
      </c>
      <c r="W20" s="553">
        <v>3</v>
      </c>
      <c r="X20" s="553">
        <v>3</v>
      </c>
      <c r="Y20" s="553">
        <v>3</v>
      </c>
      <c r="Z20" s="1461" t="s">
        <v>550</v>
      </c>
      <c r="AA20" s="1461" t="s">
        <v>550</v>
      </c>
      <c r="AB20" s="1083" t="s">
        <v>552</v>
      </c>
      <c r="AC20" s="1083" t="s">
        <v>552</v>
      </c>
      <c r="AD20" s="1083" t="s">
        <v>552</v>
      </c>
      <c r="AE20" s="1083" t="s">
        <v>552</v>
      </c>
      <c r="AF20" s="1083" t="s">
        <v>552</v>
      </c>
      <c r="AG20" s="695"/>
      <c r="AH20" s="505">
        <v>74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1083" t="s">
        <v>552</v>
      </c>
      <c r="D21" s="1083" t="s">
        <v>552</v>
      </c>
      <c r="E21" s="553" t="s">
        <v>484</v>
      </c>
      <c r="F21" s="553" t="s">
        <v>484</v>
      </c>
      <c r="G21" s="553" t="s">
        <v>552</v>
      </c>
      <c r="H21" s="553" t="s">
        <v>552</v>
      </c>
      <c r="I21" s="553" t="s">
        <v>552</v>
      </c>
      <c r="J21" s="553" t="s">
        <v>552</v>
      </c>
      <c r="K21" s="553" t="s">
        <v>552</v>
      </c>
      <c r="L21" s="553"/>
      <c r="M21" s="553"/>
      <c r="N21" s="553" t="s">
        <v>552</v>
      </c>
      <c r="O21" s="553" t="s">
        <v>552</v>
      </c>
      <c r="P21" s="553">
        <v>2</v>
      </c>
      <c r="Q21" s="553">
        <v>1</v>
      </c>
      <c r="R21" s="553" t="s">
        <v>552</v>
      </c>
      <c r="S21" s="553"/>
      <c r="T21" s="553" t="s">
        <v>476</v>
      </c>
      <c r="U21" s="553" t="s">
        <v>475</v>
      </c>
      <c r="V21" s="553" t="s">
        <v>552</v>
      </c>
      <c r="W21" s="553" t="s">
        <v>552</v>
      </c>
      <c r="X21" s="553" t="s">
        <v>552</v>
      </c>
      <c r="Y21" s="553" t="s">
        <v>552</v>
      </c>
      <c r="Z21" s="553"/>
      <c r="AA21" s="553"/>
      <c r="AB21" s="553">
        <v>1</v>
      </c>
      <c r="AC21" s="553">
        <v>1</v>
      </c>
      <c r="AD21" s="553" t="s">
        <v>552</v>
      </c>
      <c r="AE21" s="553">
        <v>4</v>
      </c>
      <c r="AF21" s="553">
        <v>4</v>
      </c>
      <c r="AG21" s="503"/>
      <c r="AH21" s="505">
        <v>74</v>
      </c>
      <c r="AI21" s="506">
        <v>37</v>
      </c>
    </row>
    <row r="22" spans="1:37" ht="21.95" customHeight="1" x14ac:dyDescent="0.2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>
        <v>185</v>
      </c>
      <c r="AI22" s="523">
        <v>37</v>
      </c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528" t="s">
        <v>725</v>
      </c>
      <c r="N31" s="527"/>
      <c r="O31" s="527"/>
      <c r="P31" s="527"/>
      <c r="Q31" s="527"/>
      <c r="R31" s="527"/>
      <c r="S31" s="529"/>
      <c r="T31" s="529" t="s">
        <v>489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x14ac:dyDescent="0.2">
      <c r="A36" s="547" t="s">
        <v>468</v>
      </c>
      <c r="B36" s="181" t="s">
        <v>469</v>
      </c>
      <c r="C36" s="177">
        <v>1</v>
      </c>
      <c r="D36" s="177">
        <v>2</v>
      </c>
      <c r="E36" s="497">
        <v>3</v>
      </c>
      <c r="F36" s="497">
        <v>4</v>
      </c>
      <c r="G36" s="177">
        <v>5</v>
      </c>
      <c r="H36" s="177">
        <v>6</v>
      </c>
      <c r="I36" s="177">
        <v>7</v>
      </c>
      <c r="J36" s="177">
        <v>8</v>
      </c>
      <c r="K36" s="177">
        <v>9</v>
      </c>
      <c r="L36" s="497">
        <v>10</v>
      </c>
      <c r="M36" s="497">
        <v>11</v>
      </c>
      <c r="N36" s="177">
        <v>12</v>
      </c>
      <c r="O36" s="177">
        <v>13</v>
      </c>
      <c r="P36" s="177">
        <v>14</v>
      </c>
      <c r="Q36" s="177">
        <v>15</v>
      </c>
      <c r="R36" s="177">
        <v>16</v>
      </c>
      <c r="S36" s="497">
        <v>17</v>
      </c>
      <c r="T36" s="497">
        <v>18</v>
      </c>
      <c r="U36" s="177">
        <v>19</v>
      </c>
      <c r="V36" s="177">
        <v>20</v>
      </c>
      <c r="W36" s="177">
        <v>21</v>
      </c>
      <c r="X36" s="177">
        <v>22</v>
      </c>
      <c r="Y36" s="177">
        <v>23</v>
      </c>
      <c r="Z36" s="497">
        <v>24</v>
      </c>
      <c r="AA36" s="497">
        <v>25</v>
      </c>
      <c r="AB36" s="177">
        <v>26</v>
      </c>
      <c r="AC36" s="177">
        <v>27</v>
      </c>
      <c r="AD36" s="177">
        <v>28</v>
      </c>
      <c r="AE36" s="177">
        <v>29</v>
      </c>
      <c r="AF36" s="177">
        <v>30</v>
      </c>
      <c r="AG36" s="177"/>
      <c r="AH36" s="499" t="s">
        <v>470</v>
      </c>
      <c r="AI36" s="500" t="s">
        <v>471</v>
      </c>
    </row>
    <row r="37" spans="1:37" ht="21.95" customHeight="1" x14ac:dyDescent="0.2">
      <c r="A37" s="548">
        <v>1</v>
      </c>
      <c r="B37" s="45" t="s">
        <v>502</v>
      </c>
      <c r="C37" s="1447" t="s">
        <v>475</v>
      </c>
      <c r="D37" s="1447" t="s">
        <v>475</v>
      </c>
      <c r="E37" s="549"/>
      <c r="F37" s="549"/>
      <c r="G37" s="549" t="s">
        <v>482</v>
      </c>
      <c r="H37" s="549" t="s">
        <v>482</v>
      </c>
      <c r="I37" s="549" t="s">
        <v>482</v>
      </c>
      <c r="J37" s="549" t="s">
        <v>482</v>
      </c>
      <c r="K37" s="549" t="s">
        <v>482</v>
      </c>
      <c r="L37" s="549"/>
      <c r="M37" s="549"/>
      <c r="N37" s="549">
        <v>9</v>
      </c>
      <c r="O37" s="549">
        <v>9</v>
      </c>
      <c r="P37" s="1474">
        <v>9</v>
      </c>
      <c r="Q37" s="549">
        <v>9</v>
      </c>
      <c r="R37" s="549">
        <v>9</v>
      </c>
      <c r="S37" s="549" t="s">
        <v>511</v>
      </c>
      <c r="T37" s="549" t="s">
        <v>507</v>
      </c>
      <c r="U37" s="549" t="s">
        <v>475</v>
      </c>
      <c r="V37" s="549" t="s">
        <v>475</v>
      </c>
      <c r="W37" s="549" t="s">
        <v>475</v>
      </c>
      <c r="X37" s="549" t="s">
        <v>475</v>
      </c>
      <c r="Y37" s="549" t="s">
        <v>475</v>
      </c>
      <c r="Z37" s="549"/>
      <c r="AA37" s="549"/>
      <c r="AB37" s="549">
        <v>6</v>
      </c>
      <c r="AC37" s="549">
        <v>6</v>
      </c>
      <c r="AD37" s="549">
        <v>6</v>
      </c>
      <c r="AE37" s="549">
        <v>6</v>
      </c>
      <c r="AF37" s="549">
        <v>6</v>
      </c>
      <c r="AG37" s="550"/>
      <c r="AH37" s="505">
        <v>62</v>
      </c>
      <c r="AI37" s="506">
        <v>37</v>
      </c>
    </row>
    <row r="38" spans="1:37" ht="21.95" customHeight="1" x14ac:dyDescent="0.2">
      <c r="A38" s="551">
        <v>6</v>
      </c>
      <c r="B38" s="552" t="s">
        <v>506</v>
      </c>
      <c r="C38" s="1064" t="s">
        <v>475</v>
      </c>
      <c r="D38" s="1064" t="s">
        <v>475</v>
      </c>
      <c r="E38" s="1064"/>
      <c r="F38" s="1064"/>
      <c r="G38" s="553">
        <v>5</v>
      </c>
      <c r="H38" s="553">
        <v>5</v>
      </c>
      <c r="I38" s="553">
        <v>5</v>
      </c>
      <c r="J38" s="553">
        <v>5</v>
      </c>
      <c r="K38" s="1064">
        <v>5</v>
      </c>
      <c r="L38" s="553"/>
      <c r="M38" s="553"/>
      <c r="N38" s="553">
        <v>10</v>
      </c>
      <c r="O38" s="553">
        <v>10</v>
      </c>
      <c r="P38" s="553">
        <v>10</v>
      </c>
      <c r="Q38" s="553">
        <v>10</v>
      </c>
      <c r="R38" s="553">
        <v>10</v>
      </c>
      <c r="S38" s="553" t="s">
        <v>507</v>
      </c>
      <c r="T38" s="553" t="s">
        <v>507</v>
      </c>
      <c r="U38" s="553" t="s">
        <v>475</v>
      </c>
      <c r="V38" s="553" t="s">
        <v>475</v>
      </c>
      <c r="W38" s="553" t="s">
        <v>475</v>
      </c>
      <c r="X38" s="553" t="s">
        <v>475</v>
      </c>
      <c r="Y38" s="553" t="s">
        <v>475</v>
      </c>
      <c r="Z38" s="553" t="s">
        <v>505</v>
      </c>
      <c r="AA38" s="553" t="s">
        <v>505</v>
      </c>
      <c r="AB38" s="553">
        <v>7</v>
      </c>
      <c r="AC38" s="553">
        <v>7</v>
      </c>
      <c r="AD38" s="553">
        <v>7</v>
      </c>
      <c r="AE38" s="1064" t="s">
        <v>552</v>
      </c>
      <c r="AF38" s="1064">
        <v>7</v>
      </c>
      <c r="AG38" s="554"/>
      <c r="AH38" s="505">
        <v>105</v>
      </c>
      <c r="AI38" s="506">
        <v>37</v>
      </c>
    </row>
    <row r="39" spans="1:37" ht="21.95" customHeight="1" x14ac:dyDescent="0.2">
      <c r="A39" s="555">
        <v>11</v>
      </c>
      <c r="B39" s="556" t="s">
        <v>509</v>
      </c>
      <c r="C39" s="1479" t="s">
        <v>552</v>
      </c>
      <c r="D39" s="1479" t="s">
        <v>552</v>
      </c>
      <c r="E39" s="557"/>
      <c r="F39" s="557"/>
      <c r="G39" s="1479" t="s">
        <v>552</v>
      </c>
      <c r="H39" s="1479">
        <v>3</v>
      </c>
      <c r="I39" s="1479">
        <v>3</v>
      </c>
      <c r="J39" s="1479">
        <v>3</v>
      </c>
      <c r="K39" s="1479">
        <v>3</v>
      </c>
      <c r="L39" s="1479"/>
      <c r="M39" s="1479"/>
      <c r="N39" s="1479" t="s">
        <v>552</v>
      </c>
      <c r="O39" s="1479">
        <v>11</v>
      </c>
      <c r="P39" s="1479">
        <v>11</v>
      </c>
      <c r="Q39" s="1479">
        <v>11</v>
      </c>
      <c r="R39" s="1479">
        <v>11</v>
      </c>
      <c r="S39" s="1479" t="s">
        <v>503</v>
      </c>
      <c r="T39" s="1479" t="s">
        <v>503</v>
      </c>
      <c r="U39" s="1479" t="s">
        <v>552</v>
      </c>
      <c r="V39" s="1479" t="s">
        <v>475</v>
      </c>
      <c r="W39" s="1479" t="s">
        <v>475</v>
      </c>
      <c r="X39" s="1479" t="s">
        <v>475</v>
      </c>
      <c r="Y39" s="1479" t="s">
        <v>475</v>
      </c>
      <c r="Z39" s="1479"/>
      <c r="AA39" s="1479"/>
      <c r="AB39" s="1479" t="s">
        <v>552</v>
      </c>
      <c r="AC39" s="1479">
        <v>8</v>
      </c>
      <c r="AD39" s="1479">
        <v>8</v>
      </c>
      <c r="AE39" s="1479">
        <v>8</v>
      </c>
      <c r="AF39" s="1479">
        <v>8</v>
      </c>
      <c r="AG39" s="558"/>
      <c r="AH39" s="505">
        <v>148</v>
      </c>
      <c r="AI39" s="506">
        <v>37</v>
      </c>
    </row>
    <row r="40" spans="1:37" ht="21.95" customHeight="1" thickBot="1" x14ac:dyDescent="0.25">
      <c r="A40" s="548">
        <v>2</v>
      </c>
      <c r="B40" s="45" t="s">
        <v>510</v>
      </c>
      <c r="C40" s="550" t="s">
        <v>482</v>
      </c>
      <c r="D40" s="550" t="s">
        <v>482</v>
      </c>
      <c r="E40" s="549"/>
      <c r="F40" s="559"/>
      <c r="G40" s="559">
        <v>9</v>
      </c>
      <c r="H40" s="549">
        <v>9</v>
      </c>
      <c r="I40" s="549">
        <v>9</v>
      </c>
      <c r="J40" s="549">
        <v>9</v>
      </c>
      <c r="K40" s="549">
        <v>9</v>
      </c>
      <c r="L40" s="549" t="s">
        <v>511</v>
      </c>
      <c r="M40" s="549" t="s">
        <v>507</v>
      </c>
      <c r="N40" s="549" t="s">
        <v>475</v>
      </c>
      <c r="O40" s="549" t="s">
        <v>475</v>
      </c>
      <c r="P40" s="549" t="s">
        <v>475</v>
      </c>
      <c r="Q40" s="549" t="s">
        <v>475</v>
      </c>
      <c r="R40" s="549" t="s">
        <v>475</v>
      </c>
      <c r="S40" s="549"/>
      <c r="T40" s="559"/>
      <c r="U40" s="559">
        <v>6</v>
      </c>
      <c r="V40" s="549">
        <v>6</v>
      </c>
      <c r="W40" s="549">
        <v>6</v>
      </c>
      <c r="X40" s="549">
        <v>6</v>
      </c>
      <c r="Y40" s="1474">
        <v>6</v>
      </c>
      <c r="Z40" s="1474" t="s">
        <v>508</v>
      </c>
      <c r="AA40" s="549" t="s">
        <v>504</v>
      </c>
      <c r="AB40" s="1447" t="s">
        <v>475</v>
      </c>
      <c r="AC40" s="559" t="s">
        <v>475</v>
      </c>
      <c r="AD40" s="559" t="s">
        <v>475</v>
      </c>
      <c r="AE40" s="549" t="s">
        <v>475</v>
      </c>
      <c r="AF40" s="549" t="s">
        <v>475</v>
      </c>
      <c r="AG40" s="550"/>
      <c r="AH40" s="696">
        <v>129</v>
      </c>
      <c r="AI40" s="506">
        <v>37</v>
      </c>
    </row>
    <row r="41" spans="1:37" ht="21.95" customHeight="1" thickBot="1" x14ac:dyDescent="0.25">
      <c r="A41" s="551">
        <v>7</v>
      </c>
      <c r="B41" s="152" t="s">
        <v>512</v>
      </c>
      <c r="C41" s="553" t="s">
        <v>513</v>
      </c>
      <c r="D41" s="553" t="s">
        <v>513</v>
      </c>
      <c r="E41" s="553"/>
      <c r="F41" s="553"/>
      <c r="G41" s="1064">
        <v>10</v>
      </c>
      <c r="H41" s="1064">
        <v>10</v>
      </c>
      <c r="I41" s="1064">
        <v>10</v>
      </c>
      <c r="J41" s="1064">
        <v>10</v>
      </c>
      <c r="K41" s="1064">
        <v>10</v>
      </c>
      <c r="L41" s="1064" t="s">
        <v>507</v>
      </c>
      <c r="M41" s="1064" t="s">
        <v>507</v>
      </c>
      <c r="N41" s="1064" t="s">
        <v>475</v>
      </c>
      <c r="O41" s="1064" t="s">
        <v>475</v>
      </c>
      <c r="P41" s="1064" t="s">
        <v>475</v>
      </c>
      <c r="Q41" s="1064" t="s">
        <v>475</v>
      </c>
      <c r="R41" s="549" t="s">
        <v>475</v>
      </c>
      <c r="S41" s="1064" t="s">
        <v>505</v>
      </c>
      <c r="T41" s="1064" t="s">
        <v>505</v>
      </c>
      <c r="U41" s="1064">
        <v>7</v>
      </c>
      <c r="V41" s="1064">
        <v>7</v>
      </c>
      <c r="W41" s="1064">
        <v>7</v>
      </c>
      <c r="X41" s="1064">
        <v>7</v>
      </c>
      <c r="Y41" s="1064">
        <v>7</v>
      </c>
      <c r="Z41" s="1064"/>
      <c r="AA41" s="1064"/>
      <c r="AB41" s="553">
        <v>4</v>
      </c>
      <c r="AC41" s="553">
        <v>4</v>
      </c>
      <c r="AD41" s="553">
        <v>4</v>
      </c>
      <c r="AE41" s="553">
        <v>4</v>
      </c>
      <c r="AF41" s="553">
        <v>4</v>
      </c>
      <c r="AG41" s="554"/>
      <c r="AH41" s="505">
        <v>98</v>
      </c>
      <c r="AI41" s="506">
        <v>37</v>
      </c>
    </row>
    <row r="42" spans="1:37" ht="21.95" customHeight="1" thickBot="1" x14ac:dyDescent="0.25">
      <c r="A42" s="555">
        <v>12</v>
      </c>
      <c r="B42" s="560" t="s">
        <v>514</v>
      </c>
      <c r="C42" s="557">
        <v>3</v>
      </c>
      <c r="D42" s="557">
        <v>3</v>
      </c>
      <c r="E42" s="557"/>
      <c r="F42" s="557"/>
      <c r="G42" s="557">
        <v>11</v>
      </c>
      <c r="H42" s="557">
        <v>11</v>
      </c>
      <c r="I42" s="557">
        <v>11</v>
      </c>
      <c r="J42" s="557">
        <v>11</v>
      </c>
      <c r="K42" s="557">
        <v>11</v>
      </c>
      <c r="L42" s="557" t="s">
        <v>503</v>
      </c>
      <c r="M42" s="557" t="s">
        <v>503</v>
      </c>
      <c r="N42" s="557" t="s">
        <v>475</v>
      </c>
      <c r="O42" s="557" t="s">
        <v>475</v>
      </c>
      <c r="P42" s="557" t="s">
        <v>475</v>
      </c>
      <c r="Q42" s="557" t="s">
        <v>475</v>
      </c>
      <c r="R42" s="549" t="s">
        <v>475</v>
      </c>
      <c r="S42" s="557"/>
      <c r="T42" s="557"/>
      <c r="U42" s="557">
        <v>8</v>
      </c>
      <c r="V42" s="557">
        <v>8</v>
      </c>
      <c r="W42" s="557">
        <v>8</v>
      </c>
      <c r="X42" s="557">
        <v>8</v>
      </c>
      <c r="Y42" s="557">
        <v>8</v>
      </c>
      <c r="Z42" s="557" t="s">
        <v>504</v>
      </c>
      <c r="AA42" s="557" t="s">
        <v>504</v>
      </c>
      <c r="AB42" s="557" t="s">
        <v>475</v>
      </c>
      <c r="AC42" s="557" t="s">
        <v>475</v>
      </c>
      <c r="AD42" s="557" t="s">
        <v>475</v>
      </c>
      <c r="AE42" s="557" t="s">
        <v>475</v>
      </c>
      <c r="AF42" s="557" t="s">
        <v>475</v>
      </c>
      <c r="AG42" s="558"/>
      <c r="AH42" s="696">
        <v>72</v>
      </c>
      <c r="AI42" s="506">
        <v>37</v>
      </c>
    </row>
    <row r="43" spans="1:37" ht="21.95" customHeight="1" thickBot="1" x14ac:dyDescent="0.25">
      <c r="A43" s="561">
        <v>3</v>
      </c>
      <c r="B43" s="562" t="s">
        <v>515</v>
      </c>
      <c r="C43" s="1097">
        <v>9</v>
      </c>
      <c r="D43" s="1097">
        <v>9</v>
      </c>
      <c r="E43" s="1097" t="s">
        <v>511</v>
      </c>
      <c r="F43" s="1097" t="s">
        <v>511</v>
      </c>
      <c r="G43" s="1066" t="s">
        <v>475</v>
      </c>
      <c r="H43" s="1066" t="s">
        <v>475</v>
      </c>
      <c r="I43" s="1066" t="s">
        <v>475</v>
      </c>
      <c r="J43" s="1066" t="s">
        <v>475</v>
      </c>
      <c r="K43" s="1066" t="s">
        <v>475</v>
      </c>
      <c r="L43" s="1066"/>
      <c r="M43" s="1066"/>
      <c r="N43" s="1066">
        <v>6</v>
      </c>
      <c r="O43" s="1066">
        <v>6</v>
      </c>
      <c r="P43" s="1097">
        <v>6</v>
      </c>
      <c r="Q43" s="1097">
        <v>6</v>
      </c>
      <c r="R43" s="1098">
        <v>6</v>
      </c>
      <c r="S43" s="1097" t="s">
        <v>508</v>
      </c>
      <c r="T43" s="1097" t="s">
        <v>504</v>
      </c>
      <c r="U43" s="1472" t="s">
        <v>475</v>
      </c>
      <c r="V43" s="1097" t="s">
        <v>475</v>
      </c>
      <c r="W43" s="1097" t="s">
        <v>475</v>
      </c>
      <c r="X43" s="1097" t="s">
        <v>475</v>
      </c>
      <c r="Y43" s="1097" t="s">
        <v>475</v>
      </c>
      <c r="Z43" s="1097"/>
      <c r="AA43" s="1097" t="s">
        <v>28</v>
      </c>
      <c r="AB43" s="1459">
        <v>5</v>
      </c>
      <c r="AC43" s="1459" t="s">
        <v>717</v>
      </c>
      <c r="AD43" s="1097">
        <v>5</v>
      </c>
      <c r="AE43" s="1097">
        <v>5</v>
      </c>
      <c r="AF43" s="1097">
        <v>5</v>
      </c>
      <c r="AG43" s="564"/>
      <c r="AH43" s="505">
        <v>35</v>
      </c>
      <c r="AI43" s="506">
        <v>37</v>
      </c>
    </row>
    <row r="44" spans="1:37" ht="21.95" customHeight="1" x14ac:dyDescent="0.2">
      <c r="A44" s="551">
        <v>8</v>
      </c>
      <c r="B44" s="318" t="s">
        <v>516</v>
      </c>
      <c r="C44" s="1064">
        <v>10</v>
      </c>
      <c r="D44" s="1064">
        <v>10</v>
      </c>
      <c r="E44" s="1064" t="s">
        <v>507</v>
      </c>
      <c r="F44" s="1064" t="s">
        <v>507</v>
      </c>
      <c r="G44" s="525" t="s">
        <v>475</v>
      </c>
      <c r="H44" s="553" t="s">
        <v>475</v>
      </c>
      <c r="I44" s="553" t="s">
        <v>475</v>
      </c>
      <c r="J44" s="553" t="s">
        <v>475</v>
      </c>
      <c r="K44" s="553" t="s">
        <v>475</v>
      </c>
      <c r="L44" s="1116" t="s">
        <v>505</v>
      </c>
      <c r="M44" s="1116" t="s">
        <v>505</v>
      </c>
      <c r="N44" s="1116">
        <v>7</v>
      </c>
      <c r="O44" s="1116">
        <v>7</v>
      </c>
      <c r="P44" s="1116" t="s">
        <v>688</v>
      </c>
      <c r="Q44" s="1490">
        <v>7</v>
      </c>
      <c r="R44" s="553">
        <v>7</v>
      </c>
      <c r="S44" s="566"/>
      <c r="T44" s="553"/>
      <c r="U44" s="1083">
        <v>4</v>
      </c>
      <c r="V44" s="1083">
        <v>4</v>
      </c>
      <c r="W44" s="1083">
        <v>4</v>
      </c>
      <c r="X44" s="1083">
        <v>4</v>
      </c>
      <c r="Y44" s="1083">
        <v>4</v>
      </c>
      <c r="Z44" s="553"/>
      <c r="AA44" s="553"/>
      <c r="AB44" s="553">
        <v>3</v>
      </c>
      <c r="AC44" s="553">
        <v>3</v>
      </c>
      <c r="AD44" s="553">
        <v>3</v>
      </c>
      <c r="AE44" s="553">
        <v>3</v>
      </c>
      <c r="AF44" s="553">
        <v>3</v>
      </c>
      <c r="AG44" s="554"/>
      <c r="AH44" s="505">
        <v>83</v>
      </c>
      <c r="AI44" s="506">
        <v>37</v>
      </c>
    </row>
    <row r="45" spans="1:37" ht="21.95" customHeight="1" thickBot="1" x14ac:dyDescent="0.25">
      <c r="A45" s="555">
        <v>13</v>
      </c>
      <c r="B45" s="52" t="s">
        <v>517</v>
      </c>
      <c r="C45" s="557">
        <v>11</v>
      </c>
      <c r="D45" s="557">
        <v>11</v>
      </c>
      <c r="E45" s="557" t="s">
        <v>503</v>
      </c>
      <c r="F45" s="557" t="s">
        <v>503</v>
      </c>
      <c r="G45" s="557" t="s">
        <v>475</v>
      </c>
      <c r="H45" s="557" t="s">
        <v>475</v>
      </c>
      <c r="I45" s="557" t="s">
        <v>475</v>
      </c>
      <c r="J45" s="557" t="s">
        <v>475</v>
      </c>
      <c r="K45" s="557" t="s">
        <v>475</v>
      </c>
      <c r="L45" s="557"/>
      <c r="M45" s="557"/>
      <c r="N45" s="557">
        <v>8</v>
      </c>
      <c r="O45" s="557">
        <v>8</v>
      </c>
      <c r="P45" s="557">
        <v>8</v>
      </c>
      <c r="Q45" s="557">
        <v>8</v>
      </c>
      <c r="R45" s="1449">
        <v>8</v>
      </c>
      <c r="S45" s="1102" t="s">
        <v>504</v>
      </c>
      <c r="T45" s="1102" t="s">
        <v>504</v>
      </c>
      <c r="U45" s="557" t="s">
        <v>475</v>
      </c>
      <c r="V45" s="557" t="s">
        <v>475</v>
      </c>
      <c r="W45" s="557" t="s">
        <v>475</v>
      </c>
      <c r="X45" s="557" t="s">
        <v>475</v>
      </c>
      <c r="Y45" s="557" t="s">
        <v>475</v>
      </c>
      <c r="Z45" s="557"/>
      <c r="AA45" s="557"/>
      <c r="AB45" s="557">
        <v>1</v>
      </c>
      <c r="AC45" s="557">
        <v>1</v>
      </c>
      <c r="AD45" s="1102">
        <v>1</v>
      </c>
      <c r="AE45" s="557">
        <v>1</v>
      </c>
      <c r="AF45" s="557">
        <v>1</v>
      </c>
      <c r="AG45" s="558"/>
      <c r="AH45" s="505">
        <v>129</v>
      </c>
      <c r="AI45" s="506">
        <v>37</v>
      </c>
    </row>
    <row r="46" spans="1:37" ht="21.95" customHeight="1" x14ac:dyDescent="0.2">
      <c r="A46" s="561">
        <v>4</v>
      </c>
      <c r="B46" s="318" t="s">
        <v>518</v>
      </c>
      <c r="C46" s="549" t="s">
        <v>475</v>
      </c>
      <c r="D46" s="549" t="s">
        <v>475</v>
      </c>
      <c r="E46" s="549"/>
      <c r="F46" s="514"/>
      <c r="G46" s="514">
        <v>6</v>
      </c>
      <c r="H46" s="549">
        <v>6</v>
      </c>
      <c r="I46" s="549">
        <v>6</v>
      </c>
      <c r="J46" s="549">
        <v>6</v>
      </c>
      <c r="K46" s="549">
        <v>6</v>
      </c>
      <c r="L46" s="549" t="s">
        <v>508</v>
      </c>
      <c r="M46" s="514" t="s">
        <v>504</v>
      </c>
      <c r="N46" s="514" t="s">
        <v>475</v>
      </c>
      <c r="O46" s="514" t="s">
        <v>475</v>
      </c>
      <c r="P46" s="514" t="s">
        <v>475</v>
      </c>
      <c r="Q46" s="514" t="s">
        <v>475</v>
      </c>
      <c r="R46" s="514" t="s">
        <v>475</v>
      </c>
      <c r="S46" s="514"/>
      <c r="T46" s="514"/>
      <c r="U46" s="514">
        <v>5</v>
      </c>
      <c r="V46" s="514">
        <v>5</v>
      </c>
      <c r="W46" s="514">
        <v>5</v>
      </c>
      <c r="X46" s="514">
        <v>5</v>
      </c>
      <c r="Y46" s="514">
        <v>5</v>
      </c>
      <c r="Z46" s="514"/>
      <c r="AA46" s="514"/>
      <c r="AB46" s="514">
        <v>10</v>
      </c>
      <c r="AC46" s="514">
        <v>10</v>
      </c>
      <c r="AD46" s="514">
        <v>10</v>
      </c>
      <c r="AE46" s="514">
        <v>10</v>
      </c>
      <c r="AF46" s="514">
        <v>10</v>
      </c>
      <c r="AG46" s="515"/>
      <c r="AH46" s="505">
        <v>70</v>
      </c>
      <c r="AI46" s="506">
        <v>37</v>
      </c>
    </row>
    <row r="47" spans="1:37" ht="21.95" customHeight="1" thickBot="1" x14ac:dyDescent="0.25">
      <c r="A47" s="551">
        <v>9</v>
      </c>
      <c r="B47" s="318" t="s">
        <v>519</v>
      </c>
      <c r="C47" s="553" t="s">
        <v>475</v>
      </c>
      <c r="D47" s="553" t="s">
        <v>475</v>
      </c>
      <c r="E47" s="553" t="s">
        <v>505</v>
      </c>
      <c r="F47" s="553" t="s">
        <v>505</v>
      </c>
      <c r="G47" s="553">
        <v>7</v>
      </c>
      <c r="H47" s="553">
        <v>7</v>
      </c>
      <c r="I47" s="553">
        <v>7</v>
      </c>
      <c r="J47" s="553">
        <v>7</v>
      </c>
      <c r="K47" s="553">
        <v>7</v>
      </c>
      <c r="L47" s="553"/>
      <c r="M47" s="553"/>
      <c r="N47" s="553">
        <v>4</v>
      </c>
      <c r="O47" s="553">
        <v>4</v>
      </c>
      <c r="P47" s="553">
        <v>4</v>
      </c>
      <c r="Q47" s="553">
        <v>4</v>
      </c>
      <c r="R47" s="553" t="s">
        <v>475</v>
      </c>
      <c r="S47" s="553"/>
      <c r="T47" s="553"/>
      <c r="U47" s="553">
        <v>3</v>
      </c>
      <c r="V47" s="553">
        <v>3</v>
      </c>
      <c r="W47" s="553">
        <v>3</v>
      </c>
      <c r="X47" s="553">
        <v>3</v>
      </c>
      <c r="Y47" s="553">
        <v>3</v>
      </c>
      <c r="Z47" s="710"/>
      <c r="AA47" s="553"/>
      <c r="AB47" s="553">
        <v>11</v>
      </c>
      <c r="AC47" s="553">
        <v>11</v>
      </c>
      <c r="AD47" s="553">
        <v>11</v>
      </c>
      <c r="AE47" s="553">
        <v>11</v>
      </c>
      <c r="AF47" s="553">
        <v>11</v>
      </c>
      <c r="AG47" s="565"/>
      <c r="AH47" s="505">
        <v>91</v>
      </c>
      <c r="AI47" s="506">
        <v>37</v>
      </c>
    </row>
    <row r="48" spans="1:37" ht="21.95" customHeight="1" thickBot="1" x14ac:dyDescent="0.25">
      <c r="A48" s="555">
        <v>14</v>
      </c>
      <c r="B48" s="560" t="s">
        <v>520</v>
      </c>
      <c r="C48" s="557" t="s">
        <v>475</v>
      </c>
      <c r="D48" s="557" t="s">
        <v>475</v>
      </c>
      <c r="E48" s="557"/>
      <c r="F48" s="557"/>
      <c r="G48" s="557">
        <v>8</v>
      </c>
      <c r="H48" s="557">
        <v>8</v>
      </c>
      <c r="I48" s="557">
        <v>8</v>
      </c>
      <c r="J48" s="1102">
        <v>8</v>
      </c>
      <c r="K48" s="557">
        <v>8</v>
      </c>
      <c r="L48" s="557" t="s">
        <v>504</v>
      </c>
      <c r="M48" s="557" t="s">
        <v>504</v>
      </c>
      <c r="N48" s="557" t="s">
        <v>475</v>
      </c>
      <c r="O48" s="557" t="s">
        <v>475</v>
      </c>
      <c r="P48" s="557" t="s">
        <v>475</v>
      </c>
      <c r="Q48" s="557" t="s">
        <v>475</v>
      </c>
      <c r="R48" s="549" t="s">
        <v>475</v>
      </c>
      <c r="S48" s="557"/>
      <c r="T48" s="557"/>
      <c r="U48" s="557">
        <v>1</v>
      </c>
      <c r="V48" s="557">
        <v>1</v>
      </c>
      <c r="W48" s="557">
        <v>1</v>
      </c>
      <c r="X48" s="557">
        <v>1</v>
      </c>
      <c r="Y48" s="557">
        <v>1</v>
      </c>
      <c r="Z48" s="557"/>
      <c r="AA48" s="557"/>
      <c r="AB48" s="557">
        <v>9</v>
      </c>
      <c r="AC48" s="557">
        <v>9</v>
      </c>
      <c r="AD48" s="557">
        <v>9</v>
      </c>
      <c r="AE48" s="557">
        <v>9</v>
      </c>
      <c r="AF48" s="557">
        <v>9</v>
      </c>
      <c r="AG48" s="568"/>
      <c r="AH48" s="505">
        <v>39</v>
      </c>
      <c r="AI48" s="506">
        <v>37</v>
      </c>
    </row>
    <row r="49" spans="1:35" ht="21.95" customHeight="1" x14ac:dyDescent="0.2">
      <c r="A49" s="548">
        <v>5</v>
      </c>
      <c r="B49" s="552" t="s">
        <v>521</v>
      </c>
      <c r="C49" s="549">
        <v>6</v>
      </c>
      <c r="D49" s="549">
        <v>6</v>
      </c>
      <c r="E49" s="549" t="s">
        <v>508</v>
      </c>
      <c r="F49" s="549" t="s">
        <v>504</v>
      </c>
      <c r="G49" s="549" t="s">
        <v>475</v>
      </c>
      <c r="H49" s="549" t="s">
        <v>475</v>
      </c>
      <c r="I49" s="549" t="s">
        <v>475</v>
      </c>
      <c r="J49" s="549" t="s">
        <v>475</v>
      </c>
      <c r="K49" s="549" t="s">
        <v>475</v>
      </c>
      <c r="L49" s="549"/>
      <c r="M49" s="549"/>
      <c r="N49" s="1465">
        <v>5</v>
      </c>
      <c r="O49" s="549">
        <v>5</v>
      </c>
      <c r="P49" s="1474">
        <v>5</v>
      </c>
      <c r="Q49" s="1474">
        <v>5</v>
      </c>
      <c r="R49" s="549">
        <v>5</v>
      </c>
      <c r="S49" s="549"/>
      <c r="T49" s="549"/>
      <c r="U49" s="549">
        <v>10</v>
      </c>
      <c r="V49" s="549">
        <v>10</v>
      </c>
      <c r="W49" s="549">
        <v>10</v>
      </c>
      <c r="X49" s="549">
        <v>10</v>
      </c>
      <c r="Y49" s="549">
        <v>10</v>
      </c>
      <c r="Z49" s="549" t="s">
        <v>507</v>
      </c>
      <c r="AA49" s="549" t="s">
        <v>507</v>
      </c>
      <c r="AB49" s="549" t="s">
        <v>475</v>
      </c>
      <c r="AC49" s="549" t="s">
        <v>475</v>
      </c>
      <c r="AD49" s="549" t="s">
        <v>475</v>
      </c>
      <c r="AE49" s="549" t="s">
        <v>475</v>
      </c>
      <c r="AF49" s="549" t="s">
        <v>475</v>
      </c>
      <c r="AG49" s="569"/>
      <c r="AH49" s="505">
        <v>93</v>
      </c>
      <c r="AI49" s="506">
        <v>37</v>
      </c>
    </row>
    <row r="50" spans="1:35" ht="21.95" customHeight="1" x14ac:dyDescent="0.2">
      <c r="A50" s="551">
        <v>10</v>
      </c>
      <c r="B50" s="318" t="s">
        <v>523</v>
      </c>
      <c r="C50" s="1064">
        <v>7</v>
      </c>
      <c r="D50" s="1064">
        <v>7</v>
      </c>
      <c r="E50" s="1064"/>
      <c r="F50" s="1064"/>
      <c r="G50" s="553">
        <v>4</v>
      </c>
      <c r="H50" s="553">
        <v>4</v>
      </c>
      <c r="I50" s="553">
        <v>4</v>
      </c>
      <c r="J50" s="553">
        <v>4</v>
      </c>
      <c r="K50" s="553">
        <v>4</v>
      </c>
      <c r="L50" s="553"/>
      <c r="M50" s="553"/>
      <c r="N50" s="553">
        <v>3</v>
      </c>
      <c r="O50" s="553">
        <v>3</v>
      </c>
      <c r="P50" s="553">
        <v>3</v>
      </c>
      <c r="Q50" s="553">
        <v>3</v>
      </c>
      <c r="R50" s="553">
        <v>3</v>
      </c>
      <c r="S50" s="553"/>
      <c r="T50" s="553"/>
      <c r="U50" s="553">
        <v>11</v>
      </c>
      <c r="V50" s="553">
        <v>11</v>
      </c>
      <c r="W50" s="553">
        <v>11</v>
      </c>
      <c r="X50" s="553">
        <v>11</v>
      </c>
      <c r="Y50" s="553">
        <v>11</v>
      </c>
      <c r="Z50" s="553" t="s">
        <v>503</v>
      </c>
      <c r="AA50" s="553" t="s">
        <v>503</v>
      </c>
      <c r="AB50" s="553" t="s">
        <v>475</v>
      </c>
      <c r="AC50" s="553" t="s">
        <v>475</v>
      </c>
      <c r="AD50" s="553" t="s">
        <v>475</v>
      </c>
      <c r="AE50" s="553" t="s">
        <v>475</v>
      </c>
      <c r="AF50" s="553" t="s">
        <v>475</v>
      </c>
      <c r="AG50" s="565"/>
      <c r="AH50" s="505">
        <v>57</v>
      </c>
      <c r="AI50" s="506">
        <v>37</v>
      </c>
    </row>
    <row r="51" spans="1:35" ht="21.95" customHeight="1" x14ac:dyDescent="0.2">
      <c r="A51" s="555">
        <v>15</v>
      </c>
      <c r="B51" s="52" t="s">
        <v>524</v>
      </c>
      <c r="C51" s="557">
        <v>8</v>
      </c>
      <c r="D51" s="557">
        <v>8</v>
      </c>
      <c r="E51" s="557" t="s">
        <v>504</v>
      </c>
      <c r="F51" s="557" t="s">
        <v>504</v>
      </c>
      <c r="G51" s="557" t="s">
        <v>475</v>
      </c>
      <c r="H51" s="557" t="s">
        <v>475</v>
      </c>
      <c r="I51" s="557" t="s">
        <v>475</v>
      </c>
      <c r="J51" s="557" t="s">
        <v>475</v>
      </c>
      <c r="K51" s="557" t="s">
        <v>475</v>
      </c>
      <c r="L51" s="557"/>
      <c r="M51" s="557"/>
      <c r="N51" s="557">
        <v>1</v>
      </c>
      <c r="O51" s="557">
        <v>1</v>
      </c>
      <c r="P51" s="557">
        <v>1</v>
      </c>
      <c r="Q51" s="557">
        <v>1</v>
      </c>
      <c r="R51" s="557">
        <v>1</v>
      </c>
      <c r="S51" s="557"/>
      <c r="T51" s="557"/>
      <c r="U51" s="557">
        <v>9</v>
      </c>
      <c r="V51" s="557">
        <v>9</v>
      </c>
      <c r="W51" s="557">
        <v>9</v>
      </c>
      <c r="X51" s="557">
        <v>9</v>
      </c>
      <c r="Y51" s="557">
        <v>9</v>
      </c>
      <c r="Z51" s="557" t="s">
        <v>511</v>
      </c>
      <c r="AA51" s="557" t="s">
        <v>507</v>
      </c>
      <c r="AB51" s="557" t="s">
        <v>475</v>
      </c>
      <c r="AC51" s="557" t="s">
        <v>475</v>
      </c>
      <c r="AD51" s="557" t="s">
        <v>475</v>
      </c>
      <c r="AE51" s="557" t="s">
        <v>475</v>
      </c>
      <c r="AF51" s="557" t="s">
        <v>475</v>
      </c>
      <c r="AG51" s="568"/>
      <c r="AH51" s="651">
        <v>88.5</v>
      </c>
      <c r="AI51" s="523">
        <v>37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AG53" s="546"/>
      <c r="AH53" s="1"/>
    </row>
    <row r="54" spans="1:35" ht="21.95" customHeight="1" x14ac:dyDescent="0.2">
      <c r="A54" s="524"/>
      <c r="AG54" s="546"/>
      <c r="AH54" s="1"/>
    </row>
    <row r="55" spans="1:35" ht="21.95" customHeight="1" x14ac:dyDescent="0.2">
      <c r="A55" s="524"/>
      <c r="AG55" s="360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129"/>
      <c r="C58" s="121"/>
      <c r="D58" s="156"/>
      <c r="E58" s="488"/>
      <c r="F58" s="121"/>
      <c r="G58" s="579"/>
      <c r="H58" s="156"/>
      <c r="I58" s="121"/>
      <c r="J58" s="55"/>
      <c r="K58" s="580"/>
      <c r="L58" s="121"/>
      <c r="M58" s="156"/>
      <c r="N58" s="488"/>
      <c r="O58" s="121"/>
      <c r="P58" s="156"/>
      <c r="Q58" s="488"/>
      <c r="R58" s="14"/>
      <c r="S58" s="55"/>
      <c r="T58" s="580"/>
      <c r="U58" s="14"/>
      <c r="V58" s="55"/>
      <c r="W58" s="580"/>
      <c r="X58" s="154"/>
      <c r="Y58" s="156"/>
      <c r="Z58" s="700"/>
      <c r="AA58" s="489"/>
      <c r="AE58" s="360"/>
      <c r="AF58" s="360"/>
      <c r="AG58" s="360"/>
    </row>
    <row r="59" spans="1:35" ht="21.95" customHeight="1" x14ac:dyDescent="0.2">
      <c r="A59" s="1"/>
      <c r="B59" s="47" t="s">
        <v>106</v>
      </c>
      <c r="C59" s="121" t="s">
        <v>295</v>
      </c>
      <c r="D59" s="156"/>
      <c r="E59" s="488"/>
      <c r="F59" s="121" t="s">
        <v>295</v>
      </c>
      <c r="G59" s="579"/>
      <c r="H59" s="156"/>
      <c r="I59" s="121" t="s">
        <v>295</v>
      </c>
      <c r="J59" s="55"/>
      <c r="K59" s="580"/>
      <c r="L59" s="121" t="s">
        <v>295</v>
      </c>
      <c r="M59" s="156"/>
      <c r="N59" s="488"/>
      <c r="O59" s="121" t="s">
        <v>67</v>
      </c>
      <c r="P59" s="156"/>
      <c r="Q59" s="488"/>
      <c r="R59" s="581"/>
      <c r="S59" s="53"/>
      <c r="T59" s="541"/>
      <c r="U59" s="581"/>
      <c r="V59" s="53"/>
      <c r="W59" s="541"/>
      <c r="X59" s="581"/>
      <c r="Y59" s="53">
        <v>37</v>
      </c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177">
        <v>1</v>
      </c>
      <c r="D61" s="177">
        <v>2</v>
      </c>
      <c r="E61" s="497">
        <v>3</v>
      </c>
      <c r="F61" s="497">
        <v>4</v>
      </c>
      <c r="G61" s="177">
        <v>5</v>
      </c>
      <c r="H61" s="177">
        <v>6</v>
      </c>
      <c r="I61" s="177">
        <v>7</v>
      </c>
      <c r="J61" s="177">
        <v>8</v>
      </c>
      <c r="K61" s="177">
        <v>9</v>
      </c>
      <c r="L61" s="497">
        <v>10</v>
      </c>
      <c r="M61" s="497">
        <v>11</v>
      </c>
      <c r="N61" s="177">
        <v>12</v>
      </c>
      <c r="O61" s="177">
        <v>13</v>
      </c>
      <c r="P61" s="177">
        <v>14</v>
      </c>
      <c r="Q61" s="177">
        <v>15</v>
      </c>
      <c r="R61" s="177">
        <v>16</v>
      </c>
      <c r="S61" s="497">
        <v>17</v>
      </c>
      <c r="T61" s="497">
        <v>18</v>
      </c>
      <c r="U61" s="177">
        <v>19</v>
      </c>
      <c r="V61" s="177">
        <v>20</v>
      </c>
      <c r="W61" s="177">
        <v>21</v>
      </c>
      <c r="X61" s="177">
        <v>22</v>
      </c>
      <c r="Y61" s="177">
        <v>23</v>
      </c>
      <c r="Z61" s="497">
        <v>24</v>
      </c>
      <c r="AA61" s="497">
        <v>25</v>
      </c>
      <c r="AB61" s="177">
        <v>26</v>
      </c>
      <c r="AC61" s="177">
        <v>27</v>
      </c>
      <c r="AD61" s="177">
        <v>28</v>
      </c>
      <c r="AE61" s="177">
        <v>29</v>
      </c>
      <c r="AF61" s="177">
        <v>30</v>
      </c>
      <c r="AG61" s="177"/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 t="s">
        <v>529</v>
      </c>
      <c r="D62" s="587" t="s">
        <v>529</v>
      </c>
      <c r="E62" s="587"/>
      <c r="F62" s="587"/>
      <c r="G62" s="587" t="s">
        <v>529</v>
      </c>
      <c r="H62" s="587" t="s">
        <v>529</v>
      </c>
      <c r="I62" s="587" t="s">
        <v>529</v>
      </c>
      <c r="J62" s="587" t="s">
        <v>529</v>
      </c>
      <c r="K62" s="587" t="s">
        <v>529</v>
      </c>
      <c r="L62" s="587"/>
      <c r="M62" s="587"/>
      <c r="N62" s="587" t="s">
        <v>529</v>
      </c>
      <c r="O62" s="587" t="s">
        <v>529</v>
      </c>
      <c r="P62" s="587" t="s">
        <v>529</v>
      </c>
      <c r="Q62" s="587" t="s">
        <v>529</v>
      </c>
      <c r="R62" s="587" t="s">
        <v>529</v>
      </c>
      <c r="S62" s="587"/>
      <c r="T62" s="587"/>
      <c r="U62" s="587" t="s">
        <v>529</v>
      </c>
      <c r="V62" s="587" t="s">
        <v>529</v>
      </c>
      <c r="W62" s="587" t="s">
        <v>529</v>
      </c>
      <c r="X62" s="587" t="s">
        <v>529</v>
      </c>
      <c r="Y62" s="587" t="s">
        <v>529</v>
      </c>
      <c r="Z62" s="587"/>
      <c r="AA62" s="587"/>
      <c r="AB62" s="587" t="s">
        <v>529</v>
      </c>
      <c r="AC62" s="587" t="s">
        <v>529</v>
      </c>
      <c r="AD62" s="587" t="s">
        <v>529</v>
      </c>
      <c r="AE62" s="587" t="s">
        <v>529</v>
      </c>
      <c r="AF62" s="587" t="s">
        <v>529</v>
      </c>
      <c r="AG62" s="587"/>
      <c r="AH62" s="505">
        <v>74</v>
      </c>
      <c r="AI62" s="506">
        <v>37</v>
      </c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/>
      <c r="AI63" s="506"/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thickBot="1" x14ac:dyDescent="0.25">
      <c r="A65" s="589"/>
      <c r="C65" s="590"/>
      <c r="D65" s="590"/>
      <c r="E65" s="590"/>
      <c r="F65" s="590"/>
      <c r="G65" s="590"/>
      <c r="H65" s="590"/>
      <c r="I65" s="590"/>
      <c r="J65" s="590"/>
      <c r="K65" s="590"/>
      <c r="L65" s="590"/>
      <c r="M65" s="590"/>
      <c r="N65" s="590"/>
      <c r="O65" s="590"/>
      <c r="P65" s="590"/>
      <c r="Q65" s="590"/>
      <c r="R65" s="590"/>
      <c r="S65" s="590"/>
      <c r="T65" s="590"/>
      <c r="U65" s="590"/>
      <c r="V65" s="590"/>
      <c r="W65" s="590"/>
      <c r="X65" s="590"/>
      <c r="Y65" s="590"/>
      <c r="Z65" s="590"/>
      <c r="AA65" s="590"/>
      <c r="AB65" s="590"/>
      <c r="AC65" s="590"/>
      <c r="AD65" s="590"/>
      <c r="AE65" s="590"/>
      <c r="AF65" s="590"/>
      <c r="AG65" s="590"/>
      <c r="AH65" s="591"/>
      <c r="AI65" s="591"/>
    </row>
    <row r="66" spans="1:35" ht="21.95" customHeight="1" x14ac:dyDescent="0.2">
      <c r="A66" s="360"/>
      <c r="B66" s="23" t="s">
        <v>532</v>
      </c>
      <c r="C66" s="7"/>
      <c r="D66" s="413" t="s">
        <v>2</v>
      </c>
      <c r="E66" s="572"/>
      <c r="F66" s="7"/>
      <c r="G66" s="6" t="s">
        <v>3</v>
      </c>
      <c r="H66" s="573"/>
      <c r="I66" s="118"/>
      <c r="J66" s="6" t="s">
        <v>4</v>
      </c>
      <c r="K66" s="412"/>
      <c r="L66" s="118"/>
      <c r="M66" s="119" t="s">
        <v>5</v>
      </c>
      <c r="N66" s="412"/>
      <c r="O66" s="118"/>
      <c r="P66" s="6" t="s">
        <v>6</v>
      </c>
      <c r="Q66" s="574"/>
      <c r="R66" s="118"/>
      <c r="S66" s="6" t="s">
        <v>7</v>
      </c>
      <c r="T66" s="575"/>
      <c r="U66" s="118"/>
      <c r="V66" s="6" t="s">
        <v>8</v>
      </c>
      <c r="W66" s="574"/>
      <c r="X66" s="348" t="s">
        <v>9</v>
      </c>
      <c r="Y66" s="593"/>
      <c r="Z66" s="593"/>
      <c r="AA66" s="594"/>
      <c r="AB66" s="27" t="s">
        <v>10</v>
      </c>
      <c r="AC66" s="576"/>
      <c r="AD66" s="576"/>
      <c r="AE66" s="595"/>
      <c r="AF66" s="595"/>
      <c r="AG66" s="596"/>
    </row>
    <row r="67" spans="1:35" ht="21.95" customHeight="1" x14ac:dyDescent="0.2">
      <c r="A67" s="360"/>
      <c r="B67" s="305" t="s">
        <v>533</v>
      </c>
      <c r="C67" s="598" t="s">
        <v>534</v>
      </c>
      <c r="D67" s="482"/>
      <c r="E67" s="483"/>
      <c r="F67" s="598" t="s">
        <v>534</v>
      </c>
      <c r="G67" s="482"/>
      <c r="H67" s="483"/>
      <c r="I67" s="598" t="s">
        <v>534</v>
      </c>
      <c r="J67" s="482"/>
      <c r="K67" s="483"/>
      <c r="L67" s="598" t="s">
        <v>534</v>
      </c>
      <c r="M67" s="482"/>
      <c r="N67" s="483"/>
      <c r="O67" s="598" t="s">
        <v>116</v>
      </c>
      <c r="P67" s="482"/>
      <c r="Q67" s="483"/>
      <c r="R67" s="598"/>
      <c r="S67" s="482"/>
      <c r="T67" s="483"/>
      <c r="U67" s="598"/>
      <c r="V67" s="482"/>
      <c r="W67" s="483"/>
      <c r="X67" s="598"/>
      <c r="Y67" s="482"/>
      <c r="Z67" s="482"/>
      <c r="AA67" s="482"/>
      <c r="AB67" s="475"/>
      <c r="AC67" s="482"/>
      <c r="AD67" s="482"/>
      <c r="AE67" s="482"/>
      <c r="AF67" s="482"/>
      <c r="AG67" s="599"/>
    </row>
    <row r="68" spans="1:35" ht="21.95" customHeight="1" x14ac:dyDescent="0.2">
      <c r="A68" s="360"/>
      <c r="B68" s="305" t="s">
        <v>535</v>
      </c>
      <c r="C68" s="598" t="s">
        <v>147</v>
      </c>
      <c r="D68" s="482"/>
      <c r="E68" s="483"/>
      <c r="F68" s="598" t="s">
        <v>147</v>
      </c>
      <c r="G68" s="482"/>
      <c r="H68" s="483"/>
      <c r="I68" s="598" t="s">
        <v>147</v>
      </c>
      <c r="J68" s="482"/>
      <c r="K68" s="483"/>
      <c r="L68" s="598" t="s">
        <v>147</v>
      </c>
      <c r="M68" s="482"/>
      <c r="N68" s="483"/>
      <c r="O68" s="598" t="s">
        <v>536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x14ac:dyDescent="0.2">
      <c r="A69" s="360"/>
      <c r="B69" s="69"/>
      <c r="C69" s="360"/>
      <c r="D69" s="360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</row>
    <row r="70" spans="1:35" ht="21.95" customHeight="1" x14ac:dyDescent="0.2">
      <c r="A70" s="585" t="s">
        <v>468</v>
      </c>
      <c r="B70" s="296" t="s">
        <v>469</v>
      </c>
      <c r="C70" s="177">
        <v>1</v>
      </c>
      <c r="D70" s="177">
        <v>2</v>
      </c>
      <c r="E70" s="497">
        <v>3</v>
      </c>
      <c r="F70" s="497">
        <v>4</v>
      </c>
      <c r="G70" s="177">
        <v>5</v>
      </c>
      <c r="H70" s="177">
        <v>6</v>
      </c>
      <c r="I70" s="177">
        <v>7</v>
      </c>
      <c r="J70" s="177">
        <v>8</v>
      </c>
      <c r="K70" s="177">
        <v>9</v>
      </c>
      <c r="L70" s="497">
        <v>10</v>
      </c>
      <c r="M70" s="497">
        <v>11</v>
      </c>
      <c r="N70" s="177">
        <v>12</v>
      </c>
      <c r="O70" s="177">
        <v>13</v>
      </c>
      <c r="P70" s="177">
        <v>14</v>
      </c>
      <c r="Q70" s="177">
        <v>15</v>
      </c>
      <c r="R70" s="177">
        <v>16</v>
      </c>
      <c r="S70" s="497">
        <v>17</v>
      </c>
      <c r="T70" s="497">
        <v>18</v>
      </c>
      <c r="U70" s="177">
        <v>19</v>
      </c>
      <c r="V70" s="177">
        <v>20</v>
      </c>
      <c r="W70" s="177">
        <v>21</v>
      </c>
      <c r="X70" s="177">
        <v>22</v>
      </c>
      <c r="Y70" s="177">
        <v>23</v>
      </c>
      <c r="Z70" s="497">
        <v>24</v>
      </c>
      <c r="AA70" s="497">
        <v>25</v>
      </c>
      <c r="AB70" s="177">
        <v>26</v>
      </c>
      <c r="AC70" s="177">
        <v>27</v>
      </c>
      <c r="AD70" s="177">
        <v>28</v>
      </c>
      <c r="AE70" s="177">
        <v>29</v>
      </c>
      <c r="AF70" s="177">
        <v>30</v>
      </c>
      <c r="AG70" s="177"/>
      <c r="AH70" s="499" t="s">
        <v>470</v>
      </c>
      <c r="AI70" s="500" t="s">
        <v>471</v>
      </c>
    </row>
    <row r="71" spans="1:35" ht="21.95" customHeight="1" x14ac:dyDescent="0.2">
      <c r="A71" s="185">
        <v>8520</v>
      </c>
      <c r="B71" s="185" t="s">
        <v>537</v>
      </c>
      <c r="C71" s="521" t="s">
        <v>538</v>
      </c>
      <c r="D71" s="521" t="s">
        <v>538</v>
      </c>
      <c r="E71" s="521"/>
      <c r="F71" s="521"/>
      <c r="G71" s="521" t="s">
        <v>538</v>
      </c>
      <c r="H71" s="521" t="s">
        <v>538</v>
      </c>
      <c r="I71" s="521" t="s">
        <v>538</v>
      </c>
      <c r="J71" s="521" t="s">
        <v>538</v>
      </c>
      <c r="K71" s="521" t="s">
        <v>538</v>
      </c>
      <c r="L71" s="521"/>
      <c r="M71" s="521"/>
      <c r="N71" s="521" t="s">
        <v>538</v>
      </c>
      <c r="O71" s="521" t="s">
        <v>538</v>
      </c>
      <c r="P71" s="521" t="s">
        <v>538</v>
      </c>
      <c r="Q71" s="521" t="s">
        <v>538</v>
      </c>
      <c r="R71" s="521" t="s">
        <v>538</v>
      </c>
      <c r="S71" s="521"/>
      <c r="T71" s="521"/>
      <c r="U71" s="521" t="s">
        <v>538</v>
      </c>
      <c r="V71" s="521" t="s">
        <v>538</v>
      </c>
      <c r="W71" s="521" t="s">
        <v>538</v>
      </c>
      <c r="X71" s="521" t="s">
        <v>538</v>
      </c>
      <c r="Y71" s="521" t="s">
        <v>538</v>
      </c>
      <c r="Z71" s="521"/>
      <c r="AA71" s="521"/>
      <c r="AB71" s="521" t="s">
        <v>538</v>
      </c>
      <c r="AC71" s="521" t="s">
        <v>538</v>
      </c>
      <c r="AD71" s="521" t="s">
        <v>538</v>
      </c>
      <c r="AE71" s="521" t="s">
        <v>538</v>
      </c>
      <c r="AF71" s="521" t="s">
        <v>538</v>
      </c>
      <c r="AG71" s="521"/>
      <c r="AH71" s="505">
        <v>74</v>
      </c>
      <c r="AI71" s="506">
        <v>37</v>
      </c>
    </row>
    <row r="72" spans="1:35" ht="21.95" customHeight="1" x14ac:dyDescent="0.2">
      <c r="A72" s="185">
        <v>8521</v>
      </c>
      <c r="B72" s="185" t="s">
        <v>539</v>
      </c>
      <c r="C72" s="553" t="s">
        <v>540</v>
      </c>
      <c r="D72" s="553" t="s">
        <v>540</v>
      </c>
      <c r="E72" s="553"/>
      <c r="F72" s="553"/>
      <c r="G72" s="553" t="s">
        <v>540</v>
      </c>
      <c r="H72" s="553" t="s">
        <v>540</v>
      </c>
      <c r="I72" s="553" t="s">
        <v>540</v>
      </c>
      <c r="J72" s="553" t="s">
        <v>540</v>
      </c>
      <c r="K72" s="553" t="s">
        <v>540</v>
      </c>
      <c r="L72" s="553"/>
      <c r="M72" s="553"/>
      <c r="N72" s="553" t="s">
        <v>540</v>
      </c>
      <c r="O72" s="553" t="s">
        <v>540</v>
      </c>
      <c r="P72" s="553" t="s">
        <v>540</v>
      </c>
      <c r="Q72" s="553" t="s">
        <v>540</v>
      </c>
      <c r="R72" s="553" t="s">
        <v>540</v>
      </c>
      <c r="S72" s="553"/>
      <c r="T72" s="553"/>
      <c r="U72" s="565" t="s">
        <v>540</v>
      </c>
      <c r="V72" s="1114" t="s">
        <v>540</v>
      </c>
      <c r="W72" s="566" t="s">
        <v>540</v>
      </c>
      <c r="X72" s="553" t="s">
        <v>540</v>
      </c>
      <c r="Y72" s="553" t="s">
        <v>540</v>
      </c>
      <c r="Z72" s="553"/>
      <c r="AA72" s="553"/>
      <c r="AB72" s="1488" t="s">
        <v>540</v>
      </c>
      <c r="AC72" s="1488" t="s">
        <v>540</v>
      </c>
      <c r="AD72" s="1488" t="s">
        <v>540</v>
      </c>
      <c r="AE72" s="1488" t="s">
        <v>540</v>
      </c>
      <c r="AF72" s="1488" t="s">
        <v>540</v>
      </c>
      <c r="AG72" s="553"/>
      <c r="AH72" s="505">
        <v>74</v>
      </c>
      <c r="AI72" s="506">
        <v>37</v>
      </c>
    </row>
    <row r="73" spans="1:35" ht="21.95" customHeight="1" x14ac:dyDescent="0.2">
      <c r="A73" s="360"/>
      <c r="B73" s="360"/>
      <c r="C73" s="546"/>
      <c r="D73" s="525"/>
      <c r="E73" s="525"/>
      <c r="F73" s="525"/>
      <c r="G73" s="525"/>
      <c r="H73" s="525"/>
      <c r="I73" s="525"/>
      <c r="J73" s="525"/>
      <c r="K73" s="525"/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X73" s="525"/>
      <c r="Y73" s="525"/>
      <c r="Z73" s="525"/>
      <c r="AA73" s="525"/>
      <c r="AB73" s="525"/>
      <c r="AC73" s="525"/>
      <c r="AD73" s="525"/>
      <c r="AE73" s="525"/>
      <c r="AF73" s="525"/>
      <c r="AG73" s="525"/>
      <c r="AH73" s="591"/>
      <c r="AI73" s="591"/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x14ac:dyDescent="0.2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x14ac:dyDescent="0.2">
      <c r="A76" s="1" t="s">
        <v>541</v>
      </c>
      <c r="D76" s="360"/>
      <c r="E76" s="360"/>
      <c r="F76" s="360"/>
      <c r="G76" s="570"/>
      <c r="H76" s="360"/>
      <c r="I76" s="360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</row>
    <row r="77" spans="1:35" ht="21.95" customHeight="1" x14ac:dyDescent="0.2">
      <c r="A77" s="1"/>
      <c r="B77" s="23" t="s">
        <v>542</v>
      </c>
      <c r="C77" s="7"/>
      <c r="D77" s="530" t="s">
        <v>2</v>
      </c>
      <c r="E77" s="51"/>
      <c r="F77" s="573"/>
      <c r="G77" s="7"/>
      <c r="H77" s="530" t="s">
        <v>3</v>
      </c>
      <c r="I77" s="51"/>
      <c r="J77" s="573"/>
      <c r="K77" s="7"/>
      <c r="L77" s="530" t="s">
        <v>4</v>
      </c>
      <c r="M77" s="51"/>
      <c r="N77" s="573"/>
      <c r="O77" s="7"/>
      <c r="P77" s="530" t="s">
        <v>5</v>
      </c>
      <c r="Q77" s="51"/>
      <c r="R77" s="573"/>
      <c r="S77" s="7"/>
      <c r="T77" s="530" t="s">
        <v>6</v>
      </c>
      <c r="U77" s="51"/>
      <c r="V77" s="573"/>
      <c r="W77" s="7"/>
      <c r="X77" s="530" t="s">
        <v>7</v>
      </c>
      <c r="Y77" s="51"/>
      <c r="Z77" s="573"/>
      <c r="AA77" s="7"/>
      <c r="AB77" s="530" t="s">
        <v>8</v>
      </c>
      <c r="AC77" s="51"/>
      <c r="AD77" s="51"/>
      <c r="AE77" s="348" t="s">
        <v>9</v>
      </c>
      <c r="AF77" s="51"/>
      <c r="AG77" s="51"/>
      <c r="AH77" s="51"/>
      <c r="AI77" s="531"/>
    </row>
    <row r="78" spans="1:35" ht="21.95" customHeight="1" x14ac:dyDescent="0.2">
      <c r="A78" s="1"/>
      <c r="B78" s="129" t="s">
        <v>324</v>
      </c>
      <c r="C78" s="611" t="s">
        <v>543</v>
      </c>
      <c r="E78" s="156"/>
      <c r="F78" s="612"/>
      <c r="G78" s="611" t="s">
        <v>543</v>
      </c>
      <c r="H78" s="156"/>
      <c r="I78" s="156"/>
      <c r="J78" s="612"/>
      <c r="K78" s="611" t="s">
        <v>543</v>
      </c>
      <c r="L78" s="156"/>
      <c r="M78" s="156"/>
      <c r="N78" s="612"/>
      <c r="O78" s="611" t="s">
        <v>543</v>
      </c>
      <c r="P78" s="156"/>
      <c r="Q78" s="156"/>
      <c r="R78" s="612"/>
      <c r="S78" s="611" t="s">
        <v>544</v>
      </c>
      <c r="T78" s="156"/>
      <c r="U78" s="156"/>
      <c r="V78" s="613"/>
      <c r="W78" s="1055"/>
      <c r="X78" s="1056"/>
      <c r="Y78" s="1056"/>
      <c r="Z78" s="1057"/>
      <c r="AA78" s="613"/>
      <c r="AB78" s="156"/>
      <c r="AC78" s="156"/>
      <c r="AD78" s="613"/>
      <c r="AE78" s="121">
        <v>37</v>
      </c>
      <c r="AG78" s="156"/>
      <c r="AH78" s="613"/>
      <c r="AI78" s="489"/>
    </row>
    <row r="79" spans="1:35" ht="21.95" customHeight="1" x14ac:dyDescent="0.2">
      <c r="A79" s="1"/>
      <c r="B79" s="129" t="s">
        <v>325</v>
      </c>
      <c r="C79" s="611" t="s">
        <v>545</v>
      </c>
      <c r="D79" s="156"/>
      <c r="E79" s="156"/>
      <c r="F79" s="612"/>
      <c r="G79" s="611" t="s">
        <v>545</v>
      </c>
      <c r="H79" s="156"/>
      <c r="I79" s="156"/>
      <c r="J79" s="612"/>
      <c r="K79" s="611" t="s">
        <v>545</v>
      </c>
      <c r="L79" s="156"/>
      <c r="M79" s="156"/>
      <c r="N79" s="612"/>
      <c r="O79" s="611" t="s">
        <v>545</v>
      </c>
      <c r="P79" s="156"/>
      <c r="Q79" s="156"/>
      <c r="R79" s="612"/>
      <c r="S79" s="611" t="s">
        <v>546</v>
      </c>
      <c r="T79" s="156"/>
      <c r="U79" s="156"/>
      <c r="V79" s="612"/>
      <c r="W79" s="660" t="s">
        <v>547</v>
      </c>
      <c r="X79" s="55"/>
      <c r="Y79" s="55"/>
      <c r="Z79" s="55"/>
      <c r="AA79" s="611" t="s">
        <v>548</v>
      </c>
      <c r="AB79" s="611"/>
      <c r="AC79" s="611"/>
      <c r="AD79" s="611"/>
      <c r="AE79" s="154">
        <v>68.25</v>
      </c>
      <c r="AF79" s="156"/>
      <c r="AG79" s="615"/>
      <c r="AH79" s="616"/>
      <c r="AI79" s="617"/>
    </row>
    <row r="80" spans="1:35" ht="21.95" customHeight="1" x14ac:dyDescent="0.2">
      <c r="A80" s="1"/>
      <c r="B80" s="129" t="s">
        <v>326</v>
      </c>
      <c r="C80" s="1053" t="s">
        <v>167</v>
      </c>
      <c r="D80" s="156"/>
      <c r="E80" s="156"/>
      <c r="F80" s="612"/>
      <c r="G80" s="156" t="s">
        <v>167</v>
      </c>
      <c r="H80" s="156"/>
      <c r="I80" s="156"/>
      <c r="J80" s="612"/>
      <c r="K80" s="156" t="s">
        <v>167</v>
      </c>
      <c r="L80" s="156"/>
      <c r="M80" s="156"/>
      <c r="N80" s="612"/>
      <c r="O80" s="156" t="s">
        <v>167</v>
      </c>
      <c r="P80" s="156"/>
      <c r="Q80" s="156"/>
      <c r="R80" s="612"/>
      <c r="S80" s="156" t="s">
        <v>167</v>
      </c>
      <c r="T80" s="156"/>
      <c r="U80" s="156"/>
      <c r="V80" s="612"/>
      <c r="W80" s="611"/>
      <c r="X80" s="156"/>
      <c r="Y80" s="156"/>
      <c r="Z80" s="612"/>
      <c r="AA80" s="611"/>
      <c r="AB80" s="156"/>
      <c r="AC80" s="156"/>
      <c r="AD80" s="613"/>
      <c r="AE80" s="614">
        <v>0</v>
      </c>
      <c r="AF80" s="615"/>
      <c r="AG80" s="156"/>
      <c r="AH80" s="613"/>
      <c r="AI80" s="489"/>
    </row>
    <row r="81" spans="1:35" ht="21.95" customHeight="1" x14ac:dyDescent="0.2">
      <c r="A81" s="1"/>
      <c r="B81" s="47"/>
      <c r="C81" s="618"/>
      <c r="D81" s="53"/>
      <c r="E81" s="53"/>
      <c r="F81" s="619"/>
      <c r="G81" s="618"/>
      <c r="H81" s="53"/>
      <c r="I81" s="53"/>
      <c r="J81" s="619"/>
      <c r="K81" s="618"/>
      <c r="L81" s="53"/>
      <c r="M81" s="53"/>
      <c r="N81" s="619"/>
      <c r="O81" s="618"/>
      <c r="P81" s="53"/>
      <c r="Q81" s="53"/>
      <c r="R81" s="619"/>
      <c r="S81" s="618"/>
      <c r="T81" s="53"/>
      <c r="U81" s="53"/>
      <c r="V81" s="619"/>
      <c r="W81" s="53"/>
      <c r="X81" s="53"/>
      <c r="Y81" s="53"/>
      <c r="Z81" s="53"/>
      <c r="AA81" s="53"/>
      <c r="AB81" s="53"/>
      <c r="AC81" s="53"/>
      <c r="AD81" s="53"/>
      <c r="AE81" s="581"/>
      <c r="AF81" s="53"/>
      <c r="AG81" s="53"/>
      <c r="AH81" s="620"/>
      <c r="AI81" s="544"/>
    </row>
    <row r="82" spans="1:35" ht="21.95" customHeight="1" x14ac:dyDescent="0.2">
      <c r="A82" s="621"/>
      <c r="B82" s="1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585"/>
      <c r="B83" s="296" t="s">
        <v>469</v>
      </c>
      <c r="C83" s="177">
        <v>1</v>
      </c>
      <c r="D83" s="177">
        <v>2</v>
      </c>
      <c r="E83" s="497">
        <v>3</v>
      </c>
      <c r="F83" s="497">
        <v>4</v>
      </c>
      <c r="G83" s="177">
        <v>5</v>
      </c>
      <c r="H83" s="177">
        <v>6</v>
      </c>
      <c r="I83" s="177">
        <v>7</v>
      </c>
      <c r="J83" s="177">
        <v>8</v>
      </c>
      <c r="K83" s="177">
        <v>9</v>
      </c>
      <c r="L83" s="497">
        <v>10</v>
      </c>
      <c r="M83" s="497">
        <v>11</v>
      </c>
      <c r="N83" s="177">
        <v>12</v>
      </c>
      <c r="O83" s="177">
        <v>13</v>
      </c>
      <c r="P83" s="177">
        <v>14</v>
      </c>
      <c r="Q83" s="177">
        <v>15</v>
      </c>
      <c r="R83" s="177">
        <v>16</v>
      </c>
      <c r="S83" s="497">
        <v>17</v>
      </c>
      <c r="T83" s="497">
        <v>18</v>
      </c>
      <c r="U83" s="177">
        <v>19</v>
      </c>
      <c r="V83" s="177">
        <v>20</v>
      </c>
      <c r="W83" s="177">
        <v>21</v>
      </c>
      <c r="X83" s="177">
        <v>22</v>
      </c>
      <c r="Y83" s="177">
        <v>23</v>
      </c>
      <c r="Z83" s="497">
        <v>24</v>
      </c>
      <c r="AA83" s="497">
        <v>25</v>
      </c>
      <c r="AB83" s="177">
        <v>26</v>
      </c>
      <c r="AC83" s="177">
        <v>27</v>
      </c>
      <c r="AD83" s="177">
        <v>28</v>
      </c>
      <c r="AE83" s="177">
        <v>29</v>
      </c>
      <c r="AF83" s="177">
        <v>30</v>
      </c>
      <c r="AG83" s="177"/>
      <c r="AH83" s="499" t="s">
        <v>470</v>
      </c>
      <c r="AI83" s="500" t="s">
        <v>471</v>
      </c>
    </row>
    <row r="84" spans="1:35" ht="21.95" customHeight="1" x14ac:dyDescent="0.2">
      <c r="A84" s="622">
        <v>1</v>
      </c>
      <c r="B84" s="152" t="s">
        <v>549</v>
      </c>
      <c r="C84" s="1060" t="s">
        <v>513</v>
      </c>
      <c r="D84" s="1060" t="s">
        <v>513</v>
      </c>
      <c r="E84" s="1060" t="s">
        <v>550</v>
      </c>
      <c r="F84" s="1060" t="s">
        <v>550</v>
      </c>
      <c r="G84" s="587" t="s">
        <v>475</v>
      </c>
      <c r="H84" s="587" t="s">
        <v>475</v>
      </c>
      <c r="I84" s="587" t="s">
        <v>475</v>
      </c>
      <c r="J84" s="587" t="s">
        <v>475</v>
      </c>
      <c r="K84" s="587" t="s">
        <v>475</v>
      </c>
      <c r="L84" s="587"/>
      <c r="M84" s="587"/>
      <c r="N84" s="587" t="s">
        <v>551</v>
      </c>
      <c r="O84" s="587" t="s">
        <v>551</v>
      </c>
      <c r="P84" s="587" t="s">
        <v>551</v>
      </c>
      <c r="Q84" s="587" t="s">
        <v>551</v>
      </c>
      <c r="R84" s="587" t="s">
        <v>551</v>
      </c>
      <c r="S84" s="587"/>
      <c r="T84" s="587"/>
      <c r="U84" s="1340" t="s">
        <v>513</v>
      </c>
      <c r="V84" s="1340" t="s">
        <v>513</v>
      </c>
      <c r="W84" s="1340" t="s">
        <v>513</v>
      </c>
      <c r="X84" s="1340" t="s">
        <v>513</v>
      </c>
      <c r="Y84" s="1340" t="s">
        <v>513</v>
      </c>
      <c r="Z84" s="1340" t="s">
        <v>550</v>
      </c>
      <c r="AA84" s="1340" t="s">
        <v>687</v>
      </c>
      <c r="AB84" s="587" t="s">
        <v>475</v>
      </c>
      <c r="AC84" s="587" t="s">
        <v>475</v>
      </c>
      <c r="AD84" s="587" t="s">
        <v>475</v>
      </c>
      <c r="AE84" s="587" t="s">
        <v>475</v>
      </c>
      <c r="AF84" s="587" t="s">
        <v>475</v>
      </c>
      <c r="AG84" s="587"/>
      <c r="AH84" s="505">
        <v>80</v>
      </c>
      <c r="AI84" s="506">
        <v>37</v>
      </c>
    </row>
    <row r="85" spans="1:35" ht="21.95" customHeight="1" x14ac:dyDescent="0.2">
      <c r="A85" s="622">
        <v>2</v>
      </c>
      <c r="B85" s="318" t="s">
        <v>553</v>
      </c>
      <c r="C85" s="587" t="s">
        <v>475</v>
      </c>
      <c r="D85" s="587" t="s">
        <v>475</v>
      </c>
      <c r="E85" s="587"/>
      <c r="F85" s="587"/>
      <c r="G85" s="587" t="s">
        <v>551</v>
      </c>
      <c r="H85" s="553">
        <v>1</v>
      </c>
      <c r="I85" s="553">
        <v>1</v>
      </c>
      <c r="J85" s="553">
        <v>1</v>
      </c>
      <c r="K85" s="553" t="s">
        <v>551</v>
      </c>
      <c r="L85" s="587"/>
      <c r="M85" s="587"/>
      <c r="N85" s="553" t="s">
        <v>513</v>
      </c>
      <c r="O85" s="553" t="s">
        <v>513</v>
      </c>
      <c r="P85" s="587" t="s">
        <v>513</v>
      </c>
      <c r="Q85" s="587" t="s">
        <v>513</v>
      </c>
      <c r="R85" s="587" t="s">
        <v>513</v>
      </c>
      <c r="S85" s="587" t="s">
        <v>550</v>
      </c>
      <c r="T85" s="587" t="s">
        <v>550</v>
      </c>
      <c r="U85" s="1341" t="s">
        <v>475</v>
      </c>
      <c r="V85" s="1341" t="s">
        <v>475</v>
      </c>
      <c r="W85" s="1341" t="s">
        <v>475</v>
      </c>
      <c r="X85" s="587" t="s">
        <v>475</v>
      </c>
      <c r="Y85" s="587" t="s">
        <v>475</v>
      </c>
      <c r="Z85" s="587"/>
      <c r="AA85" s="587"/>
      <c r="AB85" s="587" t="s">
        <v>540</v>
      </c>
      <c r="AC85" s="587" t="s">
        <v>540</v>
      </c>
      <c r="AD85" s="587" t="s">
        <v>540</v>
      </c>
      <c r="AE85" s="587" t="s">
        <v>540</v>
      </c>
      <c r="AF85" s="587" t="s">
        <v>540</v>
      </c>
      <c r="AG85" s="587"/>
      <c r="AH85" s="505">
        <v>80</v>
      </c>
      <c r="AI85" s="506">
        <v>37</v>
      </c>
    </row>
    <row r="86" spans="1:35" ht="21.95" customHeight="1" x14ac:dyDescent="0.2">
      <c r="A86" s="622">
        <v>3</v>
      </c>
      <c r="B86" s="552" t="s">
        <v>554</v>
      </c>
      <c r="C86" s="553">
        <v>4</v>
      </c>
      <c r="D86" s="553">
        <v>4</v>
      </c>
      <c r="E86" s="587"/>
      <c r="F86" s="587"/>
      <c r="G86" s="553">
        <v>3</v>
      </c>
      <c r="H86" s="553">
        <v>3</v>
      </c>
      <c r="I86" s="553">
        <v>3</v>
      </c>
      <c r="J86" s="553">
        <v>3</v>
      </c>
      <c r="K86" s="553">
        <v>3</v>
      </c>
      <c r="L86" s="1341" t="s">
        <v>505</v>
      </c>
      <c r="M86" s="587"/>
      <c r="N86" s="553">
        <v>11</v>
      </c>
      <c r="O86" s="553">
        <v>11</v>
      </c>
      <c r="P86" s="553">
        <v>11</v>
      </c>
      <c r="Q86" s="553">
        <v>11</v>
      </c>
      <c r="R86" s="553">
        <v>11</v>
      </c>
      <c r="S86" s="587" t="s">
        <v>503</v>
      </c>
      <c r="T86" s="587" t="s">
        <v>503</v>
      </c>
      <c r="U86" s="587" t="s">
        <v>475</v>
      </c>
      <c r="V86" s="587" t="s">
        <v>475</v>
      </c>
      <c r="W86" s="587" t="s">
        <v>475</v>
      </c>
      <c r="X86" s="587" t="s">
        <v>475</v>
      </c>
      <c r="Y86" s="587" t="s">
        <v>475</v>
      </c>
      <c r="Z86" s="587"/>
      <c r="AA86" s="587"/>
      <c r="AB86" s="587" t="s">
        <v>513</v>
      </c>
      <c r="AC86" s="587" t="s">
        <v>513</v>
      </c>
      <c r="AD86" s="587" t="s">
        <v>513</v>
      </c>
      <c r="AE86" s="587" t="s">
        <v>513</v>
      </c>
      <c r="AF86" s="587" t="s">
        <v>513</v>
      </c>
      <c r="AG86" s="587"/>
      <c r="AH86" s="505">
        <v>80</v>
      </c>
      <c r="AI86" s="506">
        <v>37</v>
      </c>
    </row>
    <row r="87" spans="1:35" ht="21.95" customHeight="1" x14ac:dyDescent="0.2"/>
    <row r="88" spans="1:35" ht="21.95" customHeight="1" x14ac:dyDescent="0.2">
      <c r="A88" s="623"/>
      <c r="B88" s="353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590"/>
      <c r="N88" s="590"/>
      <c r="O88" s="590"/>
      <c r="P88" s="590"/>
      <c r="Q88" s="590"/>
      <c r="R88" s="590"/>
      <c r="S88" s="590"/>
      <c r="T88" s="590"/>
      <c r="U88" s="590"/>
      <c r="V88" s="590"/>
      <c r="W88" s="590"/>
      <c r="X88" s="590"/>
      <c r="Y88" s="590"/>
      <c r="Z88" s="590"/>
      <c r="AA88" s="590"/>
      <c r="AB88" s="590"/>
      <c r="AC88" s="590"/>
      <c r="AD88" s="590"/>
      <c r="AE88" s="590"/>
      <c r="AF88" s="590"/>
      <c r="AH88" s="591"/>
      <c r="AI88" s="591"/>
    </row>
    <row r="89" spans="1:35" ht="21.95" customHeight="1" x14ac:dyDescent="0.2">
      <c r="A89" s="1" t="s">
        <v>555</v>
      </c>
      <c r="D89" s="360"/>
      <c r="E89" s="360"/>
      <c r="F89" s="360"/>
      <c r="G89" s="57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</row>
    <row r="90" spans="1:35" ht="21.95" customHeight="1" x14ac:dyDescent="0.2">
      <c r="A90" s="1"/>
      <c r="B90" s="23" t="s">
        <v>556</v>
      </c>
      <c r="C90" s="7"/>
      <c r="D90" s="530" t="s">
        <v>2</v>
      </c>
      <c r="E90" s="51"/>
      <c r="F90" s="573"/>
      <c r="G90" s="7"/>
      <c r="H90" s="530" t="s">
        <v>3</v>
      </c>
      <c r="I90" s="51"/>
      <c r="J90" s="573"/>
      <c r="K90" s="7"/>
      <c r="L90" s="530" t="s">
        <v>4</v>
      </c>
      <c r="M90" s="51"/>
      <c r="N90" s="573"/>
      <c r="O90" s="7"/>
      <c r="P90" s="530" t="s">
        <v>5</v>
      </c>
      <c r="Q90" s="51"/>
      <c r="R90" s="573"/>
      <c r="S90" s="7"/>
      <c r="T90" s="530" t="s">
        <v>6</v>
      </c>
      <c r="U90" s="51"/>
      <c r="V90" s="573"/>
      <c r="W90" s="7"/>
      <c r="X90" s="530" t="s">
        <v>7</v>
      </c>
      <c r="Y90" s="51"/>
      <c r="Z90" s="573"/>
      <c r="AA90" s="7"/>
      <c r="AB90" s="530" t="s">
        <v>8</v>
      </c>
      <c r="AC90" s="51"/>
      <c r="AD90" s="51"/>
      <c r="AE90" s="424" t="s">
        <v>10</v>
      </c>
      <c r="AF90" s="51"/>
      <c r="AG90" s="51"/>
      <c r="AH90" s="51"/>
      <c r="AI90" s="531"/>
    </row>
    <row r="91" spans="1:35" ht="21.95" customHeight="1" x14ac:dyDescent="0.2">
      <c r="A91" s="1"/>
      <c r="B91" s="129" t="s">
        <v>324</v>
      </c>
      <c r="C91" s="611"/>
      <c r="D91" s="156" t="s">
        <v>167</v>
      </c>
      <c r="E91" s="156"/>
      <c r="F91" s="612"/>
      <c r="G91" s="611"/>
      <c r="H91" s="156" t="s">
        <v>167</v>
      </c>
      <c r="I91" s="156"/>
      <c r="J91" s="612"/>
      <c r="K91" s="611" t="s">
        <v>557</v>
      </c>
      <c r="L91" s="156"/>
      <c r="M91" s="156"/>
      <c r="N91" s="612"/>
      <c r="O91" s="611" t="s">
        <v>557</v>
      </c>
      <c r="P91" s="156"/>
      <c r="Q91" s="156"/>
      <c r="R91" s="612"/>
      <c r="S91" s="611" t="s">
        <v>557</v>
      </c>
      <c r="T91" s="156"/>
      <c r="U91" s="156"/>
      <c r="V91" s="612"/>
      <c r="W91" s="611" t="s">
        <v>558</v>
      </c>
      <c r="X91" s="624"/>
      <c r="Y91" s="624"/>
      <c r="Z91" s="625"/>
      <c r="AA91" s="611" t="s">
        <v>559</v>
      </c>
      <c r="AB91" s="156"/>
      <c r="AC91" s="156"/>
      <c r="AD91" s="613"/>
      <c r="AE91" s="128">
        <v>56</v>
      </c>
      <c r="AF91" s="156"/>
      <c r="AG91" s="156" t="s">
        <v>28</v>
      </c>
      <c r="AH91" s="613"/>
      <c r="AI91" s="489"/>
    </row>
    <row r="92" spans="1:35" ht="21.95" customHeight="1" x14ac:dyDescent="0.2">
      <c r="A92" s="1"/>
      <c r="B92" s="129" t="s">
        <v>325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/>
      <c r="L92" s="156" t="s">
        <v>167</v>
      </c>
      <c r="M92" s="156"/>
      <c r="N92" s="612"/>
      <c r="O92" s="611"/>
      <c r="P92" s="156" t="s">
        <v>167</v>
      </c>
      <c r="Q92" s="156"/>
      <c r="R92" s="612"/>
      <c r="S92" s="611"/>
      <c r="T92" s="156" t="s">
        <v>167</v>
      </c>
      <c r="U92" s="156"/>
      <c r="V92" s="612"/>
      <c r="W92" s="611"/>
      <c r="X92" s="156" t="s">
        <v>167</v>
      </c>
      <c r="Y92" s="156"/>
      <c r="Z92" s="612"/>
      <c r="AA92" s="156" t="s">
        <v>167</v>
      </c>
      <c r="AB92" s="156"/>
      <c r="AC92" s="156"/>
      <c r="AD92" s="613"/>
      <c r="AE92" s="128">
        <v>0</v>
      </c>
      <c r="AF92" s="156"/>
      <c r="AG92" s="156"/>
      <c r="AH92" s="613"/>
      <c r="AI92" s="489"/>
    </row>
    <row r="93" spans="1:35" ht="21.95" customHeight="1" x14ac:dyDescent="0.2">
      <c r="A93" s="1"/>
      <c r="B93" s="129" t="s">
        <v>326</v>
      </c>
      <c r="C93" s="611" t="s">
        <v>557</v>
      </c>
      <c r="D93" s="156"/>
      <c r="E93" s="156"/>
      <c r="F93" s="612"/>
      <c r="G93" s="611" t="s">
        <v>557</v>
      </c>
      <c r="H93" s="156"/>
      <c r="I93" s="156"/>
      <c r="J93" s="612"/>
      <c r="K93" s="121"/>
      <c r="L93" s="156" t="s">
        <v>167</v>
      </c>
      <c r="M93" s="156"/>
      <c r="N93" s="612"/>
      <c r="O93" s="121"/>
      <c r="P93" s="156" t="s">
        <v>167</v>
      </c>
      <c r="Q93" s="156"/>
      <c r="R93" s="612"/>
      <c r="S93" s="121"/>
      <c r="T93" s="156" t="s">
        <v>167</v>
      </c>
      <c r="U93" s="156"/>
      <c r="V93" s="612"/>
      <c r="W93" s="626" t="s">
        <v>560</v>
      </c>
      <c r="X93" s="134"/>
      <c r="Y93" s="134"/>
      <c r="Z93" s="627"/>
      <c r="AA93" s="626" t="s">
        <v>561</v>
      </c>
      <c r="AB93" s="134"/>
      <c r="AC93" s="134"/>
      <c r="AD93" s="628"/>
      <c r="AE93" s="128">
        <v>46</v>
      </c>
      <c r="AF93" s="156"/>
      <c r="AG93" s="156"/>
      <c r="AH93" s="613"/>
      <c r="AI93" s="489"/>
    </row>
    <row r="94" spans="1:35" ht="21.95" customHeight="1" x14ac:dyDescent="0.2">
      <c r="A94" s="1"/>
      <c r="B94" s="16" t="s">
        <v>236</v>
      </c>
      <c r="C94" s="618" t="s">
        <v>420</v>
      </c>
      <c r="D94" s="53"/>
      <c r="E94" s="53"/>
      <c r="F94" s="619"/>
      <c r="G94" s="618" t="s">
        <v>421</v>
      </c>
      <c r="H94" s="53"/>
      <c r="I94" s="53"/>
      <c r="J94" s="619"/>
      <c r="K94" s="618" t="s">
        <v>421</v>
      </c>
      <c r="L94" s="53"/>
      <c r="M94" s="53"/>
      <c r="N94" s="619"/>
      <c r="O94" s="618" t="s">
        <v>421</v>
      </c>
      <c r="P94" s="53"/>
      <c r="Q94" s="53"/>
      <c r="R94" s="619"/>
      <c r="S94" s="618" t="s">
        <v>422</v>
      </c>
      <c r="T94" s="53"/>
      <c r="U94" s="53"/>
      <c r="V94" s="620"/>
      <c r="W94" s="57"/>
      <c r="X94" s="620" t="s">
        <v>167</v>
      </c>
      <c r="Y94" s="53"/>
      <c r="Z94" s="619"/>
      <c r="AA94" s="57"/>
      <c r="AB94" s="620" t="s">
        <v>167</v>
      </c>
      <c r="AC94" s="53"/>
      <c r="AD94" s="619"/>
      <c r="AE94" s="629">
        <v>37.5</v>
      </c>
      <c r="AF94" s="53"/>
      <c r="AG94" s="53"/>
      <c r="AH94" s="620"/>
      <c r="AI94" s="544"/>
    </row>
    <row r="95" spans="1:35" ht="21.95" customHeight="1" x14ac:dyDescent="0.2">
      <c r="A95" s="621"/>
      <c r="B95" s="1"/>
      <c r="C95" s="360"/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585"/>
      <c r="B96" s="296" t="s">
        <v>469</v>
      </c>
      <c r="C96" s="177">
        <v>1</v>
      </c>
      <c r="D96" s="177">
        <v>2</v>
      </c>
      <c r="E96" s="497">
        <v>3</v>
      </c>
      <c r="F96" s="497">
        <v>4</v>
      </c>
      <c r="G96" s="177">
        <v>5</v>
      </c>
      <c r="H96" s="177">
        <v>6</v>
      </c>
      <c r="I96" s="177">
        <v>7</v>
      </c>
      <c r="J96" s="177">
        <v>8</v>
      </c>
      <c r="K96" s="177">
        <v>9</v>
      </c>
      <c r="L96" s="497">
        <v>10</v>
      </c>
      <c r="M96" s="497">
        <v>11</v>
      </c>
      <c r="N96" s="177">
        <v>12</v>
      </c>
      <c r="O96" s="177">
        <v>13</v>
      </c>
      <c r="P96" s="177">
        <v>14</v>
      </c>
      <c r="Q96" s="177">
        <v>15</v>
      </c>
      <c r="R96" s="177">
        <v>16</v>
      </c>
      <c r="S96" s="497">
        <v>17</v>
      </c>
      <c r="T96" s="497">
        <v>18</v>
      </c>
      <c r="U96" s="177">
        <v>19</v>
      </c>
      <c r="V96" s="177">
        <v>20</v>
      </c>
      <c r="W96" s="177">
        <v>21</v>
      </c>
      <c r="X96" s="177">
        <v>22</v>
      </c>
      <c r="Y96" s="177">
        <v>23</v>
      </c>
      <c r="Z96" s="497">
        <v>24</v>
      </c>
      <c r="AA96" s="497">
        <v>25</v>
      </c>
      <c r="AB96" s="177">
        <v>26</v>
      </c>
      <c r="AC96" s="177">
        <v>27</v>
      </c>
      <c r="AD96" s="177">
        <v>28</v>
      </c>
      <c r="AE96" s="177">
        <v>29</v>
      </c>
      <c r="AF96" s="177">
        <v>30</v>
      </c>
      <c r="AG96" s="177"/>
      <c r="AH96" s="499" t="s">
        <v>470</v>
      </c>
      <c r="AI96" s="500" t="s">
        <v>471</v>
      </c>
    </row>
    <row r="97" spans="1:35" ht="21.95" customHeight="1" x14ac:dyDescent="0.2">
      <c r="A97" s="622">
        <v>1</v>
      </c>
      <c r="B97" s="318" t="s">
        <v>562</v>
      </c>
      <c r="C97" s="553">
        <v>1</v>
      </c>
      <c r="D97" s="553">
        <v>1</v>
      </c>
      <c r="E97" s="587" t="s">
        <v>475</v>
      </c>
      <c r="F97" s="587" t="s">
        <v>475</v>
      </c>
      <c r="G97" s="587" t="s">
        <v>475</v>
      </c>
      <c r="H97" s="587" t="s">
        <v>475</v>
      </c>
      <c r="I97" s="587" t="s">
        <v>522</v>
      </c>
      <c r="J97" s="587" t="s">
        <v>522</v>
      </c>
      <c r="K97" s="587" t="s">
        <v>522</v>
      </c>
      <c r="L97" s="587" t="s">
        <v>568</v>
      </c>
      <c r="M97" s="587" t="s">
        <v>569</v>
      </c>
      <c r="N97" s="587" t="s">
        <v>475</v>
      </c>
      <c r="O97" s="587" t="s">
        <v>475</v>
      </c>
      <c r="P97" s="587" t="s">
        <v>475</v>
      </c>
      <c r="Q97" s="587" t="s">
        <v>475</v>
      </c>
      <c r="R97" s="587" t="s">
        <v>475</v>
      </c>
      <c r="S97" s="587" t="s">
        <v>475</v>
      </c>
      <c r="T97" s="587" t="s">
        <v>475</v>
      </c>
      <c r="U97" s="587" t="s">
        <v>522</v>
      </c>
      <c r="V97" s="587" t="s">
        <v>522</v>
      </c>
      <c r="W97" s="587" t="s">
        <v>475</v>
      </c>
      <c r="X97" s="587" t="s">
        <v>475</v>
      </c>
      <c r="Y97" s="587" t="s">
        <v>475</v>
      </c>
      <c r="Z97" s="587" t="s">
        <v>563</v>
      </c>
      <c r="AA97" s="587" t="s">
        <v>564</v>
      </c>
      <c r="AB97" s="1085" t="s">
        <v>565</v>
      </c>
      <c r="AC97" s="1085" t="s">
        <v>566</v>
      </c>
      <c r="AD97" s="1085" t="s">
        <v>566</v>
      </c>
      <c r="AE97" s="1085" t="s">
        <v>566</v>
      </c>
      <c r="AF97" s="1085" t="s">
        <v>567</v>
      </c>
      <c r="AG97" s="587"/>
      <c r="AH97" s="505">
        <v>46</v>
      </c>
      <c r="AI97" s="506">
        <v>37</v>
      </c>
    </row>
    <row r="98" spans="1:35" ht="21.95" customHeight="1" x14ac:dyDescent="0.2">
      <c r="A98" s="622">
        <v>2</v>
      </c>
      <c r="B98" s="318" t="s">
        <v>570</v>
      </c>
      <c r="C98" s="1060" t="s">
        <v>522</v>
      </c>
      <c r="D98" s="1060" t="s">
        <v>522</v>
      </c>
      <c r="E98" s="1060" t="s">
        <v>568</v>
      </c>
      <c r="F98" s="1060" t="s">
        <v>569</v>
      </c>
      <c r="G98" s="587" t="s">
        <v>475</v>
      </c>
      <c r="H98" s="587" t="s">
        <v>475</v>
      </c>
      <c r="I98" s="587" t="s">
        <v>475</v>
      </c>
      <c r="J98" s="587" t="s">
        <v>475</v>
      </c>
      <c r="K98" s="587" t="s">
        <v>475</v>
      </c>
      <c r="L98" s="587" t="s">
        <v>475</v>
      </c>
      <c r="M98" s="553" t="s">
        <v>475</v>
      </c>
      <c r="N98" s="553" t="s">
        <v>522</v>
      </c>
      <c r="O98" s="553" t="s">
        <v>522</v>
      </c>
      <c r="P98" s="553" t="s">
        <v>475</v>
      </c>
      <c r="Q98" s="553" t="s">
        <v>475</v>
      </c>
      <c r="R98" s="587" t="s">
        <v>475</v>
      </c>
      <c r="S98" s="588" t="s">
        <v>563</v>
      </c>
      <c r="T98" s="587" t="s">
        <v>564</v>
      </c>
      <c r="U98" s="1085" t="s">
        <v>565</v>
      </c>
      <c r="V98" s="1085" t="s">
        <v>566</v>
      </c>
      <c r="W98" s="1085" t="s">
        <v>566</v>
      </c>
      <c r="X98" s="1086" t="s">
        <v>566</v>
      </c>
      <c r="Y98" s="1085" t="s">
        <v>567</v>
      </c>
      <c r="Z98" s="587" t="s">
        <v>475</v>
      </c>
      <c r="AA98" s="588" t="s">
        <v>475</v>
      </c>
      <c r="AB98" s="587" t="s">
        <v>475</v>
      </c>
      <c r="AC98" s="587" t="s">
        <v>475</v>
      </c>
      <c r="AD98" s="587" t="s">
        <v>522</v>
      </c>
      <c r="AE98" s="587" t="s">
        <v>522</v>
      </c>
      <c r="AF98" s="587" t="s">
        <v>522</v>
      </c>
      <c r="AG98" s="588"/>
      <c r="AH98" s="505">
        <v>45</v>
      </c>
      <c r="AI98" s="506">
        <v>37</v>
      </c>
    </row>
    <row r="99" spans="1:35" ht="21.95" customHeight="1" x14ac:dyDescent="0.2">
      <c r="A99" s="622">
        <v>3</v>
      </c>
      <c r="B99" s="552" t="s">
        <v>572</v>
      </c>
      <c r="C99" s="587" t="s">
        <v>475</v>
      </c>
      <c r="D99" s="587" t="s">
        <v>475</v>
      </c>
      <c r="E99" s="588" t="s">
        <v>563</v>
      </c>
      <c r="F99" s="587" t="s">
        <v>564</v>
      </c>
      <c r="G99" s="1085" t="s">
        <v>565</v>
      </c>
      <c r="H99" s="1085" t="s">
        <v>566</v>
      </c>
      <c r="I99" s="1085" t="s">
        <v>566</v>
      </c>
      <c r="J99" s="1086" t="s">
        <v>566</v>
      </c>
      <c r="K99" s="1085" t="s">
        <v>567</v>
      </c>
      <c r="L99" s="587" t="s">
        <v>475</v>
      </c>
      <c r="M99" s="587" t="s">
        <v>475</v>
      </c>
      <c r="N99" s="587" t="s">
        <v>475</v>
      </c>
      <c r="O99" s="587" t="s">
        <v>475</v>
      </c>
      <c r="P99" s="587" t="s">
        <v>522</v>
      </c>
      <c r="Q99" s="588" t="s">
        <v>522</v>
      </c>
      <c r="R99" s="587" t="s">
        <v>522</v>
      </c>
      <c r="S99" s="587" t="s">
        <v>568</v>
      </c>
      <c r="T99" s="588" t="s">
        <v>569</v>
      </c>
      <c r="U99" s="587" t="s">
        <v>475</v>
      </c>
      <c r="V99" s="587" t="s">
        <v>475</v>
      </c>
      <c r="W99" s="587" t="s">
        <v>475</v>
      </c>
      <c r="X99" s="587" t="s">
        <v>475</v>
      </c>
      <c r="Y99" s="587" t="s">
        <v>475</v>
      </c>
      <c r="Z99" s="587" t="s">
        <v>475</v>
      </c>
      <c r="AA99" s="588" t="s">
        <v>475</v>
      </c>
      <c r="AB99" s="587" t="s">
        <v>522</v>
      </c>
      <c r="AC99" s="587" t="s">
        <v>522</v>
      </c>
      <c r="AD99" s="587" t="s">
        <v>475</v>
      </c>
      <c r="AE99" s="587" t="s">
        <v>475</v>
      </c>
      <c r="AF99" s="587" t="s">
        <v>475</v>
      </c>
      <c r="AG99" s="588"/>
      <c r="AH99" s="651">
        <v>46</v>
      </c>
      <c r="AI99" s="523">
        <v>37</v>
      </c>
    </row>
    <row r="100" spans="1:35" ht="21.95" customHeight="1" x14ac:dyDescent="0.2">
      <c r="A100" s="622">
        <v>4</v>
      </c>
      <c r="B100" s="552" t="s">
        <v>573</v>
      </c>
      <c r="C100" s="587" t="s">
        <v>475</v>
      </c>
      <c r="D100" s="587" t="s">
        <v>475</v>
      </c>
      <c r="E100" s="587" t="s">
        <v>475</v>
      </c>
      <c r="F100" s="587" t="s">
        <v>475</v>
      </c>
      <c r="G100" s="1060" t="s">
        <v>522</v>
      </c>
      <c r="H100" s="1060" t="s">
        <v>522</v>
      </c>
      <c r="I100" s="1060" t="s">
        <v>475</v>
      </c>
      <c r="J100" s="1060" t="s">
        <v>475</v>
      </c>
      <c r="K100" s="1060" t="s">
        <v>475</v>
      </c>
      <c r="L100" s="1075" t="s">
        <v>563</v>
      </c>
      <c r="M100" s="1060" t="s">
        <v>564</v>
      </c>
      <c r="N100" s="1060" t="s">
        <v>565</v>
      </c>
      <c r="O100" s="1075" t="s">
        <v>566</v>
      </c>
      <c r="P100" s="1075" t="s">
        <v>566</v>
      </c>
      <c r="Q100" s="1075" t="s">
        <v>566</v>
      </c>
      <c r="R100" s="1060" t="s">
        <v>567</v>
      </c>
      <c r="S100" s="1060" t="s">
        <v>475</v>
      </c>
      <c r="T100" s="1060" t="s">
        <v>475</v>
      </c>
      <c r="U100" s="1060" t="s">
        <v>475</v>
      </c>
      <c r="V100" s="1060" t="s">
        <v>475</v>
      </c>
      <c r="W100" s="1060" t="s">
        <v>522</v>
      </c>
      <c r="X100" s="1075" t="s">
        <v>522</v>
      </c>
      <c r="Y100" s="1060" t="s">
        <v>522</v>
      </c>
      <c r="Z100" s="1060" t="s">
        <v>568</v>
      </c>
      <c r="AA100" s="1075" t="s">
        <v>569</v>
      </c>
      <c r="AB100" s="587" t="s">
        <v>475</v>
      </c>
      <c r="AC100" s="587" t="s">
        <v>475</v>
      </c>
      <c r="AD100" s="587" t="s">
        <v>475</v>
      </c>
      <c r="AE100" s="587" t="s">
        <v>475</v>
      </c>
      <c r="AF100" s="587" t="s">
        <v>475</v>
      </c>
      <c r="AG100" s="588"/>
      <c r="AH100" s="651">
        <v>51</v>
      </c>
      <c r="AI100" s="523">
        <v>37</v>
      </c>
    </row>
    <row r="101" spans="1:35" ht="21.95" customHeight="1" x14ac:dyDescent="0.2">
      <c r="A101" s="623"/>
      <c r="B101" s="630"/>
      <c r="C101" s="590"/>
      <c r="D101" s="590"/>
      <c r="E101" s="590"/>
      <c r="F101" s="590"/>
      <c r="G101" s="590"/>
      <c r="H101" s="590"/>
      <c r="I101" s="590"/>
      <c r="J101" s="590"/>
      <c r="K101" s="590"/>
      <c r="L101" s="590"/>
      <c r="M101" s="590"/>
      <c r="N101" s="590"/>
      <c r="O101" s="590"/>
      <c r="P101" s="590"/>
      <c r="Q101" s="590"/>
      <c r="R101" s="590"/>
      <c r="S101" s="590"/>
      <c r="T101" s="590"/>
      <c r="U101" s="590"/>
      <c r="V101" s="590"/>
      <c r="W101" s="590"/>
      <c r="X101" s="590"/>
      <c r="Y101" s="590"/>
      <c r="Z101" s="590"/>
      <c r="AA101" s="590"/>
      <c r="AB101" s="590"/>
      <c r="AC101" s="590"/>
      <c r="AD101" s="590"/>
      <c r="AE101" s="590"/>
      <c r="AF101" s="590"/>
      <c r="AG101" s="590"/>
      <c r="AH101" s="591"/>
      <c r="AI101" s="591"/>
    </row>
    <row r="102" spans="1:35" ht="21.95" customHeight="1" x14ac:dyDescent="0.2">
      <c r="A102" s="1" t="s">
        <v>574</v>
      </c>
      <c r="D102" s="360"/>
      <c r="E102" s="360"/>
      <c r="F102" s="360"/>
      <c r="G102" s="57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</row>
    <row r="103" spans="1:35" ht="21.95" customHeight="1" x14ac:dyDescent="0.2">
      <c r="A103" s="1"/>
      <c r="B103" s="23" t="s">
        <v>556</v>
      </c>
      <c r="C103" s="7"/>
      <c r="D103" s="530" t="s">
        <v>2</v>
      </c>
      <c r="E103" s="51"/>
      <c r="F103" s="573"/>
      <c r="G103" s="7"/>
      <c r="H103" s="530" t="s">
        <v>3</v>
      </c>
      <c r="I103" s="51"/>
      <c r="J103" s="573"/>
      <c r="K103" s="7"/>
      <c r="L103" s="530" t="s">
        <v>4</v>
      </c>
      <c r="M103" s="51"/>
      <c r="N103" s="573"/>
      <c r="O103" s="7"/>
      <c r="P103" s="530" t="s">
        <v>5</v>
      </c>
      <c r="Q103" s="51"/>
      <c r="R103" s="573"/>
      <c r="S103" s="7"/>
      <c r="T103" s="530" t="s">
        <v>6</v>
      </c>
      <c r="U103" s="51"/>
      <c r="V103" s="573"/>
      <c r="W103" s="7"/>
      <c r="X103" s="530" t="s">
        <v>7</v>
      </c>
      <c r="Y103" s="51"/>
      <c r="Z103" s="573"/>
      <c r="AA103" s="7"/>
      <c r="AB103" s="530" t="s">
        <v>8</v>
      </c>
      <c r="AC103" s="51"/>
      <c r="AD103" s="51"/>
      <c r="AE103" s="424" t="s">
        <v>10</v>
      </c>
      <c r="AF103" s="51"/>
      <c r="AG103" s="51"/>
      <c r="AH103" s="51"/>
      <c r="AI103" s="531"/>
    </row>
    <row r="104" spans="1:35" ht="21.95" customHeight="1" thickBot="1" x14ac:dyDescent="0.25">
      <c r="A104" s="1"/>
      <c r="B104" s="129" t="s">
        <v>324</v>
      </c>
      <c r="C104" s="1473"/>
      <c r="D104" s="156" t="s">
        <v>167</v>
      </c>
      <c r="E104" s="156"/>
      <c r="F104" s="612"/>
      <c r="G104" s="121" t="s">
        <v>709</v>
      </c>
      <c r="H104" s="156"/>
      <c r="I104" s="156"/>
      <c r="J104" s="612"/>
      <c r="K104" s="121" t="s">
        <v>709</v>
      </c>
      <c r="L104" s="156"/>
      <c r="M104" s="156"/>
      <c r="N104" s="612"/>
      <c r="O104" s="121" t="s">
        <v>709</v>
      </c>
      <c r="P104" s="156"/>
      <c r="Q104" s="156"/>
      <c r="R104" s="612"/>
      <c r="S104" s="121" t="s">
        <v>697</v>
      </c>
      <c r="T104" s="156"/>
      <c r="U104" s="156"/>
      <c r="V104" s="612"/>
      <c r="W104" s="121" t="s">
        <v>579</v>
      </c>
      <c r="X104" s="156"/>
      <c r="Y104" s="156"/>
      <c r="Z104" s="612"/>
      <c r="AA104" s="611"/>
      <c r="AB104" s="156"/>
      <c r="AC104" s="156"/>
      <c r="AD104" s="613"/>
      <c r="AE104" s="629"/>
      <c r="AF104" s="156"/>
      <c r="AG104" s="156" t="s">
        <v>28</v>
      </c>
      <c r="AH104" s="613"/>
      <c r="AI104" s="489"/>
    </row>
    <row r="105" spans="1:35" ht="21.95" customHeight="1" x14ac:dyDescent="0.2">
      <c r="A105" s="1"/>
      <c r="B105" s="129" t="s">
        <v>325</v>
      </c>
      <c r="C105" s="121" t="s">
        <v>711</v>
      </c>
      <c r="D105" s="156"/>
      <c r="E105" s="156"/>
      <c r="F105" s="612"/>
      <c r="G105" s="121" t="s">
        <v>711</v>
      </c>
      <c r="H105" s="156"/>
      <c r="I105" s="156"/>
      <c r="J105" s="612"/>
      <c r="K105" s="121" t="s">
        <v>711</v>
      </c>
      <c r="L105" s="156"/>
      <c r="M105" s="156"/>
      <c r="N105" s="612"/>
      <c r="O105" s="121" t="s">
        <v>711</v>
      </c>
      <c r="P105" s="156"/>
      <c r="Q105" s="156"/>
      <c r="R105" s="612"/>
      <c r="S105" s="121"/>
      <c r="T105" s="156" t="s">
        <v>167</v>
      </c>
      <c r="U105" s="156"/>
      <c r="V105" s="612"/>
      <c r="W105" s="121"/>
      <c r="X105" s="156"/>
      <c r="Y105" s="156"/>
      <c r="Z105" s="612"/>
      <c r="AA105" s="156"/>
      <c r="AB105" s="156"/>
      <c r="AC105" s="156"/>
      <c r="AD105" s="613"/>
      <c r="AE105" s="128"/>
      <c r="AF105" s="156"/>
      <c r="AG105" s="156"/>
      <c r="AH105" s="613"/>
      <c r="AI105" s="489"/>
    </row>
    <row r="106" spans="1:35" ht="21.95" customHeight="1" x14ac:dyDescent="0.2">
      <c r="A106" s="1"/>
      <c r="B106" s="129" t="s">
        <v>326</v>
      </c>
      <c r="C106" s="121" t="s">
        <v>575</v>
      </c>
      <c r="D106" s="156"/>
      <c r="E106" s="156"/>
      <c r="F106" s="612"/>
      <c r="G106" s="121" t="s">
        <v>712</v>
      </c>
      <c r="H106" s="156"/>
      <c r="I106" s="156"/>
      <c r="J106" s="612"/>
      <c r="K106" s="121" t="s">
        <v>712</v>
      </c>
      <c r="L106" s="156"/>
      <c r="M106" s="156"/>
      <c r="N106" s="612"/>
      <c r="O106" s="121" t="s">
        <v>712</v>
      </c>
      <c r="P106" s="156"/>
      <c r="Q106" s="156"/>
      <c r="R106" s="612"/>
      <c r="S106" s="121" t="s">
        <v>713</v>
      </c>
      <c r="T106" s="156"/>
      <c r="U106" s="156"/>
      <c r="V106" s="612"/>
      <c r="W106" s="631" t="s">
        <v>702</v>
      </c>
      <c r="X106" s="134"/>
      <c r="Y106" s="134"/>
      <c r="Z106" s="627"/>
      <c r="AA106" s="626"/>
      <c r="AB106" s="134"/>
      <c r="AC106" s="134"/>
      <c r="AD106" s="628"/>
      <c r="AE106" s="128"/>
      <c r="AF106" s="156"/>
      <c r="AG106" s="156"/>
      <c r="AH106" s="613"/>
      <c r="AI106" s="489"/>
    </row>
    <row r="107" spans="1:35" ht="21.95" customHeight="1" thickBot="1" x14ac:dyDescent="0.25">
      <c r="A107" s="1"/>
      <c r="B107" s="16" t="s">
        <v>236</v>
      </c>
      <c r="C107" s="57" t="s">
        <v>714</v>
      </c>
      <c r="D107" s="53"/>
      <c r="E107" s="53"/>
      <c r="F107" s="619"/>
      <c r="G107" s="57" t="s">
        <v>714</v>
      </c>
      <c r="H107" s="53"/>
      <c r="I107" s="53"/>
      <c r="J107" s="619"/>
      <c r="K107" s="57" t="s">
        <v>714</v>
      </c>
      <c r="L107" s="53"/>
      <c r="M107" s="53"/>
      <c r="N107" s="619"/>
      <c r="O107" s="57" t="s">
        <v>714</v>
      </c>
      <c r="P107" s="53"/>
      <c r="Q107" s="53"/>
      <c r="R107" s="619"/>
      <c r="S107" s="57" t="s">
        <v>715</v>
      </c>
      <c r="T107" s="53"/>
      <c r="U107" s="53"/>
      <c r="V107" s="620"/>
      <c r="W107" s="57"/>
      <c r="X107" s="620"/>
      <c r="Y107" s="53"/>
      <c r="Z107" s="619"/>
      <c r="AA107" s="57"/>
      <c r="AB107" s="620"/>
      <c r="AC107" s="53"/>
      <c r="AD107" s="619"/>
      <c r="AE107" s="629"/>
      <c r="AF107" s="53"/>
      <c r="AG107" s="53"/>
      <c r="AH107" s="620"/>
      <c r="AI107" s="544"/>
    </row>
    <row r="108" spans="1:35" ht="21.95" customHeight="1" x14ac:dyDescent="0.2">
      <c r="A108" s="621"/>
      <c r="B108" s="1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585"/>
      <c r="B109" s="296" t="s">
        <v>469</v>
      </c>
      <c r="C109" s="177">
        <v>1</v>
      </c>
      <c r="D109" s="177">
        <v>2</v>
      </c>
      <c r="E109" s="497">
        <v>3</v>
      </c>
      <c r="F109" s="497">
        <v>4</v>
      </c>
      <c r="G109" s="177">
        <v>5</v>
      </c>
      <c r="H109" s="177">
        <v>6</v>
      </c>
      <c r="I109" s="177">
        <v>7</v>
      </c>
      <c r="J109" s="177">
        <v>8</v>
      </c>
      <c r="K109" s="177">
        <v>9</v>
      </c>
      <c r="L109" s="497">
        <v>10</v>
      </c>
      <c r="M109" s="497">
        <v>11</v>
      </c>
      <c r="N109" s="177">
        <v>12</v>
      </c>
      <c r="O109" s="177">
        <v>13</v>
      </c>
      <c r="P109" s="177">
        <v>14</v>
      </c>
      <c r="Q109" s="177">
        <v>15</v>
      </c>
      <c r="R109" s="177">
        <v>16</v>
      </c>
      <c r="S109" s="497">
        <v>17</v>
      </c>
      <c r="T109" s="497">
        <v>18</v>
      </c>
      <c r="U109" s="177">
        <v>19</v>
      </c>
      <c r="V109" s="177">
        <v>20</v>
      </c>
      <c r="W109" s="177">
        <v>21</v>
      </c>
      <c r="X109" s="177">
        <v>22</v>
      </c>
      <c r="Y109" s="177">
        <v>23</v>
      </c>
      <c r="Z109" s="497">
        <v>24</v>
      </c>
      <c r="AA109" s="497">
        <v>25</v>
      </c>
      <c r="AB109" s="177">
        <v>26</v>
      </c>
      <c r="AC109" s="177">
        <v>27</v>
      </c>
      <c r="AD109" s="177">
        <v>28</v>
      </c>
      <c r="AE109" s="177">
        <v>29</v>
      </c>
      <c r="AF109" s="177">
        <v>30</v>
      </c>
      <c r="AG109" s="177"/>
      <c r="AH109" s="499" t="s">
        <v>470</v>
      </c>
      <c r="AI109" s="500" t="s">
        <v>471</v>
      </c>
    </row>
    <row r="110" spans="1:35" ht="21.95" customHeight="1" x14ac:dyDescent="0.2">
      <c r="A110" s="622">
        <v>1</v>
      </c>
      <c r="B110" s="552" t="s">
        <v>530</v>
      </c>
      <c r="C110" s="1064">
        <v>1</v>
      </c>
      <c r="D110" s="1064">
        <v>1</v>
      </c>
      <c r="E110" s="1064"/>
      <c r="F110" s="1060"/>
      <c r="G110" s="587" t="s">
        <v>475</v>
      </c>
      <c r="H110" s="553">
        <v>1</v>
      </c>
      <c r="I110" s="553">
        <v>1</v>
      </c>
      <c r="J110" s="553">
        <v>1</v>
      </c>
      <c r="K110" s="553">
        <v>1</v>
      </c>
      <c r="L110" s="553">
        <v>1</v>
      </c>
      <c r="M110" s="553"/>
      <c r="N110" s="553">
        <v>2</v>
      </c>
      <c r="O110" s="503">
        <v>2</v>
      </c>
      <c r="P110" s="553">
        <v>2</v>
      </c>
      <c r="Q110" s="553">
        <v>2</v>
      </c>
      <c r="R110" s="553" t="s">
        <v>475</v>
      </c>
      <c r="S110" s="553"/>
      <c r="T110" s="587"/>
      <c r="U110" s="1064">
        <v>3</v>
      </c>
      <c r="V110" s="1064">
        <v>3</v>
      </c>
      <c r="W110" s="1064">
        <v>3</v>
      </c>
      <c r="X110" s="1064">
        <v>3</v>
      </c>
      <c r="Y110" s="1064">
        <v>3</v>
      </c>
      <c r="Z110" s="1064">
        <v>3</v>
      </c>
      <c r="AA110" s="1064"/>
      <c r="AB110" s="553">
        <v>4</v>
      </c>
      <c r="AC110" s="553">
        <v>4</v>
      </c>
      <c r="AD110" s="1083">
        <v>4</v>
      </c>
      <c r="AE110" s="553">
        <v>4</v>
      </c>
      <c r="AF110" s="553">
        <v>4</v>
      </c>
      <c r="AG110" s="587"/>
      <c r="AH110" s="505">
        <v>74</v>
      </c>
      <c r="AI110" s="506">
        <v>37</v>
      </c>
    </row>
    <row r="111" spans="1:35" ht="21.95" customHeight="1" x14ac:dyDescent="0.2">
      <c r="A111" s="622">
        <v>2</v>
      </c>
      <c r="B111" s="318" t="s">
        <v>583</v>
      </c>
      <c r="C111" s="1116">
        <v>2</v>
      </c>
      <c r="D111" s="1116">
        <v>2</v>
      </c>
      <c r="E111" s="1116">
        <v>2</v>
      </c>
      <c r="F111" s="1116"/>
      <c r="G111" s="1116">
        <v>2</v>
      </c>
      <c r="H111" s="1116">
        <v>2</v>
      </c>
      <c r="I111" s="1116">
        <v>2</v>
      </c>
      <c r="J111" s="1116">
        <v>2</v>
      </c>
      <c r="K111" s="1116" t="s">
        <v>475</v>
      </c>
      <c r="L111" s="1116"/>
      <c r="M111" s="1340"/>
      <c r="N111" s="1116">
        <v>3</v>
      </c>
      <c r="O111" s="1116">
        <v>3</v>
      </c>
      <c r="P111" s="1116">
        <v>3</v>
      </c>
      <c r="Q111" s="1116">
        <v>3</v>
      </c>
      <c r="R111" s="1116">
        <v>3</v>
      </c>
      <c r="S111" s="1116">
        <v>3</v>
      </c>
      <c r="T111" s="1116"/>
      <c r="U111" s="1116">
        <v>4</v>
      </c>
      <c r="V111" s="1116">
        <v>4</v>
      </c>
      <c r="W111" s="1116">
        <v>4</v>
      </c>
      <c r="X111" s="1116">
        <v>4</v>
      </c>
      <c r="Y111" s="1116">
        <v>4</v>
      </c>
      <c r="Z111" s="1116"/>
      <c r="AA111" s="1340"/>
      <c r="AB111" s="1116" t="s">
        <v>475</v>
      </c>
      <c r="AC111" s="1116">
        <v>1</v>
      </c>
      <c r="AD111" s="1116">
        <v>1</v>
      </c>
      <c r="AE111" s="1116">
        <v>1</v>
      </c>
      <c r="AF111" s="1116">
        <v>1</v>
      </c>
      <c r="AG111" s="587"/>
      <c r="AH111" s="505">
        <v>154</v>
      </c>
      <c r="AI111" s="506">
        <v>37</v>
      </c>
    </row>
    <row r="112" spans="1:35" ht="21.95" customHeight="1" thickBot="1" x14ac:dyDescent="0.25">
      <c r="A112" s="622">
        <v>3</v>
      </c>
      <c r="B112" s="552" t="s">
        <v>584</v>
      </c>
      <c r="C112" s="587">
        <v>3</v>
      </c>
      <c r="D112" s="587">
        <v>3</v>
      </c>
      <c r="E112" s="587"/>
      <c r="F112" s="587"/>
      <c r="G112" s="553">
        <v>3</v>
      </c>
      <c r="H112" s="553">
        <v>3</v>
      </c>
      <c r="I112" s="1116">
        <v>3</v>
      </c>
      <c r="J112" s="1116">
        <v>3</v>
      </c>
      <c r="K112" s="1116">
        <v>3</v>
      </c>
      <c r="L112" s="1116">
        <v>3</v>
      </c>
      <c r="M112" s="1340"/>
      <c r="N112" s="1116">
        <v>4</v>
      </c>
      <c r="O112" s="1116">
        <v>4</v>
      </c>
      <c r="P112" s="1116">
        <v>4</v>
      </c>
      <c r="Q112" s="1116">
        <v>4</v>
      </c>
      <c r="R112" s="1116" t="s">
        <v>727</v>
      </c>
      <c r="S112" s="587"/>
      <c r="T112" s="587"/>
      <c r="U112" s="553" t="s">
        <v>475</v>
      </c>
      <c r="V112" s="553">
        <v>1</v>
      </c>
      <c r="W112" s="553">
        <v>1</v>
      </c>
      <c r="X112" s="553">
        <v>1</v>
      </c>
      <c r="Y112" s="553">
        <v>1</v>
      </c>
      <c r="Z112" s="553">
        <v>1</v>
      </c>
      <c r="AA112" s="587"/>
      <c r="AB112" s="553">
        <v>2</v>
      </c>
      <c r="AC112" s="553">
        <v>2</v>
      </c>
      <c r="AD112" s="553">
        <v>2</v>
      </c>
      <c r="AE112" s="553">
        <v>2</v>
      </c>
      <c r="AF112" s="553" t="s">
        <v>475</v>
      </c>
      <c r="AG112" s="553">
        <v>2</v>
      </c>
      <c r="AH112" s="651">
        <v>92</v>
      </c>
      <c r="AI112" s="523">
        <v>37</v>
      </c>
    </row>
    <row r="113" spans="1:36" ht="21.95" customHeight="1" thickBot="1" x14ac:dyDescent="0.25">
      <c r="A113" s="622">
        <v>4</v>
      </c>
      <c r="B113" s="552" t="s">
        <v>289</v>
      </c>
      <c r="C113" s="587">
        <v>4</v>
      </c>
      <c r="D113" s="587">
        <v>4</v>
      </c>
      <c r="E113" s="553">
        <v>4</v>
      </c>
      <c r="F113" s="587"/>
      <c r="G113" s="1083">
        <v>4</v>
      </c>
      <c r="H113" s="553">
        <v>4</v>
      </c>
      <c r="I113" s="553">
        <v>4</v>
      </c>
      <c r="J113" s="553">
        <v>4</v>
      </c>
      <c r="K113" s="553">
        <v>4</v>
      </c>
      <c r="L113" s="587"/>
      <c r="M113" s="587"/>
      <c r="N113" s="587" t="s">
        <v>475</v>
      </c>
      <c r="O113" s="553">
        <v>1</v>
      </c>
      <c r="P113" s="553">
        <v>1</v>
      </c>
      <c r="Q113" s="553">
        <v>1</v>
      </c>
      <c r="R113" s="553">
        <v>1</v>
      </c>
      <c r="S113" s="553">
        <v>1</v>
      </c>
      <c r="T113" s="587"/>
      <c r="U113" s="553">
        <v>2</v>
      </c>
      <c r="V113" s="553">
        <v>2</v>
      </c>
      <c r="W113" s="553">
        <v>2</v>
      </c>
      <c r="X113" s="553">
        <v>2</v>
      </c>
      <c r="Y113" s="553" t="s">
        <v>475</v>
      </c>
      <c r="Z113" s="553"/>
      <c r="AA113" s="553"/>
      <c r="AB113" s="553">
        <v>3</v>
      </c>
      <c r="AC113" s="553">
        <v>3</v>
      </c>
      <c r="AD113" s="553">
        <v>3</v>
      </c>
      <c r="AE113" s="553">
        <v>3</v>
      </c>
      <c r="AF113" s="553">
        <v>3</v>
      </c>
      <c r="AG113" s="587"/>
      <c r="AH113" s="651">
        <v>74</v>
      </c>
      <c r="AI113" s="523">
        <v>37</v>
      </c>
    </row>
    <row r="114" spans="1:36" ht="21.95" customHeight="1" x14ac:dyDescent="0.2">
      <c r="A114" s="623"/>
      <c r="B114" s="630"/>
      <c r="C114" s="590"/>
      <c r="D114" s="590"/>
      <c r="E114" s="590"/>
      <c r="F114" s="590"/>
      <c r="G114" s="590"/>
      <c r="H114" s="590"/>
      <c r="I114" s="590"/>
      <c r="J114" s="590"/>
      <c r="K114" s="590"/>
      <c r="L114" s="590"/>
      <c r="M114" s="590"/>
      <c r="N114" s="590"/>
      <c r="O114" s="590"/>
      <c r="P114" s="590"/>
      <c r="Q114" s="590"/>
      <c r="R114" s="590"/>
      <c r="S114" s="590"/>
      <c r="T114" s="590"/>
      <c r="U114" s="590"/>
      <c r="V114" s="590"/>
      <c r="W114" s="590"/>
      <c r="X114" s="590"/>
      <c r="Y114" s="590"/>
      <c r="Z114" s="590"/>
      <c r="AA114" s="590"/>
      <c r="AB114" s="590"/>
      <c r="AC114" s="590"/>
      <c r="AD114" s="590"/>
      <c r="AE114" s="590"/>
      <c r="AF114" s="590"/>
      <c r="AG114" s="590"/>
      <c r="AH114" s="591"/>
      <c r="AI114" s="591"/>
    </row>
    <row r="115" spans="1:36" ht="21.95" customHeight="1" x14ac:dyDescent="0.2">
      <c r="A115" s="311" t="s">
        <v>585</v>
      </c>
      <c r="C115" s="590"/>
      <c r="D115" s="590"/>
      <c r="E115" s="590"/>
      <c r="F115" s="590"/>
      <c r="G115" s="590"/>
      <c r="H115" s="590"/>
      <c r="I115" s="590"/>
      <c r="J115" s="590"/>
      <c r="K115" s="590"/>
      <c r="L115" s="590"/>
      <c r="M115" s="590"/>
      <c r="N115" s="590"/>
      <c r="O115" s="590"/>
      <c r="P115" s="590"/>
      <c r="Q115" s="590"/>
      <c r="R115" s="590"/>
      <c r="S115" s="590"/>
      <c r="T115" s="590"/>
      <c r="U115" s="590"/>
      <c r="V115" s="590"/>
      <c r="W115" s="590"/>
      <c r="X115" s="590"/>
      <c r="Y115" s="590"/>
      <c r="Z115" s="590"/>
      <c r="AA115" s="590"/>
      <c r="AB115" s="590"/>
      <c r="AC115" s="590"/>
      <c r="AD115" s="590"/>
      <c r="AE115" s="590"/>
      <c r="AF115" s="590"/>
      <c r="AG115" s="590"/>
      <c r="AH115" s="591"/>
      <c r="AI115" s="591"/>
      <c r="AJ115" s="360"/>
    </row>
    <row r="116" spans="1:36" ht="21.95" customHeight="1" x14ac:dyDescent="0.2">
      <c r="A116" s="298" t="s">
        <v>468</v>
      </c>
      <c r="B116" s="298"/>
      <c r="C116" s="152"/>
      <c r="D116" s="298" t="s">
        <v>2</v>
      </c>
      <c r="E116" s="185"/>
      <c r="F116" s="152"/>
      <c r="G116" s="298" t="s">
        <v>3</v>
      </c>
      <c r="H116" s="185"/>
      <c r="I116" s="152"/>
      <c r="J116" s="298" t="s">
        <v>4</v>
      </c>
      <c r="K116" s="185"/>
      <c r="L116" s="152"/>
      <c r="M116" s="298" t="s">
        <v>5</v>
      </c>
      <c r="N116" s="185"/>
      <c r="O116" s="152"/>
      <c r="P116" s="298" t="s">
        <v>6</v>
      </c>
      <c r="Q116" s="185"/>
      <c r="R116" s="133"/>
      <c r="S116" s="198" t="s">
        <v>7</v>
      </c>
      <c r="T116" s="185"/>
      <c r="U116" s="152"/>
      <c r="V116" s="298" t="s">
        <v>8</v>
      </c>
      <c r="W116" s="185"/>
      <c r="X116" s="632" t="s">
        <v>10</v>
      </c>
      <c r="Y116" s="185"/>
      <c r="Z116" s="185"/>
      <c r="AA116" s="598"/>
      <c r="AB116" s="482"/>
      <c r="AC116" s="482"/>
      <c r="AD116" s="482"/>
      <c r="AE116" s="482"/>
      <c r="AF116" s="482"/>
      <c r="AG116" s="483"/>
      <c r="AH116" s="360"/>
      <c r="AI116" s="360"/>
      <c r="AJ116" s="360"/>
    </row>
    <row r="117" spans="1:36" ht="21.95" customHeight="1" x14ac:dyDescent="0.2">
      <c r="A117" s="1786">
        <v>8517</v>
      </c>
      <c r="B117" s="501" t="s">
        <v>586</v>
      </c>
      <c r="C117" s="631" t="s">
        <v>124</v>
      </c>
      <c r="D117" s="628"/>
      <c r="E117" s="633"/>
      <c r="F117" s="631" t="s">
        <v>124</v>
      </c>
      <c r="G117" s="634"/>
      <c r="H117" s="633"/>
      <c r="I117" s="121" t="s">
        <v>124</v>
      </c>
      <c r="J117" s="613"/>
      <c r="K117" s="635"/>
      <c r="L117" s="121" t="s">
        <v>124</v>
      </c>
      <c r="M117" s="613"/>
      <c r="N117" s="635"/>
      <c r="O117" s="121" t="s">
        <v>125</v>
      </c>
      <c r="P117" s="613"/>
      <c r="Q117" s="476"/>
      <c r="R117" s="636" t="s">
        <v>28</v>
      </c>
      <c r="S117" s="613"/>
      <c r="T117" s="635"/>
      <c r="U117" s="613" t="s">
        <v>28</v>
      </c>
      <c r="V117" s="613"/>
      <c r="W117" s="476"/>
      <c r="X117" s="144" t="s">
        <v>28</v>
      </c>
      <c r="Y117" s="360"/>
      <c r="Z117" s="360"/>
      <c r="AA117" s="360"/>
      <c r="AB117" s="360"/>
      <c r="AC117" s="360"/>
      <c r="AD117" s="360"/>
      <c r="AE117" s="360"/>
      <c r="AF117" s="360"/>
      <c r="AG117" s="637"/>
      <c r="AH117" s="360"/>
      <c r="AI117" s="360"/>
      <c r="AJ117" s="360"/>
    </row>
    <row r="118" spans="1:36" ht="21.95" customHeight="1" x14ac:dyDescent="0.2">
      <c r="A118" s="638">
        <v>8502</v>
      </c>
      <c r="B118" s="639" t="s">
        <v>587</v>
      </c>
      <c r="C118" s="121" t="s">
        <v>11</v>
      </c>
      <c r="D118" s="613"/>
      <c r="E118" s="476"/>
      <c r="F118" s="121" t="s">
        <v>11</v>
      </c>
      <c r="G118" s="613"/>
      <c r="H118" s="635"/>
      <c r="I118" s="121" t="s">
        <v>11</v>
      </c>
      <c r="J118" s="613"/>
      <c r="K118" s="635"/>
      <c r="L118" s="121" t="s">
        <v>11</v>
      </c>
      <c r="M118" s="613"/>
      <c r="N118" s="635"/>
      <c r="O118" s="121" t="s">
        <v>12</v>
      </c>
      <c r="P118" s="613"/>
      <c r="Q118" s="476"/>
      <c r="R118" s="640"/>
      <c r="S118" s="641"/>
      <c r="T118" s="635"/>
      <c r="U118" s="613"/>
      <c r="V118" s="613"/>
      <c r="W118" s="476"/>
      <c r="X118" s="475"/>
      <c r="Y118" s="482"/>
      <c r="Z118" s="482"/>
      <c r="AA118" s="482"/>
      <c r="AB118" s="482"/>
      <c r="AC118" s="482"/>
      <c r="AD118" s="482"/>
      <c r="AE118" s="482"/>
      <c r="AF118" s="482"/>
      <c r="AG118" s="483"/>
      <c r="AH118" s="360"/>
      <c r="AI118" s="360"/>
      <c r="AJ118" s="360"/>
    </row>
    <row r="119" spans="1:36" ht="21.95" customHeight="1" x14ac:dyDescent="0.2">
      <c r="A119" s="273"/>
      <c r="B119" s="524"/>
      <c r="C119" s="353"/>
      <c r="D119" s="353"/>
      <c r="E119" s="73"/>
      <c r="F119" s="353"/>
      <c r="G119" s="353"/>
      <c r="H119" s="73"/>
      <c r="I119" s="353"/>
      <c r="J119" s="353"/>
      <c r="K119" s="73"/>
      <c r="L119" s="353"/>
      <c r="M119" s="353"/>
      <c r="N119" s="73"/>
      <c r="O119" s="353"/>
      <c r="P119" s="353"/>
      <c r="Q119" s="73"/>
      <c r="R119" s="167"/>
      <c r="S119" s="353"/>
      <c r="T119" s="73"/>
      <c r="U119" s="353"/>
      <c r="V119" s="353"/>
      <c r="W119" s="73"/>
      <c r="X119" s="73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</row>
    <row r="120" spans="1:36" ht="21.95" customHeight="1" x14ac:dyDescent="0.2">
      <c r="A120" s="642"/>
      <c r="B120" s="181" t="s">
        <v>469</v>
      </c>
      <c r="C120" s="177">
        <v>1</v>
      </c>
      <c r="D120" s="177">
        <v>2</v>
      </c>
      <c r="E120" s="497">
        <v>3</v>
      </c>
      <c r="F120" s="497">
        <v>4</v>
      </c>
      <c r="G120" s="177">
        <v>5</v>
      </c>
      <c r="H120" s="177">
        <v>6</v>
      </c>
      <c r="I120" s="177">
        <v>7</v>
      </c>
      <c r="J120" s="177">
        <v>8</v>
      </c>
      <c r="K120" s="177">
        <v>9</v>
      </c>
      <c r="L120" s="497">
        <v>10</v>
      </c>
      <c r="M120" s="497">
        <v>11</v>
      </c>
      <c r="N120" s="177">
        <v>12</v>
      </c>
      <c r="O120" s="177">
        <v>13</v>
      </c>
      <c r="P120" s="177">
        <v>14</v>
      </c>
      <c r="Q120" s="177">
        <v>15</v>
      </c>
      <c r="R120" s="177">
        <v>16</v>
      </c>
      <c r="S120" s="497">
        <v>17</v>
      </c>
      <c r="T120" s="497">
        <v>18</v>
      </c>
      <c r="U120" s="177">
        <v>19</v>
      </c>
      <c r="V120" s="177">
        <v>20</v>
      </c>
      <c r="W120" s="177">
        <v>21</v>
      </c>
      <c r="X120" s="177">
        <v>22</v>
      </c>
      <c r="Y120" s="177">
        <v>23</v>
      </c>
      <c r="Z120" s="497">
        <v>24</v>
      </c>
      <c r="AA120" s="497">
        <v>25</v>
      </c>
      <c r="AB120" s="177">
        <v>26</v>
      </c>
      <c r="AC120" s="177">
        <v>27</v>
      </c>
      <c r="AD120" s="177">
        <v>28</v>
      </c>
      <c r="AE120" s="177">
        <v>29</v>
      </c>
      <c r="AF120" s="177">
        <v>30</v>
      </c>
      <c r="AG120" s="177"/>
      <c r="AH120" s="643" t="s">
        <v>470</v>
      </c>
      <c r="AI120" s="644" t="s">
        <v>471</v>
      </c>
    </row>
    <row r="121" spans="1:36" ht="21.95" customHeight="1" x14ac:dyDescent="0.2">
      <c r="A121" s="645">
        <v>1</v>
      </c>
      <c r="B121" s="552" t="s">
        <v>588</v>
      </c>
      <c r="C121" s="1088" t="s">
        <v>482</v>
      </c>
      <c r="D121" s="1088" t="s">
        <v>482</v>
      </c>
      <c r="E121" s="1088"/>
      <c r="F121" s="1088"/>
      <c r="G121" s="1088" t="s">
        <v>482</v>
      </c>
      <c r="H121" s="1088" t="s">
        <v>482</v>
      </c>
      <c r="I121" s="1088" t="s">
        <v>482</v>
      </c>
      <c r="J121" s="1088" t="s">
        <v>482</v>
      </c>
      <c r="K121" s="1088" t="s">
        <v>482</v>
      </c>
      <c r="L121" s="1088"/>
      <c r="M121" s="1088"/>
      <c r="N121" s="1088" t="s">
        <v>482</v>
      </c>
      <c r="O121" s="1088" t="s">
        <v>482</v>
      </c>
      <c r="P121" s="1088" t="s">
        <v>482</v>
      </c>
      <c r="Q121" s="1088" t="s">
        <v>482</v>
      </c>
      <c r="R121" s="1088" t="s">
        <v>482</v>
      </c>
      <c r="S121" s="1088"/>
      <c r="T121" s="1088"/>
      <c r="U121" s="1088" t="s">
        <v>482</v>
      </c>
      <c r="V121" s="1088" t="s">
        <v>482</v>
      </c>
      <c r="W121" s="1088" t="s">
        <v>482</v>
      </c>
      <c r="X121" s="1088" t="s">
        <v>482</v>
      </c>
      <c r="Y121" s="1088" t="s">
        <v>482</v>
      </c>
      <c r="Z121" s="1088"/>
      <c r="AA121" s="1088"/>
      <c r="AB121" s="1088" t="s">
        <v>482</v>
      </c>
      <c r="AC121" s="1088" t="s">
        <v>482</v>
      </c>
      <c r="AD121" s="1088" t="s">
        <v>482</v>
      </c>
      <c r="AE121" s="1088" t="s">
        <v>482</v>
      </c>
      <c r="AF121" s="1088" t="s">
        <v>482</v>
      </c>
      <c r="AG121" s="503"/>
      <c r="AH121" s="646">
        <v>185</v>
      </c>
      <c r="AI121" s="647">
        <v>37</v>
      </c>
    </row>
    <row r="122" spans="1:36" ht="21.95" customHeight="1" x14ac:dyDescent="0.2">
      <c r="A122" s="645">
        <v>2</v>
      </c>
      <c r="B122" s="552" t="s">
        <v>589</v>
      </c>
      <c r="C122" s="503">
        <v>9</v>
      </c>
      <c r="D122" s="503">
        <v>9</v>
      </c>
      <c r="E122" s="503" t="s">
        <v>511</v>
      </c>
      <c r="F122" s="503" t="s">
        <v>511</v>
      </c>
      <c r="G122" s="503" t="s">
        <v>475</v>
      </c>
      <c r="H122" s="503" t="s">
        <v>475</v>
      </c>
      <c r="I122" s="503" t="s">
        <v>475</v>
      </c>
      <c r="J122" s="503" t="s">
        <v>475</v>
      </c>
      <c r="K122" s="503" t="s">
        <v>475</v>
      </c>
      <c r="L122" s="503"/>
      <c r="M122" s="1452" t="s">
        <v>505</v>
      </c>
      <c r="N122" s="503">
        <v>6</v>
      </c>
      <c r="O122" s="503">
        <v>6</v>
      </c>
      <c r="P122" s="503">
        <v>6</v>
      </c>
      <c r="Q122" s="503">
        <v>6</v>
      </c>
      <c r="R122" s="503" t="s">
        <v>552</v>
      </c>
      <c r="S122" s="503" t="s">
        <v>508</v>
      </c>
      <c r="T122" s="503" t="s">
        <v>504</v>
      </c>
      <c r="U122" s="503" t="s">
        <v>475</v>
      </c>
      <c r="V122" s="503" t="s">
        <v>475</v>
      </c>
      <c r="W122" s="503" t="s">
        <v>475</v>
      </c>
      <c r="X122" s="503" t="s">
        <v>475</v>
      </c>
      <c r="Y122" s="503" t="s">
        <v>475</v>
      </c>
      <c r="Z122" s="503"/>
      <c r="AA122" s="503"/>
      <c r="AB122" s="503">
        <v>5</v>
      </c>
      <c r="AC122" s="503">
        <v>3</v>
      </c>
      <c r="AD122" s="503">
        <v>5</v>
      </c>
      <c r="AE122" s="503">
        <v>5</v>
      </c>
      <c r="AF122" s="503">
        <v>7</v>
      </c>
      <c r="AG122" s="503"/>
      <c r="AH122" s="505">
        <v>74</v>
      </c>
      <c r="AI122" s="506">
        <v>37</v>
      </c>
    </row>
    <row r="123" spans="1:36" ht="21.95" customHeight="1" x14ac:dyDescent="0.2">
      <c r="A123" s="645">
        <v>3</v>
      </c>
      <c r="B123" s="552" t="s">
        <v>590</v>
      </c>
      <c r="C123" s="503">
        <v>4</v>
      </c>
      <c r="D123" s="503">
        <v>4</v>
      </c>
      <c r="E123" s="503"/>
      <c r="F123" s="503"/>
      <c r="G123" s="503" t="s">
        <v>513</v>
      </c>
      <c r="H123" s="503" t="s">
        <v>513</v>
      </c>
      <c r="I123" s="503" t="s">
        <v>513</v>
      </c>
      <c r="J123" s="503" t="s">
        <v>513</v>
      </c>
      <c r="K123" s="503" t="s">
        <v>513</v>
      </c>
      <c r="L123" s="503" t="s">
        <v>550</v>
      </c>
      <c r="M123" s="503" t="s">
        <v>550</v>
      </c>
      <c r="N123" s="503" t="s">
        <v>475</v>
      </c>
      <c r="O123" s="503" t="s">
        <v>475</v>
      </c>
      <c r="P123" s="503" t="s">
        <v>475</v>
      </c>
      <c r="Q123" s="503" t="s">
        <v>475</v>
      </c>
      <c r="R123" s="1104" t="s">
        <v>475</v>
      </c>
      <c r="S123" s="1104"/>
      <c r="T123" s="1104"/>
      <c r="U123" s="1104" t="s">
        <v>551</v>
      </c>
      <c r="V123" s="1104" t="s">
        <v>551</v>
      </c>
      <c r="W123" s="1104" t="s">
        <v>733</v>
      </c>
      <c r="X123" s="503" t="s">
        <v>513</v>
      </c>
      <c r="Y123" s="503" t="s">
        <v>513</v>
      </c>
      <c r="Z123" s="503" t="s">
        <v>484</v>
      </c>
      <c r="AA123" s="503" t="s">
        <v>484</v>
      </c>
      <c r="AB123" s="503">
        <v>8</v>
      </c>
      <c r="AC123" s="503">
        <v>8</v>
      </c>
      <c r="AD123" s="503">
        <v>8</v>
      </c>
      <c r="AE123" s="503" t="s">
        <v>475</v>
      </c>
      <c r="AF123" s="503">
        <v>8</v>
      </c>
      <c r="AG123" s="503"/>
      <c r="AH123" s="505">
        <v>74</v>
      </c>
      <c r="AI123" s="506">
        <v>37</v>
      </c>
    </row>
    <row r="124" spans="1:36" ht="21.95" customHeight="1" x14ac:dyDescent="0.2">
      <c r="A124" s="645">
        <v>4</v>
      </c>
      <c r="B124" s="152" t="s">
        <v>591</v>
      </c>
      <c r="C124" s="1538" t="s">
        <v>482</v>
      </c>
      <c r="D124" s="1538" t="s">
        <v>482</v>
      </c>
      <c r="E124" s="1093"/>
      <c r="F124" s="1093"/>
      <c r="G124" s="1093" t="s">
        <v>482</v>
      </c>
      <c r="H124" s="1093" t="s">
        <v>482</v>
      </c>
      <c r="I124" s="1093" t="s">
        <v>482</v>
      </c>
      <c r="J124" s="1093" t="s">
        <v>482</v>
      </c>
      <c r="K124" s="1093" t="s">
        <v>482</v>
      </c>
      <c r="L124" s="1093"/>
      <c r="M124" s="1093"/>
      <c r="N124" s="1093" t="s">
        <v>482</v>
      </c>
      <c r="O124" s="1093" t="s">
        <v>482</v>
      </c>
      <c r="P124" s="1093" t="s">
        <v>482</v>
      </c>
      <c r="Q124" s="1093" t="s">
        <v>482</v>
      </c>
      <c r="R124" s="1093" t="s">
        <v>482</v>
      </c>
      <c r="S124" s="1093"/>
      <c r="T124" s="1093"/>
      <c r="U124" s="1093" t="s">
        <v>482</v>
      </c>
      <c r="V124" s="1093" t="s">
        <v>482</v>
      </c>
      <c r="W124" s="1093" t="s">
        <v>482</v>
      </c>
      <c r="X124" s="1093" t="s">
        <v>482</v>
      </c>
      <c r="Y124" s="1093" t="s">
        <v>482</v>
      </c>
      <c r="Z124" s="1093"/>
      <c r="AA124" s="1093"/>
      <c r="AB124" s="1093" t="s">
        <v>482</v>
      </c>
      <c r="AC124" s="1093" t="s">
        <v>482</v>
      </c>
      <c r="AD124" s="1093" t="s">
        <v>482</v>
      </c>
      <c r="AE124" s="1093" t="s">
        <v>482</v>
      </c>
      <c r="AF124" s="1093" t="s">
        <v>482</v>
      </c>
      <c r="AG124" s="503"/>
      <c r="AH124" s="505">
        <v>43</v>
      </c>
      <c r="AI124" s="506">
        <v>37</v>
      </c>
    </row>
    <row r="125" spans="1:36" ht="21.95" customHeight="1" x14ac:dyDescent="0.2">
      <c r="A125" s="645">
        <v>7</v>
      </c>
      <c r="B125" s="152" t="s">
        <v>592</v>
      </c>
      <c r="C125" s="1059" t="s">
        <v>482</v>
      </c>
      <c r="D125" s="1059" t="s">
        <v>482</v>
      </c>
      <c r="E125" s="1059"/>
      <c r="F125" s="1059"/>
      <c r="G125" s="1059" t="s">
        <v>482</v>
      </c>
      <c r="H125" s="1059" t="s">
        <v>482</v>
      </c>
      <c r="I125" s="1059" t="s">
        <v>482</v>
      </c>
      <c r="J125" s="1059" t="s">
        <v>482</v>
      </c>
      <c r="K125" s="1059" t="s">
        <v>482</v>
      </c>
      <c r="L125" s="1059" t="s">
        <v>482</v>
      </c>
      <c r="M125" s="1059" t="s">
        <v>482</v>
      </c>
      <c r="N125" s="1059" t="s">
        <v>482</v>
      </c>
      <c r="O125" s="1059" t="s">
        <v>482</v>
      </c>
      <c r="P125" s="1059" t="s">
        <v>482</v>
      </c>
      <c r="Q125" s="1059" t="s">
        <v>482</v>
      </c>
      <c r="R125" s="1059" t="s">
        <v>482</v>
      </c>
      <c r="S125" s="1059" t="s">
        <v>482</v>
      </c>
      <c r="T125" s="1059" t="s">
        <v>482</v>
      </c>
      <c r="U125" s="1058" t="s">
        <v>482</v>
      </c>
      <c r="V125" s="1058" t="s">
        <v>552</v>
      </c>
      <c r="W125" s="1058" t="s">
        <v>482</v>
      </c>
      <c r="X125" s="503" t="s">
        <v>596</v>
      </c>
      <c r="Y125" s="503">
        <v>6</v>
      </c>
      <c r="Z125" s="503" t="s">
        <v>508</v>
      </c>
      <c r="AA125" s="503"/>
      <c r="AB125" s="1092" t="s">
        <v>540</v>
      </c>
      <c r="AC125" s="1092" t="s">
        <v>540</v>
      </c>
      <c r="AD125" s="503">
        <v>1</v>
      </c>
      <c r="AE125" s="503" t="s">
        <v>475</v>
      </c>
      <c r="AF125" s="503" t="s">
        <v>475</v>
      </c>
      <c r="AG125" s="503"/>
      <c r="AH125" s="505">
        <v>71</v>
      </c>
      <c r="AI125" s="506">
        <v>21.5</v>
      </c>
    </row>
    <row r="126" spans="1:36" ht="21.95" customHeight="1" x14ac:dyDescent="0.2">
      <c r="A126" s="645">
        <v>8</v>
      </c>
      <c r="B126" s="552" t="s">
        <v>690</v>
      </c>
      <c r="C126" s="503" t="s">
        <v>522</v>
      </c>
      <c r="D126" s="503" t="s">
        <v>522</v>
      </c>
      <c r="E126" s="503" t="s">
        <v>568</v>
      </c>
      <c r="F126" s="503" t="s">
        <v>569</v>
      </c>
      <c r="G126" s="503" t="s">
        <v>475</v>
      </c>
      <c r="H126" s="503" t="s">
        <v>475</v>
      </c>
      <c r="I126" s="503" t="s">
        <v>475</v>
      </c>
      <c r="J126" s="503" t="s">
        <v>475</v>
      </c>
      <c r="K126" s="503" t="s">
        <v>475</v>
      </c>
      <c r="L126" s="503" t="s">
        <v>484</v>
      </c>
      <c r="M126" s="503" t="s">
        <v>484</v>
      </c>
      <c r="N126" s="1100">
        <v>7</v>
      </c>
      <c r="O126" s="503">
        <v>7</v>
      </c>
      <c r="P126" s="503">
        <v>7</v>
      </c>
      <c r="Q126" s="503" t="s">
        <v>475</v>
      </c>
      <c r="R126" s="1452">
        <v>6</v>
      </c>
      <c r="S126" s="503" t="s">
        <v>505</v>
      </c>
      <c r="T126" s="503"/>
      <c r="U126" s="503" t="s">
        <v>475</v>
      </c>
      <c r="V126" s="503" t="s">
        <v>475</v>
      </c>
      <c r="W126" s="503" t="s">
        <v>522</v>
      </c>
      <c r="X126" s="503" t="s">
        <v>522</v>
      </c>
      <c r="Y126" s="503" t="s">
        <v>522</v>
      </c>
      <c r="Z126" s="503" t="s">
        <v>568</v>
      </c>
      <c r="AA126" s="503" t="s">
        <v>569</v>
      </c>
      <c r="AB126" s="503" t="s">
        <v>475</v>
      </c>
      <c r="AC126" s="503" t="s">
        <v>475</v>
      </c>
      <c r="AD126" s="503" t="s">
        <v>475</v>
      </c>
      <c r="AE126" s="503" t="s">
        <v>475</v>
      </c>
      <c r="AF126" s="503" t="s">
        <v>475</v>
      </c>
      <c r="AG126" s="503"/>
      <c r="AH126" s="648">
        <v>185</v>
      </c>
      <c r="AI126" s="649">
        <v>37</v>
      </c>
    </row>
    <row r="127" spans="1:36" ht="21.95" customHeight="1" x14ac:dyDescent="0.2">
      <c r="A127" s="645">
        <v>7</v>
      </c>
      <c r="B127" s="152" t="s">
        <v>692</v>
      </c>
      <c r="C127" s="503" t="s">
        <v>475</v>
      </c>
      <c r="D127" s="503" t="s">
        <v>475</v>
      </c>
      <c r="E127" s="503"/>
      <c r="F127" s="503"/>
      <c r="G127" s="503" t="s">
        <v>522</v>
      </c>
      <c r="H127" s="503" t="s">
        <v>522</v>
      </c>
      <c r="I127" s="503" t="s">
        <v>475</v>
      </c>
      <c r="J127" s="1092" t="s">
        <v>552</v>
      </c>
      <c r="K127" s="1092" t="s">
        <v>552</v>
      </c>
      <c r="L127" s="503" t="s">
        <v>563</v>
      </c>
      <c r="M127" s="503" t="s">
        <v>564</v>
      </c>
      <c r="N127" s="503" t="s">
        <v>475</v>
      </c>
      <c r="O127" s="503" t="s">
        <v>475</v>
      </c>
      <c r="P127" s="503" t="s">
        <v>475</v>
      </c>
      <c r="Q127" s="503" t="s">
        <v>475</v>
      </c>
      <c r="R127" s="503" t="s">
        <v>475</v>
      </c>
      <c r="S127" s="503" t="s">
        <v>504</v>
      </c>
      <c r="T127" s="503" t="s">
        <v>504</v>
      </c>
      <c r="U127" s="503" t="s">
        <v>475</v>
      </c>
      <c r="V127" s="503" t="s">
        <v>538</v>
      </c>
      <c r="W127" s="1092" t="s">
        <v>540</v>
      </c>
      <c r="X127" s="1078" t="s">
        <v>552</v>
      </c>
      <c r="Y127" s="1078" t="s">
        <v>552</v>
      </c>
      <c r="Z127" s="1078"/>
      <c r="AA127" s="1078"/>
      <c r="AB127" s="1078" t="s">
        <v>482</v>
      </c>
      <c r="AC127" s="1078" t="s">
        <v>482</v>
      </c>
      <c r="AD127" s="1078" t="s">
        <v>482</v>
      </c>
      <c r="AE127" s="1078" t="s">
        <v>482</v>
      </c>
      <c r="AF127" s="1078" t="s">
        <v>482</v>
      </c>
      <c r="AG127" s="503"/>
      <c r="AH127" s="505">
        <v>185</v>
      </c>
      <c r="AI127" s="506">
        <v>37</v>
      </c>
    </row>
    <row r="128" spans="1:36" ht="21.95" customHeight="1" x14ac:dyDescent="0.2">
      <c r="A128" s="645">
        <v>8</v>
      </c>
      <c r="B128" s="133" t="s">
        <v>689</v>
      </c>
      <c r="C128" s="177">
        <v>10</v>
      </c>
      <c r="D128" s="177">
        <v>10</v>
      </c>
      <c r="E128" s="177" t="s">
        <v>507</v>
      </c>
      <c r="F128" s="177" t="s">
        <v>507</v>
      </c>
      <c r="G128" s="177" t="s">
        <v>475</v>
      </c>
      <c r="H128" s="177" t="s">
        <v>475</v>
      </c>
      <c r="I128" s="177" t="s">
        <v>475</v>
      </c>
      <c r="J128" s="177" t="s">
        <v>475</v>
      </c>
      <c r="K128" s="177">
        <v>1</v>
      </c>
      <c r="L128" s="177"/>
      <c r="M128" s="177"/>
      <c r="N128" s="177" t="s">
        <v>482</v>
      </c>
      <c r="O128" s="177" t="s">
        <v>482</v>
      </c>
      <c r="P128" s="177" t="s">
        <v>482</v>
      </c>
      <c r="Q128" s="177">
        <v>4</v>
      </c>
      <c r="R128" s="177">
        <v>4</v>
      </c>
      <c r="S128" s="177"/>
      <c r="T128" s="177" t="s">
        <v>505</v>
      </c>
      <c r="U128" s="177">
        <v>4</v>
      </c>
      <c r="V128" s="177">
        <v>4</v>
      </c>
      <c r="W128" s="177">
        <v>4</v>
      </c>
      <c r="X128" s="177">
        <v>4</v>
      </c>
      <c r="Y128" s="177">
        <v>4</v>
      </c>
      <c r="Z128" s="177"/>
      <c r="AA128" s="177"/>
      <c r="AB128" s="177" t="s">
        <v>482</v>
      </c>
      <c r="AC128" s="177" t="s">
        <v>482</v>
      </c>
      <c r="AD128" s="177" t="s">
        <v>482</v>
      </c>
      <c r="AE128" s="177">
        <v>8</v>
      </c>
      <c r="AF128" s="177" t="s">
        <v>475</v>
      </c>
      <c r="AG128" s="503"/>
      <c r="AH128" s="648">
        <v>185</v>
      </c>
      <c r="AI128" s="649">
        <v>37</v>
      </c>
    </row>
    <row r="129" spans="1:35" ht="21.95" customHeight="1" x14ac:dyDescent="0.2">
      <c r="A129" s="713">
        <v>9</v>
      </c>
      <c r="B129" s="1719" t="s">
        <v>677</v>
      </c>
      <c r="C129" s="1442" t="s">
        <v>475</v>
      </c>
      <c r="D129" s="1442" t="s">
        <v>475</v>
      </c>
      <c r="E129" s="1442"/>
      <c r="F129" s="1442"/>
      <c r="G129" s="1442">
        <v>10</v>
      </c>
      <c r="H129" s="1442">
        <v>10</v>
      </c>
      <c r="I129" s="1442">
        <v>10</v>
      </c>
      <c r="J129" s="1487">
        <v>10</v>
      </c>
      <c r="K129" s="1442">
        <v>10</v>
      </c>
      <c r="L129" s="1442" t="s">
        <v>507</v>
      </c>
      <c r="M129" s="1442" t="s">
        <v>507</v>
      </c>
      <c r="N129" s="1442" t="s">
        <v>475</v>
      </c>
      <c r="O129" s="1442" t="s">
        <v>475</v>
      </c>
      <c r="P129" s="1442">
        <v>9</v>
      </c>
      <c r="Q129" s="1442">
        <v>9</v>
      </c>
      <c r="R129" s="1442">
        <v>8</v>
      </c>
      <c r="S129" s="1442"/>
      <c r="T129" s="1442"/>
      <c r="U129" s="1442">
        <v>7</v>
      </c>
      <c r="V129" s="1442">
        <v>7</v>
      </c>
      <c r="W129" s="1442">
        <v>7</v>
      </c>
      <c r="X129" s="1442">
        <v>7</v>
      </c>
      <c r="Y129" s="1442">
        <v>7</v>
      </c>
      <c r="Z129" s="1442"/>
      <c r="AA129" s="1442"/>
      <c r="AB129" s="1443" t="s">
        <v>522</v>
      </c>
      <c r="AC129" s="1443" t="s">
        <v>522</v>
      </c>
      <c r="AD129" s="1442" t="s">
        <v>475</v>
      </c>
      <c r="AE129" s="1458" t="s">
        <v>688</v>
      </c>
      <c r="AF129" s="1442" t="s">
        <v>596</v>
      </c>
      <c r="AG129" s="737"/>
      <c r="AH129" s="648">
        <v>185</v>
      </c>
      <c r="AI129" s="649">
        <v>37</v>
      </c>
    </row>
    <row r="130" spans="1:35" ht="21.95" customHeight="1" x14ac:dyDescent="0.2">
      <c r="A130" s="1444">
        <v>10</v>
      </c>
      <c r="B130" s="1719"/>
      <c r="C130" s="1442"/>
      <c r="D130" s="1442"/>
      <c r="E130" s="1442"/>
      <c r="F130" s="1442"/>
      <c r="G130" s="1442"/>
      <c r="H130" s="1442"/>
      <c r="I130" s="1442"/>
      <c r="J130" s="1442"/>
      <c r="K130" s="1442"/>
      <c r="L130" s="1442"/>
      <c r="M130" s="1442"/>
      <c r="N130" s="1442"/>
      <c r="O130" s="1442"/>
      <c r="P130" s="1442"/>
      <c r="Q130" s="1442"/>
      <c r="R130" s="1442"/>
      <c r="S130" s="1442"/>
      <c r="T130" s="1442"/>
      <c r="U130" s="1442"/>
      <c r="V130" s="1442"/>
      <c r="W130" s="1442"/>
      <c r="X130" s="1442"/>
      <c r="Y130" s="1442"/>
      <c r="Z130" s="1442"/>
      <c r="AA130" s="1442"/>
      <c r="AB130" s="1442"/>
      <c r="AC130" s="1442"/>
      <c r="AD130" s="1442"/>
      <c r="AE130" s="1442"/>
      <c r="AF130" s="1442"/>
      <c r="AG130" s="1442"/>
      <c r="AH130" s="1113"/>
      <c r="AI130" s="1113"/>
    </row>
    <row r="131" spans="1:35" ht="21.95" customHeight="1" x14ac:dyDescent="0.2">
      <c r="A131" s="652"/>
      <c r="B131" s="1722"/>
      <c r="C131" s="138"/>
      <c r="D131" s="138"/>
      <c r="E131" s="138"/>
      <c r="F131" s="138"/>
      <c r="G131" s="138"/>
      <c r="H131" s="138"/>
      <c r="I131" s="138"/>
      <c r="J131" s="138"/>
      <c r="K131" s="138"/>
      <c r="L131" s="138"/>
      <c r="M131" s="138"/>
      <c r="N131" s="138"/>
      <c r="O131" s="138"/>
      <c r="P131" s="138"/>
      <c r="Q131" s="138"/>
      <c r="R131" s="138"/>
      <c r="S131" s="138"/>
      <c r="T131" s="138"/>
      <c r="U131" s="138"/>
      <c r="V131" s="138"/>
      <c r="W131" s="138"/>
      <c r="X131" s="138"/>
      <c r="Y131" s="138"/>
      <c r="Z131" s="138"/>
      <c r="AA131" s="138"/>
      <c r="AB131" s="138"/>
      <c r="AC131" s="138"/>
      <c r="AD131" s="138"/>
      <c r="AE131" s="138"/>
      <c r="AF131" s="138"/>
      <c r="AG131" s="138"/>
      <c r="AH131" s="591"/>
      <c r="AI131" s="591"/>
    </row>
    <row r="132" spans="1:35" ht="21.95" customHeight="1" x14ac:dyDescent="0.2">
      <c r="A132" s="652"/>
      <c r="B132" s="1722"/>
      <c r="C132" s="138"/>
      <c r="D132" s="138"/>
      <c r="E132" s="138"/>
      <c r="F132" s="138"/>
      <c r="G132" s="138"/>
      <c r="H132" s="138"/>
      <c r="I132" s="138"/>
      <c r="J132" s="138"/>
      <c r="K132" s="138"/>
      <c r="L132" s="138"/>
      <c r="M132" s="138"/>
      <c r="N132" s="138"/>
      <c r="O132" s="138"/>
      <c r="P132" s="138"/>
      <c r="Q132" s="138"/>
      <c r="R132" s="138"/>
      <c r="S132" s="138"/>
      <c r="T132" s="138"/>
      <c r="U132" s="138"/>
      <c r="V132" s="138"/>
      <c r="W132" s="138"/>
      <c r="X132" s="138"/>
      <c r="Y132" s="138"/>
      <c r="Z132" s="138"/>
      <c r="AA132" s="138"/>
      <c r="AB132" s="138"/>
      <c r="AC132" s="138"/>
      <c r="AD132" s="138"/>
      <c r="AE132" s="138"/>
      <c r="AF132" s="138"/>
      <c r="AG132" s="138"/>
      <c r="AH132" s="591"/>
      <c r="AI132" s="591"/>
    </row>
    <row r="133" spans="1:35" ht="21" customHeight="1" x14ac:dyDescent="0.2">
      <c r="B133" t="s">
        <v>678</v>
      </c>
    </row>
    <row r="134" spans="1:35" ht="21" customHeight="1" x14ac:dyDescent="0.2">
      <c r="A134" s="585"/>
      <c r="B134" s="296" t="s">
        <v>469</v>
      </c>
      <c r="C134" s="177">
        <v>1</v>
      </c>
      <c r="D134" s="177">
        <v>2</v>
      </c>
      <c r="E134" s="497">
        <v>3</v>
      </c>
      <c r="F134" s="497">
        <v>4</v>
      </c>
      <c r="G134" s="177">
        <v>5</v>
      </c>
      <c r="H134" s="177">
        <v>6</v>
      </c>
      <c r="I134" s="177">
        <v>7</v>
      </c>
      <c r="J134" s="177">
        <v>8</v>
      </c>
      <c r="K134" s="177">
        <v>9</v>
      </c>
      <c r="L134" s="497">
        <v>10</v>
      </c>
      <c r="M134" s="497">
        <v>11</v>
      </c>
      <c r="N134" s="177">
        <v>12</v>
      </c>
      <c r="O134" s="177">
        <v>13</v>
      </c>
      <c r="P134" s="177">
        <v>14</v>
      </c>
      <c r="Q134" s="177">
        <v>15</v>
      </c>
      <c r="R134" s="177">
        <v>16</v>
      </c>
      <c r="S134" s="497">
        <v>17</v>
      </c>
      <c r="T134" s="497">
        <v>18</v>
      </c>
      <c r="U134" s="177">
        <v>19</v>
      </c>
      <c r="V134" s="177">
        <v>20</v>
      </c>
      <c r="W134" s="177">
        <v>21</v>
      </c>
      <c r="X134" s="177">
        <v>22</v>
      </c>
      <c r="Y134" s="177">
        <v>23</v>
      </c>
      <c r="Z134" s="497">
        <v>24</v>
      </c>
      <c r="AA134" s="497">
        <v>25</v>
      </c>
      <c r="AB134" s="177">
        <v>26</v>
      </c>
      <c r="AC134" s="177">
        <v>27</v>
      </c>
      <c r="AD134" s="177">
        <v>28</v>
      </c>
      <c r="AE134" s="177">
        <v>29</v>
      </c>
      <c r="AF134" s="177">
        <v>30</v>
      </c>
      <c r="AG134" s="177"/>
      <c r="AH134" s="655"/>
    </row>
    <row r="135" spans="1:35" ht="21" customHeight="1" x14ac:dyDescent="0.2">
      <c r="A135" s="585">
        <v>1</v>
      </c>
      <c r="B135" s="318" t="s">
        <v>679</v>
      </c>
      <c r="C135" s="171">
        <v>7</v>
      </c>
      <c r="D135" s="171">
        <v>7</v>
      </c>
      <c r="E135" s="171"/>
      <c r="F135" s="171"/>
      <c r="G135" s="171">
        <v>1</v>
      </c>
      <c r="H135" s="171" t="s">
        <v>484</v>
      </c>
      <c r="I135" s="171" t="s">
        <v>484</v>
      </c>
      <c r="J135" s="171">
        <v>8</v>
      </c>
      <c r="K135" s="171" t="s">
        <v>484</v>
      </c>
      <c r="L135" s="171"/>
      <c r="M135" s="171"/>
      <c r="N135" s="171" t="s">
        <v>484</v>
      </c>
      <c r="O135" s="171" t="s">
        <v>484</v>
      </c>
      <c r="P135" s="171" t="s">
        <v>484</v>
      </c>
      <c r="Q135" s="171">
        <v>6</v>
      </c>
      <c r="R135" s="171" t="s">
        <v>484</v>
      </c>
      <c r="S135" s="171"/>
      <c r="T135" s="171"/>
      <c r="U135" s="177"/>
      <c r="V135" s="177"/>
      <c r="W135" s="177"/>
      <c r="X135" s="177"/>
      <c r="Y135" s="177"/>
      <c r="Z135" s="171"/>
      <c r="AA135" s="171"/>
      <c r="AB135" s="171"/>
      <c r="AC135" s="171" t="s">
        <v>484</v>
      </c>
      <c r="AD135" s="171" t="s">
        <v>484</v>
      </c>
      <c r="AE135" s="171" t="s">
        <v>484</v>
      </c>
      <c r="AF135" s="171" t="s">
        <v>484</v>
      </c>
      <c r="AG135" s="171"/>
      <c r="AH135" s="655"/>
    </row>
    <row r="136" spans="1:35" ht="21" customHeight="1" x14ac:dyDescent="0.2">
      <c r="A136" s="585">
        <v>2</v>
      </c>
      <c r="B136" s="657" t="s">
        <v>680</v>
      </c>
      <c r="C136" s="171" t="s">
        <v>475</v>
      </c>
      <c r="D136" s="171" t="s">
        <v>475</v>
      </c>
      <c r="E136" s="171" t="s">
        <v>550</v>
      </c>
      <c r="F136" s="171" t="s">
        <v>550</v>
      </c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655"/>
    </row>
    <row r="137" spans="1:35" ht="21" customHeight="1" x14ac:dyDescent="0.2">
      <c r="A137" s="585">
        <v>3</v>
      </c>
      <c r="B137" s="552" t="s">
        <v>696</v>
      </c>
      <c r="C137" s="171">
        <v>4</v>
      </c>
      <c r="D137" s="171">
        <v>4</v>
      </c>
      <c r="E137" s="171"/>
      <c r="F137" s="171"/>
      <c r="G137" s="171">
        <v>4</v>
      </c>
      <c r="H137" s="171">
        <v>4</v>
      </c>
      <c r="I137" s="171">
        <v>4</v>
      </c>
      <c r="J137" s="171" t="s">
        <v>475</v>
      </c>
      <c r="K137" s="171" t="s">
        <v>475</v>
      </c>
      <c r="L137" s="171" t="s">
        <v>505</v>
      </c>
      <c r="M137" s="171" t="s">
        <v>505</v>
      </c>
      <c r="N137" s="656">
        <v>7</v>
      </c>
      <c r="O137" s="171">
        <v>7</v>
      </c>
      <c r="P137" s="171">
        <v>7</v>
      </c>
      <c r="Q137" s="171" t="s">
        <v>475</v>
      </c>
      <c r="R137" s="171">
        <v>7</v>
      </c>
      <c r="S137" s="171"/>
      <c r="T137" s="171"/>
      <c r="U137" s="177">
        <v>4</v>
      </c>
      <c r="V137" s="177">
        <v>4</v>
      </c>
      <c r="W137" s="177">
        <v>4</v>
      </c>
      <c r="X137" s="177">
        <v>4</v>
      </c>
      <c r="Y137" s="177">
        <v>4</v>
      </c>
      <c r="Z137" s="171"/>
      <c r="AA137" s="171"/>
      <c r="AB137" s="553">
        <v>3</v>
      </c>
      <c r="AC137" s="553">
        <v>3</v>
      </c>
      <c r="AD137" s="1116">
        <v>3</v>
      </c>
      <c r="AE137" s="1116">
        <v>3</v>
      </c>
      <c r="AF137" s="1116">
        <v>3</v>
      </c>
      <c r="AG137" s="171"/>
      <c r="AH137" s="655"/>
    </row>
    <row r="138" spans="1:35" ht="21" customHeight="1" x14ac:dyDescent="0.2">
      <c r="A138" s="585">
        <v>4</v>
      </c>
      <c r="B138" s="552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656"/>
      <c r="AC138" s="171"/>
      <c r="AD138" s="171"/>
      <c r="AE138" s="171"/>
      <c r="AF138" s="171"/>
      <c r="AG138" s="171"/>
      <c r="AH138" s="655"/>
    </row>
    <row r="139" spans="1:35" ht="21" customHeight="1" x14ac:dyDescent="0.2">
      <c r="A139" s="585">
        <v>5</v>
      </c>
      <c r="B139" s="552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655"/>
    </row>
    <row r="140" spans="1:35" ht="21" customHeight="1" x14ac:dyDescent="0.2">
      <c r="A140" s="585"/>
      <c r="B140" s="318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656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655"/>
    </row>
    <row r="141" spans="1:35" ht="21.95" customHeight="1" x14ac:dyDescent="0.2">
      <c r="A141" s="1" t="s">
        <v>603</v>
      </c>
      <c r="B141" s="273"/>
      <c r="C141" s="138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  <c r="AA141" s="138"/>
      <c r="AB141" s="138"/>
      <c r="AC141" s="138"/>
      <c r="AD141" s="138"/>
      <c r="AE141" s="138"/>
      <c r="AF141" s="138"/>
      <c r="AG141" s="138"/>
    </row>
    <row r="142" spans="1:35" ht="21.95" customHeight="1" x14ac:dyDescent="0.2">
      <c r="A142" s="1"/>
      <c r="B142" s="200" t="s">
        <v>604</v>
      </c>
      <c r="C142" s="7"/>
      <c r="D142" s="530" t="s">
        <v>2</v>
      </c>
      <c r="E142" s="51"/>
      <c r="F142" s="573"/>
      <c r="G142" s="7"/>
      <c r="H142" s="530" t="s">
        <v>3</v>
      </c>
      <c r="I142" s="51"/>
      <c r="J142" s="573"/>
      <c r="K142" s="7"/>
      <c r="L142" s="530" t="s">
        <v>4</v>
      </c>
      <c r="M142" s="51"/>
      <c r="N142" s="573"/>
      <c r="O142" s="7"/>
      <c r="P142" s="530" t="s">
        <v>5</v>
      </c>
      <c r="Q142" s="51"/>
      <c r="R142" s="573"/>
      <c r="S142" s="7"/>
      <c r="T142" s="530" t="s">
        <v>6</v>
      </c>
      <c r="U142" s="51"/>
      <c r="V142" s="573"/>
      <c r="W142" s="7"/>
      <c r="X142" s="530" t="s">
        <v>7</v>
      </c>
      <c r="Y142" s="51"/>
      <c r="Z142" s="573"/>
      <c r="AA142" s="7"/>
      <c r="AB142" s="530" t="s">
        <v>8</v>
      </c>
      <c r="AC142" s="51"/>
      <c r="AD142" s="51"/>
      <c r="AE142" s="424" t="s">
        <v>10</v>
      </c>
      <c r="AF142" s="51"/>
      <c r="AG142" s="51"/>
      <c r="AH142" s="51"/>
      <c r="AI142" s="531"/>
    </row>
    <row r="143" spans="1:35" ht="21.95" customHeight="1" x14ac:dyDescent="0.2">
      <c r="A143" s="1"/>
      <c r="B143" s="305">
        <v>3701</v>
      </c>
      <c r="C143" s="641" t="s">
        <v>124</v>
      </c>
      <c r="D143" s="658"/>
      <c r="E143" s="55"/>
      <c r="F143" s="580"/>
      <c r="G143" s="641" t="s">
        <v>124</v>
      </c>
      <c r="H143" s="659"/>
      <c r="I143" s="55"/>
      <c r="J143" s="580"/>
      <c r="K143" s="641" t="s">
        <v>124</v>
      </c>
      <c r="L143" s="659"/>
      <c r="M143" s="55"/>
      <c r="N143" s="580"/>
      <c r="O143" s="641" t="s">
        <v>124</v>
      </c>
      <c r="P143" s="659"/>
      <c r="Q143" s="55"/>
      <c r="R143" s="580"/>
      <c r="S143" s="14" t="s">
        <v>125</v>
      </c>
      <c r="T143" s="659"/>
      <c r="U143" s="55"/>
      <c r="V143" s="580"/>
      <c r="W143" s="14"/>
      <c r="X143" s="659"/>
      <c r="Y143" s="55"/>
      <c r="Z143" s="580"/>
      <c r="AA143" s="14"/>
      <c r="AB143" s="659"/>
      <c r="AC143" s="55"/>
      <c r="AD143" s="55"/>
      <c r="AE143" s="660"/>
      <c r="AF143" s="55"/>
      <c r="AG143" s="55"/>
      <c r="AH143" s="55"/>
      <c r="AI143" s="661"/>
    </row>
    <row r="144" spans="1:35" ht="21.95" customHeight="1" x14ac:dyDescent="0.2">
      <c r="B144" s="662">
        <v>3700</v>
      </c>
      <c r="C144" s="121" t="s">
        <v>534</v>
      </c>
      <c r="D144" s="156"/>
      <c r="E144" s="156"/>
      <c r="F144" s="612"/>
      <c r="G144" s="121" t="s">
        <v>534</v>
      </c>
      <c r="H144" s="156"/>
      <c r="I144" s="156"/>
      <c r="J144" s="612"/>
      <c r="K144" s="121" t="s">
        <v>534</v>
      </c>
      <c r="L144" s="156"/>
      <c r="M144" s="156"/>
      <c r="N144" s="612"/>
      <c r="O144" s="121" t="s">
        <v>534</v>
      </c>
      <c r="P144" s="156"/>
      <c r="Q144" s="156"/>
      <c r="R144" s="612"/>
      <c r="S144" s="121" t="s">
        <v>116</v>
      </c>
      <c r="T144" s="156"/>
      <c r="U144" s="156"/>
      <c r="V144" s="612"/>
      <c r="W144" s="121"/>
      <c r="X144" s="156"/>
      <c r="Y144" s="156"/>
      <c r="Z144" s="612"/>
      <c r="AA144" s="611"/>
      <c r="AB144" s="156"/>
      <c r="AC144" s="156"/>
      <c r="AD144" s="613"/>
      <c r="AE144" s="663"/>
      <c r="AF144" s="156"/>
      <c r="AG144" s="156" t="s">
        <v>28</v>
      </c>
      <c r="AH144" s="613"/>
      <c r="AI144" s="489"/>
    </row>
    <row r="145" spans="1:35" ht="21.95" customHeight="1" x14ac:dyDescent="0.2">
      <c r="A145" s="1"/>
      <c r="B145" s="129" t="s">
        <v>605</v>
      </c>
      <c r="C145" s="611" t="s">
        <v>606</v>
      </c>
      <c r="D145" s="156"/>
      <c r="E145" s="156"/>
      <c r="F145" s="612"/>
      <c r="G145" s="611" t="s">
        <v>606</v>
      </c>
      <c r="H145" s="156"/>
      <c r="I145" s="156"/>
      <c r="J145" s="612"/>
      <c r="K145" s="611" t="s">
        <v>606</v>
      </c>
      <c r="L145" s="156"/>
      <c r="M145" s="156"/>
      <c r="N145" s="612"/>
      <c r="O145" s="611" t="s">
        <v>606</v>
      </c>
      <c r="P145" s="156"/>
      <c r="Q145" s="156"/>
      <c r="R145" s="612"/>
      <c r="S145" s="611" t="s">
        <v>607</v>
      </c>
      <c r="T145" s="156"/>
      <c r="U145" s="156"/>
      <c r="V145" s="612"/>
      <c r="W145" s="121"/>
      <c r="X145" s="156"/>
      <c r="Y145" s="156"/>
      <c r="Z145" s="612"/>
      <c r="AA145" s="121"/>
      <c r="AB145" s="156"/>
      <c r="AC145" s="156"/>
      <c r="AD145" s="613"/>
      <c r="AE145" s="121"/>
      <c r="AF145" s="156"/>
      <c r="AG145" s="156"/>
      <c r="AH145" s="613"/>
      <c r="AI145" s="489"/>
    </row>
    <row r="146" spans="1:35" ht="21.95" customHeight="1" x14ac:dyDescent="0.2">
      <c r="A146" s="1"/>
      <c r="B146" s="664">
        <v>8500</v>
      </c>
      <c r="C146" s="665" t="s">
        <v>264</v>
      </c>
      <c r="D146" s="55"/>
      <c r="E146" s="55"/>
      <c r="F146" s="666"/>
      <c r="G146" s="665" t="s">
        <v>264</v>
      </c>
      <c r="H146" s="55"/>
      <c r="I146" s="55"/>
      <c r="J146" s="666"/>
      <c r="K146" s="665" t="s">
        <v>264</v>
      </c>
      <c r="L146" s="55"/>
      <c r="M146" s="55"/>
      <c r="N146" s="666"/>
      <c r="O146" s="665" t="s">
        <v>264</v>
      </c>
      <c r="P146" s="55"/>
      <c r="Q146" s="55"/>
      <c r="R146" s="666"/>
      <c r="S146" s="665" t="s">
        <v>265</v>
      </c>
      <c r="T146" s="55"/>
      <c r="U146" s="55"/>
      <c r="V146" s="666"/>
      <c r="W146" s="665"/>
      <c r="X146" s="55"/>
      <c r="Y146" s="55"/>
      <c r="Z146" s="666"/>
      <c r="AA146" s="665"/>
      <c r="AB146" s="55"/>
      <c r="AC146" s="55"/>
      <c r="AD146" s="666"/>
      <c r="AE146" s="665"/>
      <c r="AF146" s="55"/>
      <c r="AG146" s="55"/>
      <c r="AH146" s="641"/>
      <c r="AI146" s="661"/>
    </row>
    <row r="147" spans="1:35" ht="21.95" customHeight="1" x14ac:dyDescent="0.2">
      <c r="A147" s="1"/>
      <c r="B147" s="9">
        <v>8514</v>
      </c>
      <c r="C147" s="667" t="s">
        <v>264</v>
      </c>
      <c r="D147" s="668"/>
      <c r="E147" s="669"/>
      <c r="F147" s="670"/>
      <c r="G147" s="667" t="s">
        <v>264</v>
      </c>
      <c r="H147" s="668"/>
      <c r="I147" s="669"/>
      <c r="J147" s="670"/>
      <c r="K147" s="667" t="s">
        <v>264</v>
      </c>
      <c r="L147" s="668"/>
      <c r="M147" s="669"/>
      <c r="N147" s="670"/>
      <c r="O147" s="667" t="s">
        <v>682</v>
      </c>
      <c r="P147" s="668"/>
      <c r="Q147" s="669"/>
      <c r="R147" s="670"/>
      <c r="S147" s="667" t="s">
        <v>265</v>
      </c>
      <c r="T147" s="668"/>
      <c r="U147" s="669"/>
      <c r="V147" s="670"/>
      <c r="W147" s="14"/>
      <c r="X147" s="659"/>
      <c r="Y147" s="55"/>
      <c r="Z147" s="580"/>
      <c r="AA147" s="14"/>
      <c r="AB147" s="659"/>
      <c r="AC147" s="55"/>
      <c r="AD147" s="55"/>
      <c r="AE147" s="660"/>
      <c r="AF147" s="55"/>
      <c r="AG147" s="55"/>
      <c r="AH147" s="55"/>
      <c r="AI147" s="661"/>
    </row>
    <row r="148" spans="1:35" ht="21.95" customHeight="1" x14ac:dyDescent="0.2">
      <c r="A148" s="1"/>
      <c r="B148" s="671">
        <v>8521</v>
      </c>
      <c r="C148" s="57" t="s">
        <v>534</v>
      </c>
      <c r="D148" s="53"/>
      <c r="E148" s="53"/>
      <c r="F148" s="619"/>
      <c r="G148" s="57" t="s">
        <v>534</v>
      </c>
      <c r="H148" s="53"/>
      <c r="I148" s="53"/>
      <c r="J148" s="619"/>
      <c r="K148" s="57" t="s">
        <v>534</v>
      </c>
      <c r="L148" s="53"/>
      <c r="M148" s="53"/>
      <c r="N148" s="619"/>
      <c r="O148" s="57" t="s">
        <v>534</v>
      </c>
      <c r="P148" s="53"/>
      <c r="Q148" s="53"/>
      <c r="R148" s="619"/>
      <c r="S148" s="57" t="s">
        <v>116</v>
      </c>
      <c r="T148" s="53"/>
      <c r="U148" s="53"/>
      <c r="V148" s="619"/>
      <c r="W148" s="57"/>
      <c r="X148" s="53"/>
      <c r="Y148" s="53"/>
      <c r="Z148" s="619"/>
      <c r="AA148" s="618"/>
      <c r="AB148" s="53"/>
      <c r="AC148" s="53"/>
      <c r="AD148" s="620"/>
      <c r="AE148" s="672"/>
      <c r="AF148" s="53"/>
      <c r="AG148" s="53" t="s">
        <v>28</v>
      </c>
      <c r="AH148" s="620"/>
      <c r="AI148" s="544"/>
    </row>
    <row r="149" spans="1:35" ht="21.95" customHeight="1" x14ac:dyDescent="0.2">
      <c r="A149" s="1"/>
      <c r="B149" s="72"/>
      <c r="C149" s="311"/>
      <c r="F149" s="353"/>
      <c r="G149" s="311"/>
      <c r="J149" s="353"/>
      <c r="K149" s="311"/>
      <c r="N149" s="353"/>
      <c r="O149" s="311"/>
      <c r="R149" s="353"/>
      <c r="S149" s="311"/>
      <c r="V149" s="353"/>
      <c r="W149" s="353"/>
      <c r="Z149" s="353"/>
      <c r="AA149" s="353"/>
      <c r="AD149" s="353"/>
      <c r="AE149" s="353"/>
      <c r="AH149" s="353"/>
    </row>
    <row r="150" spans="1:35" ht="21.95" customHeight="1" x14ac:dyDescent="0.2">
      <c r="A150" s="1" t="s">
        <v>659</v>
      </c>
      <c r="B150" s="72"/>
      <c r="C150" s="311"/>
      <c r="F150" s="353"/>
      <c r="G150" s="311"/>
      <c r="J150" s="353"/>
      <c r="K150" s="311"/>
      <c r="N150" s="353"/>
      <c r="O150" s="311"/>
      <c r="R150" s="353"/>
      <c r="S150" s="311"/>
      <c r="V150" s="353"/>
      <c r="W150" s="353"/>
      <c r="Z150" s="353"/>
      <c r="AA150" s="353"/>
      <c r="AD150" s="353"/>
      <c r="AE150" s="353"/>
      <c r="AH150" s="353"/>
    </row>
    <row r="151" spans="1:35" ht="21.95" customHeight="1" x14ac:dyDescent="0.2">
      <c r="A151" s="585"/>
      <c r="B151" s="296" t="s">
        <v>469</v>
      </c>
      <c r="C151" s="177">
        <v>1</v>
      </c>
      <c r="D151" s="177">
        <v>2</v>
      </c>
      <c r="E151" s="497">
        <v>3</v>
      </c>
      <c r="F151" s="497">
        <v>4</v>
      </c>
      <c r="G151" s="177">
        <v>5</v>
      </c>
      <c r="H151" s="177">
        <v>6</v>
      </c>
      <c r="I151" s="177">
        <v>7</v>
      </c>
      <c r="J151" s="177">
        <v>8</v>
      </c>
      <c r="K151" s="177">
        <v>9</v>
      </c>
      <c r="L151" s="497">
        <v>10</v>
      </c>
      <c r="M151" s="497">
        <v>11</v>
      </c>
      <c r="N151" s="177">
        <v>12</v>
      </c>
      <c r="O151" s="177">
        <v>13</v>
      </c>
      <c r="P151" s="177">
        <v>14</v>
      </c>
      <c r="Q151" s="177">
        <v>15</v>
      </c>
      <c r="R151" s="177">
        <v>16</v>
      </c>
      <c r="S151" s="497">
        <v>17</v>
      </c>
      <c r="T151" s="497">
        <v>18</v>
      </c>
      <c r="U151" s="177">
        <v>19</v>
      </c>
      <c r="V151" s="177">
        <v>20</v>
      </c>
      <c r="W151" s="177">
        <v>21</v>
      </c>
      <c r="X151" s="177">
        <v>22</v>
      </c>
      <c r="Y151" s="177">
        <v>23</v>
      </c>
      <c r="Z151" s="497">
        <v>24</v>
      </c>
      <c r="AA151" s="497">
        <v>25</v>
      </c>
      <c r="AB151" s="177">
        <v>26</v>
      </c>
      <c r="AC151" s="177">
        <v>27</v>
      </c>
      <c r="AD151" s="177">
        <v>28</v>
      </c>
      <c r="AE151" s="177">
        <v>29</v>
      </c>
      <c r="AF151" s="177">
        <v>30</v>
      </c>
      <c r="AG151" s="177"/>
      <c r="AH151" s="499" t="s">
        <v>470</v>
      </c>
      <c r="AI151" s="500" t="s">
        <v>471</v>
      </c>
    </row>
    <row r="152" spans="1:35" ht="21.95" customHeight="1" x14ac:dyDescent="0.2">
      <c r="A152" s="585"/>
      <c r="B152" s="673" t="s">
        <v>610</v>
      </c>
      <c r="C152" s="503" t="s">
        <v>482</v>
      </c>
      <c r="D152" s="503" t="s">
        <v>482</v>
      </c>
      <c r="E152" s="503"/>
      <c r="F152" s="503"/>
      <c r="G152" s="503" t="s">
        <v>482</v>
      </c>
      <c r="H152" s="503" t="s">
        <v>482</v>
      </c>
      <c r="I152" s="503" t="s">
        <v>482</v>
      </c>
      <c r="J152" s="503" t="s">
        <v>482</v>
      </c>
      <c r="K152" s="503" t="s">
        <v>482</v>
      </c>
      <c r="L152" s="503"/>
      <c r="M152" s="503"/>
      <c r="N152" s="503" t="s">
        <v>482</v>
      </c>
      <c r="O152" s="503" t="s">
        <v>482</v>
      </c>
      <c r="P152" s="503" t="s">
        <v>482</v>
      </c>
      <c r="Q152" s="503" t="s">
        <v>482</v>
      </c>
      <c r="R152" s="503" t="s">
        <v>482</v>
      </c>
      <c r="S152" s="503"/>
      <c r="T152" s="503"/>
      <c r="U152" s="503" t="s">
        <v>482</v>
      </c>
      <c r="V152" s="503" t="s">
        <v>482</v>
      </c>
      <c r="W152" s="503" t="s">
        <v>482</v>
      </c>
      <c r="X152" s="503" t="s">
        <v>482</v>
      </c>
      <c r="Y152" s="503" t="s">
        <v>482</v>
      </c>
      <c r="Z152" s="503"/>
      <c r="AA152" s="503"/>
      <c r="AB152" s="503" t="s">
        <v>482</v>
      </c>
      <c r="AC152" s="503" t="s">
        <v>482</v>
      </c>
      <c r="AD152" s="503" t="s">
        <v>482</v>
      </c>
      <c r="AE152" s="503" t="s">
        <v>482</v>
      </c>
      <c r="AF152" s="503" t="s">
        <v>482</v>
      </c>
      <c r="AG152" s="177"/>
      <c r="AH152" s="703">
        <v>74</v>
      </c>
      <c r="AI152" s="704">
        <v>37</v>
      </c>
    </row>
    <row r="153" spans="1:35" ht="21.95" customHeight="1" x14ac:dyDescent="0.2">
      <c r="A153" s="674">
        <v>8500</v>
      </c>
      <c r="B153" s="675" t="s">
        <v>156</v>
      </c>
      <c r="C153" s="503" t="s">
        <v>482</v>
      </c>
      <c r="D153" s="503" t="s">
        <v>482</v>
      </c>
      <c r="E153" s="503"/>
      <c r="F153" s="503"/>
      <c r="G153" s="503" t="s">
        <v>482</v>
      </c>
      <c r="H153" s="503" t="s">
        <v>482</v>
      </c>
      <c r="I153" s="503" t="s">
        <v>482</v>
      </c>
      <c r="J153" s="503" t="s">
        <v>482</v>
      </c>
      <c r="K153" s="503" t="s">
        <v>482</v>
      </c>
      <c r="L153" s="503"/>
      <c r="M153" s="503"/>
      <c r="N153" s="503" t="s">
        <v>482</v>
      </c>
      <c r="O153" s="503" t="s">
        <v>482</v>
      </c>
      <c r="P153" s="503" t="s">
        <v>482</v>
      </c>
      <c r="Q153" s="503" t="s">
        <v>482</v>
      </c>
      <c r="R153" s="503" t="s">
        <v>482</v>
      </c>
      <c r="S153" s="503"/>
      <c r="T153" s="503"/>
      <c r="U153" s="1058" t="s">
        <v>482</v>
      </c>
      <c r="V153" s="1058" t="s">
        <v>482</v>
      </c>
      <c r="W153" s="1058" t="s">
        <v>482</v>
      </c>
      <c r="X153" s="1058" t="s">
        <v>482</v>
      </c>
      <c r="Y153" s="1058" t="s">
        <v>482</v>
      </c>
      <c r="Z153" s="503"/>
      <c r="AA153" s="503"/>
      <c r="AB153" s="503" t="s">
        <v>482</v>
      </c>
      <c r="AC153" s="503" t="s">
        <v>482</v>
      </c>
      <c r="AD153" s="503" t="s">
        <v>482</v>
      </c>
      <c r="AE153" s="503" t="s">
        <v>482</v>
      </c>
      <c r="AF153" s="503" t="s">
        <v>482</v>
      </c>
      <c r="AG153" s="695"/>
      <c r="AH153" s="648">
        <v>37</v>
      </c>
      <c r="AI153" s="649">
        <v>37</v>
      </c>
    </row>
    <row r="154" spans="1:35" ht="21" customHeight="1" x14ac:dyDescent="0.2">
      <c r="A154" s="441"/>
      <c r="B154" s="673" t="s">
        <v>611</v>
      </c>
      <c r="C154" s="1723" t="s">
        <v>482</v>
      </c>
      <c r="D154" s="1723" t="s">
        <v>617</v>
      </c>
      <c r="E154" s="1715"/>
      <c r="F154" s="1715"/>
      <c r="G154" s="503" t="s">
        <v>482</v>
      </c>
      <c r="H154" s="503" t="s">
        <v>482</v>
      </c>
      <c r="I154" s="503" t="s">
        <v>482</v>
      </c>
      <c r="J154" s="503" t="s">
        <v>482</v>
      </c>
      <c r="K154" s="503" t="s">
        <v>482</v>
      </c>
      <c r="L154" s="503"/>
      <c r="M154" s="503"/>
      <c r="N154" s="503" t="s">
        <v>482</v>
      </c>
      <c r="O154" s="503" t="s">
        <v>482</v>
      </c>
      <c r="P154" s="503" t="s">
        <v>482</v>
      </c>
      <c r="Q154" s="503" t="s">
        <v>482</v>
      </c>
      <c r="R154" s="503" t="s">
        <v>482</v>
      </c>
      <c r="S154" s="503"/>
      <c r="T154" s="503"/>
      <c r="U154" s="503" t="s">
        <v>482</v>
      </c>
      <c r="V154" s="503" t="s">
        <v>482</v>
      </c>
      <c r="W154" s="503" t="s">
        <v>482</v>
      </c>
      <c r="X154" s="503" t="s">
        <v>482</v>
      </c>
      <c r="Y154" s="503" t="s">
        <v>482</v>
      </c>
      <c r="Z154" s="503"/>
      <c r="AA154" s="503"/>
      <c r="AB154" s="1059" t="s">
        <v>482</v>
      </c>
      <c r="AC154" s="1059" t="s">
        <v>482</v>
      </c>
      <c r="AD154" s="1059" t="s">
        <v>482</v>
      </c>
      <c r="AE154" s="1059" t="s">
        <v>482</v>
      </c>
      <c r="AF154" s="1059" t="s">
        <v>482</v>
      </c>
      <c r="AG154" s="650"/>
      <c r="AH154" s="648">
        <v>104</v>
      </c>
      <c r="AI154" s="649">
        <v>37</v>
      </c>
    </row>
    <row r="155" spans="1:35" ht="21" customHeight="1" x14ac:dyDescent="0.2">
      <c r="A155" s="441"/>
      <c r="B155" s="673" t="s">
        <v>613</v>
      </c>
      <c r="C155" s="503" t="s">
        <v>482</v>
      </c>
      <c r="D155" s="503" t="s">
        <v>482</v>
      </c>
      <c r="E155" s="503"/>
      <c r="F155" s="503"/>
      <c r="G155" s="503" t="s">
        <v>482</v>
      </c>
      <c r="H155" s="503" t="s">
        <v>482</v>
      </c>
      <c r="I155" s="503" t="s">
        <v>482</v>
      </c>
      <c r="J155" s="503" t="s">
        <v>482</v>
      </c>
      <c r="K155" s="503" t="s">
        <v>482</v>
      </c>
      <c r="L155" s="503"/>
      <c r="M155" s="503"/>
      <c r="N155" s="503" t="s">
        <v>482</v>
      </c>
      <c r="O155" s="503" t="s">
        <v>482</v>
      </c>
      <c r="P155" s="503" t="s">
        <v>482</v>
      </c>
      <c r="Q155" s="503" t="s">
        <v>482</v>
      </c>
      <c r="R155" s="503" t="s">
        <v>482</v>
      </c>
      <c r="S155" s="503"/>
      <c r="T155" s="503"/>
      <c r="U155" s="503" t="s">
        <v>482</v>
      </c>
      <c r="V155" s="503" t="s">
        <v>482</v>
      </c>
      <c r="W155" s="503" t="s">
        <v>482</v>
      </c>
      <c r="X155" s="503" t="s">
        <v>482</v>
      </c>
      <c r="Y155" s="503" t="s">
        <v>482</v>
      </c>
      <c r="Z155" s="503"/>
      <c r="AA155" s="503"/>
      <c r="AB155" s="503" t="s">
        <v>482</v>
      </c>
      <c r="AC155" s="503" t="s">
        <v>482</v>
      </c>
      <c r="AD155" s="503" t="s">
        <v>482</v>
      </c>
      <c r="AE155" s="503" t="s">
        <v>482</v>
      </c>
      <c r="AF155" s="503" t="s">
        <v>482</v>
      </c>
      <c r="AG155" s="650"/>
      <c r="AH155" s="648">
        <v>37</v>
      </c>
      <c r="AI155" s="649">
        <v>37</v>
      </c>
    </row>
    <row r="156" spans="1:35" ht="21" customHeight="1" x14ac:dyDescent="0.2">
      <c r="A156" s="441">
        <v>8521</v>
      </c>
      <c r="B156" s="673" t="s">
        <v>614</v>
      </c>
      <c r="C156" s="503" t="s">
        <v>482</v>
      </c>
      <c r="D156" s="503" t="s">
        <v>482</v>
      </c>
      <c r="E156" s="503"/>
      <c r="F156" s="503"/>
      <c r="G156" s="503" t="s">
        <v>482</v>
      </c>
      <c r="H156" s="503" t="s">
        <v>482</v>
      </c>
      <c r="I156" s="503" t="s">
        <v>482</v>
      </c>
      <c r="J156" s="503" t="s">
        <v>482</v>
      </c>
      <c r="K156" s="503" t="s">
        <v>482</v>
      </c>
      <c r="L156" s="503"/>
      <c r="M156" s="503"/>
      <c r="N156" s="503" t="s">
        <v>482</v>
      </c>
      <c r="O156" s="503" t="s">
        <v>482</v>
      </c>
      <c r="P156" s="503" t="s">
        <v>482</v>
      </c>
      <c r="Q156" s="503" t="s">
        <v>482</v>
      </c>
      <c r="R156" s="503" t="s">
        <v>482</v>
      </c>
      <c r="S156" s="503"/>
      <c r="T156" s="503"/>
      <c r="U156" s="503" t="s">
        <v>482</v>
      </c>
      <c r="V156" s="503" t="s">
        <v>482</v>
      </c>
      <c r="W156" s="503" t="s">
        <v>482</v>
      </c>
      <c r="X156" s="503" t="s">
        <v>482</v>
      </c>
      <c r="Y156" s="503" t="s">
        <v>482</v>
      </c>
      <c r="Z156" s="503"/>
      <c r="AA156" s="503"/>
      <c r="AB156" s="503" t="s">
        <v>482</v>
      </c>
      <c r="AC156" s="503" t="s">
        <v>482</v>
      </c>
      <c r="AD156" s="503" t="s">
        <v>482</v>
      </c>
      <c r="AE156" s="503" t="s">
        <v>482</v>
      </c>
      <c r="AF156" s="503" t="s">
        <v>482</v>
      </c>
      <c r="AG156" s="650"/>
      <c r="AH156" s="648">
        <v>88</v>
      </c>
      <c r="AI156" s="649">
        <v>37</v>
      </c>
    </row>
    <row r="157" spans="1:35" ht="21" customHeight="1" x14ac:dyDescent="0.2">
      <c r="A157" s="441"/>
      <c r="B157" s="676" t="s">
        <v>615</v>
      </c>
      <c r="C157" s="1104" t="s">
        <v>482</v>
      </c>
      <c r="D157" s="1104" t="s">
        <v>617</v>
      </c>
      <c r="E157" s="503"/>
      <c r="F157" s="503"/>
      <c r="G157" s="503" t="s">
        <v>482</v>
      </c>
      <c r="H157" s="503" t="s">
        <v>482</v>
      </c>
      <c r="I157" s="503" t="s">
        <v>482</v>
      </c>
      <c r="J157" s="503" t="s">
        <v>482</v>
      </c>
      <c r="K157" s="503" t="s">
        <v>482</v>
      </c>
      <c r="L157" s="503"/>
      <c r="M157" s="503"/>
      <c r="N157" s="503" t="s">
        <v>482</v>
      </c>
      <c r="O157" s="503" t="s">
        <v>482</v>
      </c>
      <c r="P157" s="503" t="s">
        <v>482</v>
      </c>
      <c r="Q157" s="503" t="s">
        <v>482</v>
      </c>
      <c r="R157" s="503" t="s">
        <v>482</v>
      </c>
      <c r="S157" s="503"/>
      <c r="T157" s="503"/>
      <c r="U157" s="503" t="s">
        <v>482</v>
      </c>
      <c r="V157" s="521" t="s">
        <v>552</v>
      </c>
      <c r="W157" s="503" t="s">
        <v>482</v>
      </c>
      <c r="X157" s="503" t="s">
        <v>482</v>
      </c>
      <c r="Y157" s="1058" t="s">
        <v>482</v>
      </c>
      <c r="Z157" s="503"/>
      <c r="AA157" s="503"/>
      <c r="AB157" s="503" t="s">
        <v>482</v>
      </c>
      <c r="AC157" s="503" t="s">
        <v>482</v>
      </c>
      <c r="AD157" s="503" t="s">
        <v>482</v>
      </c>
      <c r="AE157" s="503" t="s">
        <v>482</v>
      </c>
      <c r="AF157" s="503" t="s">
        <v>482</v>
      </c>
      <c r="AG157" s="650"/>
      <c r="AH157" s="648">
        <v>59</v>
      </c>
      <c r="AI157" s="649">
        <v>37</v>
      </c>
    </row>
    <row r="158" spans="1:35" ht="21" customHeight="1" x14ac:dyDescent="0.2">
      <c r="A158" s="441">
        <v>8514</v>
      </c>
      <c r="B158" s="673" t="s">
        <v>433</v>
      </c>
      <c r="C158" s="503" t="s">
        <v>482</v>
      </c>
      <c r="D158" s="503" t="s">
        <v>482</v>
      </c>
      <c r="E158" s="503"/>
      <c r="F158" s="503"/>
      <c r="G158" s="503" t="s">
        <v>482</v>
      </c>
      <c r="H158" s="503" t="s">
        <v>482</v>
      </c>
      <c r="I158" s="503" t="s">
        <v>482</v>
      </c>
      <c r="J158" s="1058" t="s">
        <v>482</v>
      </c>
      <c r="K158" s="1058" t="s">
        <v>482</v>
      </c>
      <c r="L158" s="503"/>
      <c r="M158" s="503"/>
      <c r="N158" s="503" t="s">
        <v>482</v>
      </c>
      <c r="O158" s="503" t="s">
        <v>482</v>
      </c>
      <c r="P158" s="503" t="s">
        <v>482</v>
      </c>
      <c r="Q158" s="503" t="s">
        <v>482</v>
      </c>
      <c r="R158" s="503" t="s">
        <v>482</v>
      </c>
      <c r="S158" s="503"/>
      <c r="T158" s="503"/>
      <c r="U158" s="503" t="s">
        <v>482</v>
      </c>
      <c r="V158" s="503" t="s">
        <v>482</v>
      </c>
      <c r="W158" s="503" t="s">
        <v>482</v>
      </c>
      <c r="X158" s="1058" t="s">
        <v>482</v>
      </c>
      <c r="Y158" s="1058" t="s">
        <v>482</v>
      </c>
      <c r="Z158" s="503"/>
      <c r="AA158" s="503"/>
      <c r="AB158" s="1058" t="s">
        <v>482</v>
      </c>
      <c r="AC158" s="503" t="s">
        <v>482</v>
      </c>
      <c r="AD158" s="503" t="s">
        <v>482</v>
      </c>
      <c r="AE158" s="503" t="s">
        <v>482</v>
      </c>
      <c r="AF158" s="503" t="s">
        <v>482</v>
      </c>
      <c r="AG158" s="503"/>
      <c r="AH158" s="648">
        <v>72</v>
      </c>
      <c r="AI158" s="649">
        <v>37</v>
      </c>
    </row>
    <row r="159" spans="1:35" ht="21.95" customHeight="1" x14ac:dyDescent="0.2">
      <c r="A159" s="441">
        <v>3701</v>
      </c>
      <c r="B159" s="673" t="s">
        <v>431</v>
      </c>
      <c r="C159" s="503" t="s">
        <v>482</v>
      </c>
      <c r="D159" s="503" t="s">
        <v>482</v>
      </c>
      <c r="E159" s="503"/>
      <c r="F159" s="503"/>
      <c r="G159" s="503" t="s">
        <v>482</v>
      </c>
      <c r="H159" s="503" t="s">
        <v>482</v>
      </c>
      <c r="I159" s="503" t="s">
        <v>482</v>
      </c>
      <c r="J159" s="503" t="s">
        <v>482</v>
      </c>
      <c r="K159" s="503" t="s">
        <v>482</v>
      </c>
      <c r="L159" s="503"/>
      <c r="M159" s="503"/>
      <c r="N159" s="503" t="s">
        <v>482</v>
      </c>
      <c r="O159" s="503" t="s">
        <v>482</v>
      </c>
      <c r="P159" s="503" t="s">
        <v>482</v>
      </c>
      <c r="Q159" s="503" t="s">
        <v>482</v>
      </c>
      <c r="R159" s="503" t="s">
        <v>482</v>
      </c>
      <c r="S159" s="503"/>
      <c r="T159" s="503"/>
      <c r="U159" s="503" t="s">
        <v>482</v>
      </c>
      <c r="V159" s="503" t="s">
        <v>482</v>
      </c>
      <c r="W159" s="503" t="s">
        <v>482</v>
      </c>
      <c r="X159" s="503" t="s">
        <v>482</v>
      </c>
      <c r="Y159" s="503" t="s">
        <v>482</v>
      </c>
      <c r="Z159" s="503"/>
      <c r="AA159" s="503"/>
      <c r="AB159" s="503" t="s">
        <v>482</v>
      </c>
      <c r="AC159" s="503" t="s">
        <v>482</v>
      </c>
      <c r="AD159" s="503" t="s">
        <v>482</v>
      </c>
      <c r="AE159" s="503" t="s">
        <v>482</v>
      </c>
      <c r="AF159" s="503" t="s">
        <v>482</v>
      </c>
      <c r="AG159" s="503"/>
      <c r="AH159" s="648">
        <v>82</v>
      </c>
      <c r="AI159" s="649">
        <v>37</v>
      </c>
    </row>
    <row r="160" spans="1:35" ht="21.95" customHeight="1" x14ac:dyDescent="0.2">
      <c r="A160" s="441">
        <v>3701</v>
      </c>
      <c r="B160" s="673" t="s">
        <v>434</v>
      </c>
      <c r="C160" s="503" t="s">
        <v>482</v>
      </c>
      <c r="D160" s="503" t="s">
        <v>482</v>
      </c>
      <c r="E160" s="503"/>
      <c r="F160" s="503"/>
      <c r="G160" s="1058" t="s">
        <v>734</v>
      </c>
      <c r="H160" s="1058" t="s">
        <v>734</v>
      </c>
      <c r="I160" s="503" t="s">
        <v>734</v>
      </c>
      <c r="J160" s="503" t="s">
        <v>734</v>
      </c>
      <c r="K160" s="503" t="s">
        <v>734</v>
      </c>
      <c r="L160" s="503"/>
      <c r="M160" s="503"/>
      <c r="N160" s="503" t="s">
        <v>482</v>
      </c>
      <c r="O160" s="503" t="s">
        <v>482</v>
      </c>
      <c r="P160" s="503" t="s">
        <v>482</v>
      </c>
      <c r="Q160" s="503" t="s">
        <v>482</v>
      </c>
      <c r="R160" s="503" t="s">
        <v>482</v>
      </c>
      <c r="S160" s="503"/>
      <c r="T160" s="503"/>
      <c r="U160" s="503" t="s">
        <v>482</v>
      </c>
      <c r="V160" s="503" t="s">
        <v>482</v>
      </c>
      <c r="W160" s="503" t="s">
        <v>482</v>
      </c>
      <c r="X160" s="503" t="s">
        <v>482</v>
      </c>
      <c r="Y160" s="503" t="s">
        <v>482</v>
      </c>
      <c r="Z160" s="503"/>
      <c r="AA160" s="503"/>
      <c r="AB160" s="503" t="s">
        <v>482</v>
      </c>
      <c r="AC160" s="1058" t="s">
        <v>482</v>
      </c>
      <c r="AD160" s="503" t="s">
        <v>482</v>
      </c>
      <c r="AE160" s="503" t="s">
        <v>482</v>
      </c>
      <c r="AF160" s="503" t="s">
        <v>482</v>
      </c>
      <c r="AG160" s="503"/>
      <c r="AH160" s="648">
        <v>37</v>
      </c>
      <c r="AI160" s="649">
        <v>21</v>
      </c>
    </row>
    <row r="161" spans="1:35" ht="21.95" customHeight="1" x14ac:dyDescent="0.2">
      <c r="A161" s="441">
        <v>3701</v>
      </c>
      <c r="B161" s="673" t="s">
        <v>436</v>
      </c>
      <c r="C161" s="503" t="s">
        <v>482</v>
      </c>
      <c r="D161" s="503" t="s">
        <v>482</v>
      </c>
      <c r="E161" s="503"/>
      <c r="F161" s="503"/>
      <c r="G161" s="503" t="s">
        <v>482</v>
      </c>
      <c r="H161" s="503" t="s">
        <v>482</v>
      </c>
      <c r="I161" s="1058" t="s">
        <v>482</v>
      </c>
      <c r="J161" s="503" t="s">
        <v>482</v>
      </c>
      <c r="K161" s="503" t="s">
        <v>482</v>
      </c>
      <c r="L161" s="503"/>
      <c r="M161" s="503"/>
      <c r="N161" s="503">
        <v>19</v>
      </c>
      <c r="O161" s="503">
        <v>19</v>
      </c>
      <c r="P161" s="503" t="s">
        <v>552</v>
      </c>
      <c r="Q161" s="503" t="s">
        <v>552</v>
      </c>
      <c r="R161" s="553" t="s">
        <v>552</v>
      </c>
      <c r="S161" s="503"/>
      <c r="T161" s="503"/>
      <c r="U161" s="1058" t="s">
        <v>482</v>
      </c>
      <c r="V161" s="503" t="s">
        <v>482</v>
      </c>
      <c r="W161" s="503">
        <v>19</v>
      </c>
      <c r="X161" s="503">
        <v>19</v>
      </c>
      <c r="Y161" s="503">
        <v>17</v>
      </c>
      <c r="Z161" s="503"/>
      <c r="AA161" s="503"/>
      <c r="AB161" s="503" t="s">
        <v>552</v>
      </c>
      <c r="AC161" s="503" t="s">
        <v>552</v>
      </c>
      <c r="AD161" s="503" t="s">
        <v>552</v>
      </c>
      <c r="AE161" s="503" t="s">
        <v>552</v>
      </c>
      <c r="AF161" s="503" t="s">
        <v>552</v>
      </c>
      <c r="AG161" s="503"/>
      <c r="AH161" s="648">
        <v>148</v>
      </c>
      <c r="AI161" s="649">
        <v>37</v>
      </c>
    </row>
    <row r="162" spans="1:35" ht="21.95" customHeight="1" x14ac:dyDescent="0.2">
      <c r="A162" s="441">
        <v>3701</v>
      </c>
      <c r="B162" s="673" t="s">
        <v>437</v>
      </c>
      <c r="C162" s="503" t="s">
        <v>552</v>
      </c>
      <c r="D162" s="503" t="s">
        <v>552</v>
      </c>
      <c r="E162" s="503"/>
      <c r="F162" s="503"/>
      <c r="G162" s="503" t="s">
        <v>482</v>
      </c>
      <c r="H162" s="503" t="s">
        <v>482</v>
      </c>
      <c r="I162" s="503" t="s">
        <v>482</v>
      </c>
      <c r="J162" s="503" t="s">
        <v>482</v>
      </c>
      <c r="K162" s="503" t="s">
        <v>482</v>
      </c>
      <c r="L162" s="503"/>
      <c r="M162" s="503"/>
      <c r="N162" s="503" t="s">
        <v>482</v>
      </c>
      <c r="O162" s="503" t="s">
        <v>482</v>
      </c>
      <c r="P162" s="503" t="s">
        <v>482</v>
      </c>
      <c r="Q162" s="503" t="s">
        <v>482</v>
      </c>
      <c r="R162" s="553" t="s">
        <v>552</v>
      </c>
      <c r="S162" s="503"/>
      <c r="T162" s="503"/>
      <c r="U162" s="503" t="s">
        <v>482</v>
      </c>
      <c r="V162" s="503" t="s">
        <v>482</v>
      </c>
      <c r="W162" s="503" t="s">
        <v>482</v>
      </c>
      <c r="X162" s="503" t="s">
        <v>482</v>
      </c>
      <c r="Y162" s="503" t="s">
        <v>482</v>
      </c>
      <c r="Z162" s="503"/>
      <c r="AA162" s="503"/>
      <c r="AB162" s="503">
        <v>19</v>
      </c>
      <c r="AC162" s="503">
        <v>19</v>
      </c>
      <c r="AD162" s="503">
        <v>19</v>
      </c>
      <c r="AE162" s="503">
        <v>19</v>
      </c>
      <c r="AF162" s="503">
        <v>17</v>
      </c>
      <c r="AG162" s="503"/>
      <c r="AH162" s="648">
        <v>37</v>
      </c>
      <c r="AI162" s="649">
        <v>37</v>
      </c>
    </row>
    <row r="163" spans="1:35" ht="21.95" customHeight="1" x14ac:dyDescent="0.2">
      <c r="A163" s="441">
        <v>3701</v>
      </c>
      <c r="B163" s="673" t="s">
        <v>618</v>
      </c>
      <c r="C163" s="503">
        <v>19</v>
      </c>
      <c r="D163" s="503">
        <v>17</v>
      </c>
      <c r="E163" s="503"/>
      <c r="F163" s="503"/>
      <c r="G163" s="503" t="s">
        <v>482</v>
      </c>
      <c r="H163" s="1104" t="s">
        <v>617</v>
      </c>
      <c r="I163" s="503" t="s">
        <v>482</v>
      </c>
      <c r="J163" s="503" t="s">
        <v>482</v>
      </c>
      <c r="K163" s="503" t="s">
        <v>482</v>
      </c>
      <c r="L163" s="503"/>
      <c r="M163" s="503"/>
      <c r="N163" s="503" t="s">
        <v>552</v>
      </c>
      <c r="O163" s="503" t="s">
        <v>552</v>
      </c>
      <c r="P163" s="503" t="s">
        <v>552</v>
      </c>
      <c r="Q163" s="503" t="s">
        <v>552</v>
      </c>
      <c r="R163" s="503" t="s">
        <v>552</v>
      </c>
      <c r="S163" s="503"/>
      <c r="T163" s="503"/>
      <c r="U163" s="503" t="s">
        <v>482</v>
      </c>
      <c r="V163" s="503" t="s">
        <v>482</v>
      </c>
      <c r="W163" s="503" t="s">
        <v>482</v>
      </c>
      <c r="X163" s="503" t="s">
        <v>482</v>
      </c>
      <c r="Y163" s="503" t="s">
        <v>482</v>
      </c>
      <c r="Z163" s="503"/>
      <c r="AA163" s="503"/>
      <c r="AB163" s="503" t="s">
        <v>482</v>
      </c>
      <c r="AC163" s="503" t="s">
        <v>482</v>
      </c>
      <c r="AD163" s="503" t="s">
        <v>482</v>
      </c>
      <c r="AE163" s="503" t="s">
        <v>482</v>
      </c>
      <c r="AF163" s="503" t="s">
        <v>482</v>
      </c>
      <c r="AG163" s="503"/>
      <c r="AH163" s="648">
        <v>50</v>
      </c>
      <c r="AI163" s="649">
        <v>37</v>
      </c>
    </row>
    <row r="164" spans="1:35" ht="21.95" customHeight="1" x14ac:dyDescent="0.2">
      <c r="A164" s="441">
        <v>3701</v>
      </c>
      <c r="B164" s="552" t="s">
        <v>619</v>
      </c>
      <c r="C164" s="503" t="s">
        <v>482</v>
      </c>
      <c r="D164" s="503" t="s">
        <v>482</v>
      </c>
      <c r="E164" s="503"/>
      <c r="F164" s="503"/>
      <c r="G164" s="503" t="s">
        <v>482</v>
      </c>
      <c r="H164" s="503" t="s">
        <v>482</v>
      </c>
      <c r="I164" s="503" t="s">
        <v>482</v>
      </c>
      <c r="J164" s="503" t="s">
        <v>482</v>
      </c>
      <c r="K164" s="503" t="s">
        <v>482</v>
      </c>
      <c r="L164" s="503"/>
      <c r="M164" s="503"/>
      <c r="N164" s="503" t="s">
        <v>482</v>
      </c>
      <c r="O164" s="503" t="s">
        <v>482</v>
      </c>
      <c r="P164" s="503">
        <v>19</v>
      </c>
      <c r="Q164" s="503">
        <v>19</v>
      </c>
      <c r="R164" s="503">
        <v>17</v>
      </c>
      <c r="S164" s="503"/>
      <c r="T164" s="503"/>
      <c r="U164" s="503">
        <v>19</v>
      </c>
      <c r="V164" s="503">
        <v>19</v>
      </c>
      <c r="W164" s="503" t="s">
        <v>552</v>
      </c>
      <c r="X164" s="503" t="s">
        <v>552</v>
      </c>
      <c r="Y164" s="503" t="s">
        <v>552</v>
      </c>
      <c r="Z164" s="503"/>
      <c r="AA164" s="503"/>
      <c r="AB164" s="1078" t="s">
        <v>482</v>
      </c>
      <c r="AC164" s="1078" t="s">
        <v>482</v>
      </c>
      <c r="AD164" s="1078" t="s">
        <v>482</v>
      </c>
      <c r="AE164" s="503" t="s">
        <v>482</v>
      </c>
      <c r="AF164" s="503" t="s">
        <v>482</v>
      </c>
      <c r="AG164" s="503"/>
      <c r="AH164" s="648">
        <v>37</v>
      </c>
      <c r="AI164" s="649">
        <v>37</v>
      </c>
    </row>
    <row r="165" spans="1:35" ht="21.95" customHeight="1" x14ac:dyDescent="0.2">
      <c r="A165" s="441">
        <v>3701</v>
      </c>
      <c r="B165" s="1434" t="s">
        <v>620</v>
      </c>
      <c r="C165" s="503" t="s">
        <v>482</v>
      </c>
      <c r="D165" s="503" t="s">
        <v>482</v>
      </c>
      <c r="E165" s="503"/>
      <c r="F165" s="503"/>
      <c r="G165" s="503">
        <v>19</v>
      </c>
      <c r="H165" s="503">
        <v>19</v>
      </c>
      <c r="I165" s="503">
        <v>19</v>
      </c>
      <c r="J165" s="503">
        <v>19</v>
      </c>
      <c r="K165" s="503">
        <v>17</v>
      </c>
      <c r="L165" s="503"/>
      <c r="M165" s="503"/>
      <c r="N165" s="503" t="s">
        <v>482</v>
      </c>
      <c r="O165" s="503" t="s">
        <v>482</v>
      </c>
      <c r="P165" s="503" t="s">
        <v>482</v>
      </c>
      <c r="Q165" s="503" t="s">
        <v>482</v>
      </c>
      <c r="R165" s="553" t="s">
        <v>552</v>
      </c>
      <c r="S165" s="503"/>
      <c r="T165" s="503"/>
      <c r="U165" s="503" t="s">
        <v>552</v>
      </c>
      <c r="V165" s="503" t="s">
        <v>552</v>
      </c>
      <c r="W165" s="503" t="s">
        <v>552</v>
      </c>
      <c r="X165" s="503" t="s">
        <v>552</v>
      </c>
      <c r="Y165" s="503" t="s">
        <v>552</v>
      </c>
      <c r="Z165" s="503"/>
      <c r="AA165" s="503"/>
      <c r="AB165" s="503" t="s">
        <v>482</v>
      </c>
      <c r="AC165" s="503" t="s">
        <v>482</v>
      </c>
      <c r="AD165" s="503" t="s">
        <v>482</v>
      </c>
      <c r="AE165" s="1058" t="s">
        <v>482</v>
      </c>
      <c r="AF165" s="1058" t="s">
        <v>482</v>
      </c>
      <c r="AG165" s="503"/>
      <c r="AH165" s="648">
        <v>74</v>
      </c>
      <c r="AI165" s="649">
        <v>37</v>
      </c>
    </row>
    <row r="166" spans="1:35" ht="21.95" customHeight="1" x14ac:dyDescent="0.2">
      <c r="A166" s="1433">
        <v>3701</v>
      </c>
      <c r="B166" s="552" t="s">
        <v>621</v>
      </c>
      <c r="C166" s="503" t="s">
        <v>482</v>
      </c>
      <c r="D166" s="503" t="s">
        <v>482</v>
      </c>
      <c r="E166" s="503"/>
      <c r="F166" s="503"/>
      <c r="G166" s="503" t="s">
        <v>482</v>
      </c>
      <c r="H166" s="503" t="s">
        <v>482</v>
      </c>
      <c r="I166" s="503" t="s">
        <v>482</v>
      </c>
      <c r="J166" s="1104" t="s">
        <v>617</v>
      </c>
      <c r="K166" s="503" t="s">
        <v>482</v>
      </c>
      <c r="L166" s="503"/>
      <c r="M166" s="1100"/>
      <c r="N166" s="503" t="s">
        <v>482</v>
      </c>
      <c r="O166" s="503" t="s">
        <v>482</v>
      </c>
      <c r="P166" s="503" t="s">
        <v>482</v>
      </c>
      <c r="Q166" s="503" t="s">
        <v>482</v>
      </c>
      <c r="R166" s="503" t="s">
        <v>482</v>
      </c>
      <c r="S166" s="503"/>
      <c r="T166" s="503"/>
      <c r="U166" s="503" t="s">
        <v>482</v>
      </c>
      <c r="V166" s="503" t="s">
        <v>482</v>
      </c>
      <c r="W166" s="503" t="s">
        <v>482</v>
      </c>
      <c r="X166" s="503" t="s">
        <v>482</v>
      </c>
      <c r="Y166" s="503" t="s">
        <v>482</v>
      </c>
      <c r="Z166" s="503"/>
      <c r="AA166" s="503"/>
      <c r="AB166" s="503" t="s">
        <v>482</v>
      </c>
      <c r="AC166" s="503" t="s">
        <v>482</v>
      </c>
      <c r="AD166" s="1058" t="s">
        <v>482</v>
      </c>
      <c r="AE166" s="503" t="s">
        <v>482</v>
      </c>
      <c r="AF166" s="503" t="s">
        <v>482</v>
      </c>
      <c r="AG166" s="503"/>
      <c r="AH166" s="648">
        <v>74</v>
      </c>
      <c r="AI166" s="649">
        <v>29</v>
      </c>
    </row>
    <row r="167" spans="1:35" ht="21.95" customHeight="1" x14ac:dyDescent="0.2">
      <c r="A167" s="441">
        <v>3701</v>
      </c>
      <c r="B167" s="673" t="s">
        <v>622</v>
      </c>
      <c r="C167" s="503" t="s">
        <v>482</v>
      </c>
      <c r="D167" s="503" t="s">
        <v>482</v>
      </c>
      <c r="E167" s="503"/>
      <c r="F167" s="503"/>
      <c r="G167" s="503" t="s">
        <v>482</v>
      </c>
      <c r="H167" s="503" t="s">
        <v>482</v>
      </c>
      <c r="I167" s="503" t="s">
        <v>482</v>
      </c>
      <c r="J167" s="503" t="s">
        <v>482</v>
      </c>
      <c r="K167" s="503" t="s">
        <v>482</v>
      </c>
      <c r="L167" s="503"/>
      <c r="M167" s="503"/>
      <c r="N167" s="503" t="s">
        <v>482</v>
      </c>
      <c r="O167" s="503" t="s">
        <v>482</v>
      </c>
      <c r="P167" s="503" t="s">
        <v>482</v>
      </c>
      <c r="Q167" s="503" t="s">
        <v>482</v>
      </c>
      <c r="R167" s="503" t="s">
        <v>482</v>
      </c>
      <c r="S167" s="503"/>
      <c r="T167" s="503"/>
      <c r="U167" s="503" t="s">
        <v>482</v>
      </c>
      <c r="V167" s="503" t="s">
        <v>482</v>
      </c>
      <c r="W167" s="503" t="s">
        <v>482</v>
      </c>
      <c r="X167" s="503" t="s">
        <v>482</v>
      </c>
      <c r="Y167" s="503" t="s">
        <v>482</v>
      </c>
      <c r="Z167" s="503"/>
      <c r="AA167" s="503"/>
      <c r="AB167" s="503" t="s">
        <v>482</v>
      </c>
      <c r="AC167" s="503" t="s">
        <v>482</v>
      </c>
      <c r="AD167" s="503" t="s">
        <v>482</v>
      </c>
      <c r="AE167" s="503" t="s">
        <v>482</v>
      </c>
      <c r="AF167" s="503" t="s">
        <v>482</v>
      </c>
      <c r="AG167" s="503"/>
      <c r="AH167" s="648">
        <v>119</v>
      </c>
      <c r="AI167" s="649">
        <v>37</v>
      </c>
    </row>
    <row r="168" spans="1:35" ht="21.95" customHeight="1" x14ac:dyDescent="0.2">
      <c r="A168" s="441">
        <v>3701</v>
      </c>
      <c r="B168" s="1108" t="s">
        <v>623</v>
      </c>
      <c r="C168" s="1109" t="s">
        <v>482</v>
      </c>
      <c r="D168" s="1109" t="s">
        <v>482</v>
      </c>
      <c r="E168" s="1109"/>
      <c r="F168" s="1109"/>
      <c r="G168" s="1109" t="s">
        <v>482</v>
      </c>
      <c r="H168" s="1109" t="s">
        <v>482</v>
      </c>
      <c r="I168" s="1109" t="s">
        <v>482</v>
      </c>
      <c r="J168" s="1109" t="s">
        <v>482</v>
      </c>
      <c r="K168" s="1109" t="s">
        <v>482</v>
      </c>
      <c r="L168" s="1109"/>
      <c r="M168" s="1109"/>
      <c r="N168" s="1109" t="s">
        <v>482</v>
      </c>
      <c r="O168" s="1109" t="s">
        <v>482</v>
      </c>
      <c r="P168" s="1109" t="s">
        <v>482</v>
      </c>
      <c r="Q168" s="1109" t="s">
        <v>482</v>
      </c>
      <c r="R168" s="1109" t="s">
        <v>482</v>
      </c>
      <c r="S168" s="1109"/>
      <c r="T168" s="1109"/>
      <c r="U168" s="1109" t="s">
        <v>482</v>
      </c>
      <c r="V168" s="1109" t="s">
        <v>482</v>
      </c>
      <c r="W168" s="1109" t="s">
        <v>482</v>
      </c>
      <c r="X168" s="1109" t="s">
        <v>482</v>
      </c>
      <c r="Y168" s="1109" t="s">
        <v>482</v>
      </c>
      <c r="Z168" s="1109"/>
      <c r="AA168" s="1109"/>
      <c r="AB168" s="1109" t="s">
        <v>482</v>
      </c>
      <c r="AC168" s="1109" t="s">
        <v>482</v>
      </c>
      <c r="AD168" s="1109" t="s">
        <v>482</v>
      </c>
      <c r="AE168" s="1109" t="s">
        <v>482</v>
      </c>
      <c r="AF168" s="1109" t="s">
        <v>482</v>
      </c>
      <c r="AG168" s="1480"/>
      <c r="AH168" s="648">
        <v>74</v>
      </c>
      <c r="AI168" s="649">
        <v>31</v>
      </c>
    </row>
    <row r="169" spans="1:35" ht="21.95" customHeight="1" x14ac:dyDescent="0.2">
      <c r="A169" s="547">
        <v>3701</v>
      </c>
      <c r="B169" s="1111" t="s">
        <v>735</v>
      </c>
      <c r="C169" s="1112" t="s">
        <v>482</v>
      </c>
      <c r="D169" s="1112" t="s">
        <v>482</v>
      </c>
      <c r="E169" s="1112"/>
      <c r="F169" s="1112"/>
      <c r="G169" s="1112" t="s">
        <v>482</v>
      </c>
      <c r="H169" s="1112" t="s">
        <v>482</v>
      </c>
      <c r="I169" s="1112" t="s">
        <v>482</v>
      </c>
      <c r="J169" s="1112" t="s">
        <v>482</v>
      </c>
      <c r="K169" s="1112" t="s">
        <v>482</v>
      </c>
      <c r="L169" s="1112"/>
      <c r="M169" s="1112"/>
      <c r="N169" s="1112" t="s">
        <v>482</v>
      </c>
      <c r="O169" s="1112" t="s">
        <v>482</v>
      </c>
      <c r="P169" s="1112" t="s">
        <v>482</v>
      </c>
      <c r="Q169" s="1112" t="s">
        <v>482</v>
      </c>
      <c r="R169" s="1112" t="s">
        <v>482</v>
      </c>
      <c r="S169" s="1112"/>
      <c r="T169" s="1112"/>
      <c r="U169" s="1112" t="s">
        <v>482</v>
      </c>
      <c r="V169" s="1112" t="s">
        <v>482</v>
      </c>
      <c r="W169" s="1112" t="s">
        <v>482</v>
      </c>
      <c r="X169" s="1112" t="s">
        <v>482</v>
      </c>
      <c r="Y169" s="1112" t="s">
        <v>482</v>
      </c>
      <c r="Z169" s="1112"/>
      <c r="AA169" s="1112"/>
      <c r="AB169" s="1112" t="s">
        <v>482</v>
      </c>
      <c r="AC169" s="1112" t="s">
        <v>482</v>
      </c>
      <c r="AD169" s="1112" t="s">
        <v>482</v>
      </c>
      <c r="AE169" s="1112" t="s">
        <v>482</v>
      </c>
      <c r="AF169" s="1112" t="s">
        <v>482</v>
      </c>
      <c r="AG169" s="1481"/>
      <c r="AH169" s="1113"/>
      <c r="AI169" s="1113"/>
    </row>
    <row r="170" spans="1:35" ht="21.95" customHeight="1" x14ac:dyDescent="0.2">
      <c r="A170" s="1433"/>
      <c r="B170" s="1111"/>
      <c r="C170" s="1112"/>
      <c r="D170" s="1112"/>
      <c r="E170" s="1112"/>
      <c r="F170" s="1112"/>
      <c r="G170" s="1112"/>
      <c r="H170" s="1112"/>
      <c r="I170" s="1112"/>
      <c r="J170" s="1112"/>
      <c r="K170" s="1112"/>
      <c r="L170" s="1112"/>
      <c r="M170" s="1112"/>
      <c r="N170" s="1112"/>
      <c r="O170" s="1112"/>
      <c r="P170" s="1112"/>
      <c r="Q170" s="1112"/>
      <c r="R170" s="1112"/>
      <c r="S170" s="1112"/>
      <c r="T170" s="1112"/>
      <c r="U170" s="1112"/>
      <c r="V170" s="1112"/>
      <c r="W170" s="1112"/>
      <c r="X170" s="1112"/>
      <c r="Y170" s="1112"/>
      <c r="Z170" s="1112"/>
      <c r="AA170" s="1112"/>
      <c r="AB170" s="1112"/>
      <c r="AC170" s="1112"/>
      <c r="AD170" s="1112"/>
      <c r="AE170" s="1112"/>
      <c r="AF170" s="1112"/>
      <c r="AG170" s="1481"/>
      <c r="AH170" s="1113"/>
      <c r="AI170" s="1113"/>
    </row>
    <row r="171" spans="1:35" ht="21.95" customHeight="1" x14ac:dyDescent="0.2">
      <c r="A171" s="621"/>
      <c r="B171" s="677"/>
      <c r="C171" s="711"/>
      <c r="D171" s="525"/>
      <c r="E171" s="525"/>
      <c r="F171" s="525"/>
      <c r="G171" s="525"/>
      <c r="H171" s="525"/>
      <c r="I171" s="525"/>
      <c r="J171" s="525"/>
      <c r="K171" s="525"/>
      <c r="L171" s="525"/>
      <c r="M171" s="525"/>
      <c r="N171" s="525"/>
      <c r="O171" s="525"/>
      <c r="P171" s="525"/>
      <c r="Q171" s="525"/>
      <c r="R171" s="525"/>
      <c r="S171" s="525"/>
      <c r="T171" s="525"/>
      <c r="U171" s="525"/>
      <c r="V171" s="525"/>
      <c r="W171" s="525"/>
      <c r="X171" s="525"/>
      <c r="Y171" s="525"/>
      <c r="Z171" s="525"/>
      <c r="AA171" s="525"/>
      <c r="AB171" s="525"/>
      <c r="AC171" s="525"/>
      <c r="AD171" s="525"/>
      <c r="AE171" s="525"/>
      <c r="AF171" s="525"/>
      <c r="AG171" s="590"/>
      <c r="AH171" s="591"/>
      <c r="AI171" s="591"/>
    </row>
    <row r="172" spans="1:35" ht="21" customHeight="1" x14ac:dyDescent="0.2">
      <c r="A172" s="1" t="s">
        <v>624</v>
      </c>
    </row>
    <row r="173" spans="1:35" ht="21" customHeight="1" x14ac:dyDescent="0.2">
      <c r="B173" s="200" t="s">
        <v>604</v>
      </c>
      <c r="C173" s="7"/>
      <c r="D173" s="530" t="s">
        <v>2</v>
      </c>
      <c r="E173" s="51"/>
      <c r="F173" s="573"/>
      <c r="G173" s="7"/>
      <c r="H173" s="530" t="s">
        <v>3</v>
      </c>
      <c r="I173" s="51"/>
      <c r="J173" s="573"/>
      <c r="K173" s="7"/>
      <c r="L173" s="530" t="s">
        <v>4</v>
      </c>
      <c r="M173" s="51"/>
      <c r="N173" s="573"/>
      <c r="O173" s="7"/>
      <c r="P173" s="530" t="s">
        <v>5</v>
      </c>
      <c r="Q173" s="51"/>
      <c r="R173" s="573"/>
      <c r="S173" s="7"/>
      <c r="T173" s="530" t="s">
        <v>6</v>
      </c>
      <c r="U173" s="51"/>
      <c r="V173" s="573"/>
      <c r="W173" s="7"/>
      <c r="X173" s="530" t="s">
        <v>7</v>
      </c>
      <c r="Y173" s="51"/>
      <c r="Z173" s="573"/>
      <c r="AA173" s="7"/>
      <c r="AB173" s="530" t="s">
        <v>8</v>
      </c>
      <c r="AC173" s="51"/>
      <c r="AD173" s="51"/>
      <c r="AE173" s="424" t="s">
        <v>10</v>
      </c>
      <c r="AF173" s="51"/>
      <c r="AG173" s="51"/>
      <c r="AH173" s="51"/>
      <c r="AI173" s="531"/>
    </row>
    <row r="174" spans="1:35" ht="21" customHeight="1" x14ac:dyDescent="0.2">
      <c r="B174" s="9">
        <v>8502</v>
      </c>
      <c r="C174" s="14" t="s">
        <v>11</v>
      </c>
      <c r="D174" s="659"/>
      <c r="E174" s="55"/>
      <c r="F174" s="580"/>
      <c r="G174" s="14" t="s">
        <v>11</v>
      </c>
      <c r="H174" s="659"/>
      <c r="I174" s="55"/>
      <c r="J174" s="580"/>
      <c r="K174" s="14" t="s">
        <v>11</v>
      </c>
      <c r="L174" s="659"/>
      <c r="M174" s="55"/>
      <c r="N174" s="580"/>
      <c r="O174" s="14" t="s">
        <v>11</v>
      </c>
      <c r="P174" s="659"/>
      <c r="Q174" s="55"/>
      <c r="R174" s="580"/>
      <c r="S174" s="14" t="s">
        <v>12</v>
      </c>
      <c r="T174" s="659"/>
      <c r="U174" s="55"/>
      <c r="V174" s="580"/>
      <c r="W174" s="14"/>
      <c r="X174" s="659"/>
      <c r="Y174" s="55"/>
      <c r="Z174" s="580"/>
      <c r="AA174" s="14"/>
      <c r="AB174" s="659"/>
      <c r="AC174" s="55"/>
      <c r="AD174" s="55"/>
      <c r="AE174" s="660"/>
      <c r="AF174" s="55"/>
      <c r="AG174" s="55"/>
      <c r="AH174" s="55"/>
      <c r="AI174" s="661"/>
    </row>
    <row r="175" spans="1:35" ht="21" customHeight="1" x14ac:dyDescent="0.2">
      <c r="B175" s="662">
        <v>3701</v>
      </c>
      <c r="C175" s="121" t="s">
        <v>11</v>
      </c>
      <c r="D175" s="130"/>
      <c r="E175" s="55"/>
      <c r="F175" s="580"/>
      <c r="G175" s="121" t="s">
        <v>11</v>
      </c>
      <c r="H175" s="659"/>
      <c r="I175" s="55"/>
      <c r="J175" s="580"/>
      <c r="K175" s="121" t="s">
        <v>11</v>
      </c>
      <c r="L175" s="659"/>
      <c r="M175" s="55"/>
      <c r="N175" s="580"/>
      <c r="O175" s="121" t="s">
        <v>11</v>
      </c>
      <c r="P175" s="659"/>
      <c r="Q175" s="55"/>
      <c r="R175" s="580"/>
      <c r="S175" s="14" t="s">
        <v>12</v>
      </c>
      <c r="T175" s="659"/>
      <c r="U175" s="55"/>
      <c r="V175" s="580"/>
      <c r="W175" s="14"/>
      <c r="X175" s="659"/>
      <c r="Y175" s="55"/>
      <c r="Z175" s="580"/>
      <c r="AA175" s="14"/>
      <c r="AB175" s="659"/>
      <c r="AC175" s="55"/>
      <c r="AD175" s="55"/>
      <c r="AE175" s="660"/>
      <c r="AF175" s="55"/>
      <c r="AG175" s="55"/>
      <c r="AH175" s="55"/>
      <c r="AI175" s="661"/>
    </row>
    <row r="176" spans="1:35" ht="21" customHeight="1" x14ac:dyDescent="0.2">
      <c r="B176" s="662">
        <v>3705</v>
      </c>
      <c r="C176" s="121" t="s">
        <v>147</v>
      </c>
      <c r="D176" s="130"/>
      <c r="E176" s="55"/>
      <c r="F176" s="580"/>
      <c r="G176" s="121" t="s">
        <v>147</v>
      </c>
      <c r="H176" s="659"/>
      <c r="I176" s="55"/>
      <c r="J176" s="580"/>
      <c r="K176" s="121" t="s">
        <v>147</v>
      </c>
      <c r="L176" s="659"/>
      <c r="M176" s="55"/>
      <c r="N176" s="580"/>
      <c r="O176" s="121" t="s">
        <v>147</v>
      </c>
      <c r="P176" s="659"/>
      <c r="Q176" s="55"/>
      <c r="R176" s="580"/>
      <c r="S176" s="121" t="s">
        <v>536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5" ht="21" customHeight="1" x14ac:dyDescent="0.2">
      <c r="B177" s="662" t="s">
        <v>625</v>
      </c>
      <c r="C177" s="611" t="s">
        <v>626</v>
      </c>
      <c r="D177" s="130"/>
      <c r="E177" s="55"/>
      <c r="F177" s="580"/>
      <c r="G177" s="611" t="s">
        <v>626</v>
      </c>
      <c r="H177" s="659"/>
      <c r="I177" s="55"/>
      <c r="J177" s="580"/>
      <c r="K177" s="611" t="s">
        <v>626</v>
      </c>
      <c r="L177" s="659"/>
      <c r="M177" s="55"/>
      <c r="N177" s="580"/>
      <c r="O177" s="611" t="s">
        <v>626</v>
      </c>
      <c r="P177" s="659"/>
      <c r="Q177" s="55"/>
      <c r="R177" s="580"/>
      <c r="S177" s="611" t="s">
        <v>626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5" ht="21" customHeight="1" x14ac:dyDescent="0.2">
      <c r="B178" s="662" t="s">
        <v>627</v>
      </c>
      <c r="C178" s="611" t="s">
        <v>628</v>
      </c>
      <c r="D178" s="130"/>
      <c r="E178" s="55"/>
      <c r="F178" s="580"/>
      <c r="G178" s="659" t="s">
        <v>629</v>
      </c>
      <c r="H178" s="659"/>
      <c r="I178" s="55"/>
      <c r="J178" s="580"/>
      <c r="K178" s="659" t="s">
        <v>630</v>
      </c>
      <c r="L178" s="659"/>
      <c r="M178" s="55"/>
      <c r="N178" s="580"/>
      <c r="O178" s="659" t="s">
        <v>630</v>
      </c>
      <c r="P178" s="659"/>
      <c r="Q178" s="55"/>
      <c r="R178" s="580"/>
      <c r="S178" s="659" t="s">
        <v>631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5" ht="21" customHeight="1" x14ac:dyDescent="0.2">
      <c r="B179" s="662" t="s">
        <v>324</v>
      </c>
      <c r="C179" s="611" t="s">
        <v>632</v>
      </c>
      <c r="D179" s="130"/>
      <c r="E179" s="55"/>
      <c r="F179" s="580"/>
      <c r="G179" s="611" t="s">
        <v>632</v>
      </c>
      <c r="H179" s="130"/>
      <c r="I179" s="55"/>
      <c r="J179" s="580"/>
      <c r="K179" s="611" t="s">
        <v>632</v>
      </c>
      <c r="L179" s="130"/>
      <c r="M179" s="55"/>
      <c r="N179" s="580"/>
      <c r="O179" s="611" t="s">
        <v>632</v>
      </c>
      <c r="P179" s="130"/>
      <c r="Q179" s="55"/>
      <c r="R179" s="580"/>
      <c r="S179" s="659" t="s">
        <v>633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5" ht="21" customHeight="1" x14ac:dyDescent="0.2">
      <c r="B180" s="662" t="s">
        <v>325</v>
      </c>
      <c r="C180" s="611" t="s">
        <v>634</v>
      </c>
      <c r="D180" s="130"/>
      <c r="E180" s="55"/>
      <c r="F180" s="580"/>
      <c r="G180" s="611" t="s">
        <v>634</v>
      </c>
      <c r="H180" s="130"/>
      <c r="I180" s="55"/>
      <c r="J180" s="580"/>
      <c r="K180" s="611" t="s">
        <v>634</v>
      </c>
      <c r="L180" s="130"/>
      <c r="M180" s="55"/>
      <c r="N180" s="580"/>
      <c r="O180" s="611" t="s">
        <v>634</v>
      </c>
      <c r="P180" s="130"/>
      <c r="Q180" s="55"/>
      <c r="R180" s="580"/>
      <c r="S180" s="659" t="s">
        <v>635</v>
      </c>
      <c r="T180" s="659"/>
      <c r="U180" s="55"/>
      <c r="V180" s="580"/>
      <c r="W180" s="14"/>
      <c r="X180" s="659"/>
      <c r="Y180" s="55"/>
      <c r="Z180" s="580"/>
      <c r="AA180" s="14"/>
      <c r="AB180" s="659"/>
      <c r="AC180" s="55"/>
      <c r="AD180" s="55"/>
      <c r="AE180" s="660"/>
      <c r="AF180" s="55"/>
      <c r="AG180" s="55"/>
      <c r="AH180" s="55"/>
      <c r="AI180" s="661"/>
    </row>
    <row r="181" spans="1:35" ht="21" customHeight="1" x14ac:dyDescent="0.2">
      <c r="B181" s="671" t="s">
        <v>326</v>
      </c>
      <c r="C181" s="618" t="s">
        <v>736</v>
      </c>
      <c r="D181" s="48"/>
      <c r="E181" s="678"/>
      <c r="F181" s="239"/>
      <c r="G181" s="618" t="s">
        <v>736</v>
      </c>
      <c r="H181" s="48"/>
      <c r="I181" s="678"/>
      <c r="J181" s="239"/>
      <c r="K181" s="618" t="s">
        <v>736</v>
      </c>
      <c r="L181" s="48"/>
      <c r="M181" s="678"/>
      <c r="N181" s="239"/>
      <c r="O181" s="618" t="s">
        <v>736</v>
      </c>
      <c r="P181" s="48"/>
      <c r="Q181" s="678"/>
      <c r="R181" s="239"/>
      <c r="S181" s="148" t="s">
        <v>723</v>
      </c>
      <c r="T181" s="148"/>
      <c r="U181" s="678"/>
      <c r="V181" s="239"/>
      <c r="W181" s="679"/>
      <c r="X181" s="148"/>
      <c r="Y181" s="678"/>
      <c r="Z181" s="239"/>
      <c r="AA181" s="679"/>
      <c r="AB181" s="148"/>
      <c r="AC181" s="678"/>
      <c r="AD181" s="678"/>
      <c r="AE181" s="680"/>
      <c r="AF181" s="678"/>
      <c r="AG181" s="678"/>
      <c r="AH181" s="678"/>
      <c r="AI181" s="681"/>
    </row>
    <row r="182" spans="1:35" ht="21" customHeight="1" x14ac:dyDescent="0.2">
      <c r="B182" s="273"/>
      <c r="C182" s="311"/>
      <c r="D182" s="72"/>
      <c r="G182" s="311"/>
      <c r="H182" s="72"/>
      <c r="K182" s="311"/>
      <c r="L182" s="72"/>
      <c r="O182" s="311"/>
      <c r="P182" s="72"/>
      <c r="S182" s="311"/>
      <c r="T182" s="311"/>
      <c r="X182" s="311"/>
      <c r="AB182" s="311"/>
      <c r="AE182" s="311"/>
    </row>
    <row r="183" spans="1:35" ht="21" customHeight="1" x14ac:dyDescent="0.2">
      <c r="A183" s="682" t="s">
        <v>638</v>
      </c>
    </row>
    <row r="184" spans="1:35" ht="21" customHeight="1" x14ac:dyDescent="0.2">
      <c r="A184" s="585"/>
      <c r="B184" s="685" t="s">
        <v>642</v>
      </c>
      <c r="C184" s="177">
        <v>1</v>
      </c>
      <c r="D184" s="177">
        <v>2</v>
      </c>
      <c r="E184" s="497">
        <v>3</v>
      </c>
      <c r="F184" s="497">
        <v>4</v>
      </c>
      <c r="G184" s="177">
        <v>5</v>
      </c>
      <c r="H184" s="177">
        <v>6</v>
      </c>
      <c r="I184" s="177">
        <v>7</v>
      </c>
      <c r="J184" s="177">
        <v>8</v>
      </c>
      <c r="K184" s="177">
        <v>9</v>
      </c>
      <c r="L184" s="497">
        <v>10</v>
      </c>
      <c r="M184" s="497">
        <v>11</v>
      </c>
      <c r="N184" s="177">
        <v>12</v>
      </c>
      <c r="O184" s="177">
        <v>13</v>
      </c>
      <c r="P184" s="177">
        <v>14</v>
      </c>
      <c r="Q184" s="177">
        <v>15</v>
      </c>
      <c r="R184" s="177">
        <v>16</v>
      </c>
      <c r="S184" s="497">
        <v>17</v>
      </c>
      <c r="T184" s="497">
        <v>18</v>
      </c>
      <c r="U184" s="177">
        <v>19</v>
      </c>
      <c r="V184" s="177">
        <v>20</v>
      </c>
      <c r="W184" s="177">
        <v>21</v>
      </c>
      <c r="X184" s="177">
        <v>22</v>
      </c>
      <c r="Y184" s="177">
        <v>23</v>
      </c>
      <c r="Z184" s="497">
        <v>24</v>
      </c>
      <c r="AA184" s="497">
        <v>25</v>
      </c>
      <c r="AB184" s="177">
        <v>26</v>
      </c>
      <c r="AC184" s="177">
        <v>27</v>
      </c>
      <c r="AD184" s="177">
        <v>28</v>
      </c>
      <c r="AE184" s="177">
        <v>29</v>
      </c>
      <c r="AF184" s="177">
        <v>30</v>
      </c>
      <c r="AG184" s="177"/>
      <c r="AH184" s="499" t="s">
        <v>470</v>
      </c>
      <c r="AI184" s="500" t="s">
        <v>471</v>
      </c>
    </row>
    <row r="185" spans="1:35" ht="21" customHeight="1" x14ac:dyDescent="0.2">
      <c r="A185" s="441">
        <v>3702</v>
      </c>
      <c r="B185" s="152" t="s">
        <v>639</v>
      </c>
      <c r="C185" s="587">
        <v>2</v>
      </c>
      <c r="D185" s="587">
        <v>2</v>
      </c>
      <c r="E185" s="587"/>
      <c r="F185" s="587"/>
      <c r="G185" s="587">
        <v>1</v>
      </c>
      <c r="H185" s="587">
        <v>1</v>
      </c>
      <c r="I185" s="587">
        <v>1</v>
      </c>
      <c r="J185" s="587">
        <v>1</v>
      </c>
      <c r="K185" s="587">
        <v>1</v>
      </c>
      <c r="L185" s="587"/>
      <c r="M185" s="587"/>
      <c r="N185" s="587">
        <v>2</v>
      </c>
      <c r="O185" s="587">
        <v>2</v>
      </c>
      <c r="P185" s="587">
        <v>2</v>
      </c>
      <c r="Q185" s="587">
        <v>2</v>
      </c>
      <c r="R185" s="587">
        <v>2</v>
      </c>
      <c r="S185" s="587"/>
      <c r="T185" s="587"/>
      <c r="U185" s="587">
        <v>1</v>
      </c>
      <c r="V185" s="587">
        <v>1</v>
      </c>
      <c r="W185" s="587">
        <v>1</v>
      </c>
      <c r="X185" s="587">
        <v>1</v>
      </c>
      <c r="Y185" s="587">
        <v>1</v>
      </c>
      <c r="Z185" s="587"/>
      <c r="AA185" s="587"/>
      <c r="AB185" s="587">
        <v>2</v>
      </c>
      <c r="AC185" s="587">
        <v>2</v>
      </c>
      <c r="AD185" s="587">
        <v>2</v>
      </c>
      <c r="AE185" s="587">
        <v>2</v>
      </c>
      <c r="AF185" s="587">
        <v>2</v>
      </c>
      <c r="AG185" s="587"/>
      <c r="AH185" s="505">
        <v>72</v>
      </c>
      <c r="AI185" s="506">
        <v>37</v>
      </c>
    </row>
    <row r="186" spans="1:35" ht="21" customHeight="1" x14ac:dyDescent="0.2">
      <c r="A186" s="441">
        <v>3701</v>
      </c>
      <c r="B186" s="152" t="s">
        <v>640</v>
      </c>
      <c r="C186" s="587" t="s">
        <v>482</v>
      </c>
      <c r="D186" s="587" t="s">
        <v>482</v>
      </c>
      <c r="E186" s="587"/>
      <c r="F186" s="587"/>
      <c r="G186" s="587" t="s">
        <v>482</v>
      </c>
      <c r="H186" s="587" t="s">
        <v>482</v>
      </c>
      <c r="I186" s="587" t="s">
        <v>482</v>
      </c>
      <c r="J186" s="587" t="s">
        <v>482</v>
      </c>
      <c r="K186" s="587" t="s">
        <v>482</v>
      </c>
      <c r="L186" s="587"/>
      <c r="M186" s="587"/>
      <c r="N186" s="587" t="s">
        <v>482</v>
      </c>
      <c r="O186" s="587" t="s">
        <v>482</v>
      </c>
      <c r="P186" s="587" t="s">
        <v>482</v>
      </c>
      <c r="Q186" s="587" t="s">
        <v>482</v>
      </c>
      <c r="R186" s="587" t="s">
        <v>482</v>
      </c>
      <c r="S186" s="587"/>
      <c r="T186" s="587"/>
      <c r="U186" s="587" t="s">
        <v>482</v>
      </c>
      <c r="V186" s="587" t="s">
        <v>482</v>
      </c>
      <c r="W186" s="587" t="s">
        <v>482</v>
      </c>
      <c r="X186" s="587" t="s">
        <v>482</v>
      </c>
      <c r="Y186" s="587" t="s">
        <v>482</v>
      </c>
      <c r="Z186" s="587"/>
      <c r="AA186" s="587"/>
      <c r="AB186" s="587" t="s">
        <v>482</v>
      </c>
      <c r="AC186" s="587" t="s">
        <v>482</v>
      </c>
      <c r="AD186" s="587" t="s">
        <v>482</v>
      </c>
      <c r="AE186" s="587" t="s">
        <v>482</v>
      </c>
      <c r="AF186" s="587" t="s">
        <v>482</v>
      </c>
      <c r="AG186" s="587"/>
      <c r="AH186" s="505">
        <v>74</v>
      </c>
      <c r="AI186" s="506">
        <v>37</v>
      </c>
    </row>
    <row r="187" spans="1:35" ht="21" customHeight="1" x14ac:dyDescent="0.2">
      <c r="A187" s="441">
        <v>3702</v>
      </c>
      <c r="B187" s="152" t="s">
        <v>641</v>
      </c>
      <c r="C187" s="587">
        <v>1</v>
      </c>
      <c r="D187" s="587">
        <v>1</v>
      </c>
      <c r="E187" s="587"/>
      <c r="F187" s="587"/>
      <c r="G187" s="587">
        <v>2</v>
      </c>
      <c r="H187" s="587">
        <v>2</v>
      </c>
      <c r="I187" s="587">
        <v>2</v>
      </c>
      <c r="J187" s="587">
        <v>2</v>
      </c>
      <c r="K187" s="587">
        <v>2</v>
      </c>
      <c r="L187" s="587"/>
      <c r="M187" s="587"/>
      <c r="N187" s="587">
        <v>1</v>
      </c>
      <c r="O187" s="587">
        <v>1</v>
      </c>
      <c r="P187" s="587">
        <v>1</v>
      </c>
      <c r="Q187" s="587">
        <v>1</v>
      </c>
      <c r="R187" s="587">
        <v>1</v>
      </c>
      <c r="S187" s="587"/>
      <c r="T187" s="587"/>
      <c r="U187" s="587">
        <v>2</v>
      </c>
      <c r="V187" s="587">
        <v>2</v>
      </c>
      <c r="W187" s="587">
        <v>2</v>
      </c>
      <c r="X187" s="587">
        <v>2</v>
      </c>
      <c r="Y187" s="587">
        <v>2</v>
      </c>
      <c r="Z187" s="587"/>
      <c r="AA187" s="587"/>
      <c r="AB187" s="587">
        <v>1</v>
      </c>
      <c r="AC187" s="587">
        <v>1</v>
      </c>
      <c r="AD187" s="1340">
        <v>1</v>
      </c>
      <c r="AE187" s="1340">
        <v>1</v>
      </c>
      <c r="AF187" s="1340" t="s">
        <v>737</v>
      </c>
      <c r="AG187" s="587"/>
      <c r="AH187" s="505">
        <v>65</v>
      </c>
      <c r="AI187" s="506">
        <v>37</v>
      </c>
    </row>
    <row r="188" spans="1:35" ht="21" customHeight="1" x14ac:dyDescent="0.2">
      <c r="A188" s="683">
        <v>3706</v>
      </c>
      <c r="B188" s="552"/>
      <c r="C188" s="503"/>
      <c r="D188" s="503"/>
      <c r="E188" s="503"/>
      <c r="F188" s="503"/>
      <c r="G188" s="503"/>
      <c r="H188" s="503"/>
      <c r="I188" s="503"/>
      <c r="J188" s="503"/>
      <c r="K188" s="503"/>
      <c r="L188" s="503"/>
      <c r="M188" s="503"/>
      <c r="N188" s="503"/>
      <c r="O188" s="503"/>
      <c r="P188" s="503"/>
      <c r="Q188" s="503"/>
      <c r="R188" s="503"/>
      <c r="S188" s="503"/>
      <c r="T188" s="503"/>
      <c r="U188" s="503"/>
      <c r="V188" s="503"/>
      <c r="W188" s="503"/>
      <c r="X188" s="503"/>
      <c r="Y188" s="503"/>
      <c r="Z188" s="503"/>
      <c r="AA188" s="503"/>
      <c r="AB188" s="503"/>
      <c r="AC188" s="503"/>
      <c r="AD188" s="503"/>
      <c r="AE188" s="503"/>
      <c r="AF188" s="503"/>
      <c r="AG188" s="503"/>
      <c r="AH188" s="505"/>
      <c r="AI188" s="506"/>
    </row>
    <row r="189" spans="1:35" ht="21" customHeight="1" x14ac:dyDescent="0.2">
      <c r="A189" s="684"/>
      <c r="B189" s="685" t="s">
        <v>642</v>
      </c>
      <c r="C189" s="686"/>
      <c r="D189" s="686"/>
      <c r="E189" s="686"/>
      <c r="F189" s="686"/>
      <c r="G189" s="686"/>
      <c r="H189" s="686"/>
      <c r="I189" s="686"/>
      <c r="J189" s="686"/>
      <c r="K189" s="686"/>
      <c r="L189" s="686"/>
      <c r="M189" s="686"/>
      <c r="N189" s="686"/>
      <c r="O189" s="686"/>
      <c r="P189" s="686"/>
      <c r="Q189" s="686"/>
      <c r="R189" s="686"/>
      <c r="S189" s="686"/>
      <c r="T189" s="686"/>
      <c r="U189" s="686"/>
      <c r="V189" s="686"/>
      <c r="W189" s="686"/>
      <c r="X189" s="686"/>
      <c r="Y189" s="686"/>
      <c r="Z189" s="686"/>
      <c r="AA189" s="686"/>
      <c r="AB189" s="686"/>
      <c r="AC189" s="686"/>
      <c r="AD189" s="686"/>
      <c r="AE189" s="686"/>
      <c r="AF189" s="686"/>
      <c r="AG189" s="687"/>
      <c r="AH189" s="688"/>
      <c r="AI189" s="689"/>
    </row>
    <row r="190" spans="1:35" ht="21" customHeight="1" x14ac:dyDescent="0.2">
      <c r="A190" s="441">
        <v>3702</v>
      </c>
      <c r="B190" s="133" t="s">
        <v>724</v>
      </c>
      <c r="C190" s="587" t="s">
        <v>644</v>
      </c>
      <c r="D190" s="587" t="s">
        <v>644</v>
      </c>
      <c r="E190" s="587"/>
      <c r="F190" s="587"/>
      <c r="G190" s="587" t="s">
        <v>643</v>
      </c>
      <c r="H190" s="587" t="s">
        <v>643</v>
      </c>
      <c r="I190" s="587" t="s">
        <v>643</v>
      </c>
      <c r="J190" s="587" t="s">
        <v>643</v>
      </c>
      <c r="K190" s="587" t="s">
        <v>643</v>
      </c>
      <c r="L190" s="587"/>
      <c r="M190" s="587"/>
      <c r="N190" s="587" t="s">
        <v>596</v>
      </c>
      <c r="O190" s="587" t="s">
        <v>596</v>
      </c>
      <c r="P190" s="587" t="s">
        <v>596</v>
      </c>
      <c r="Q190" s="587" t="s">
        <v>596</v>
      </c>
      <c r="R190" s="587" t="s">
        <v>596</v>
      </c>
      <c r="S190" s="587"/>
      <c r="T190" s="587"/>
      <c r="U190" s="587" t="s">
        <v>644</v>
      </c>
      <c r="V190" s="587" t="s">
        <v>644</v>
      </c>
      <c r="W190" s="587" t="s">
        <v>644</v>
      </c>
      <c r="X190" s="587" t="s">
        <v>644</v>
      </c>
      <c r="Y190" s="587" t="s">
        <v>644</v>
      </c>
      <c r="Z190" s="587"/>
      <c r="AA190" s="587"/>
      <c r="AB190" s="587" t="s">
        <v>643</v>
      </c>
      <c r="AC190" s="587" t="s">
        <v>643</v>
      </c>
      <c r="AD190" s="587" t="s">
        <v>643</v>
      </c>
      <c r="AE190" s="587" t="s">
        <v>643</v>
      </c>
      <c r="AF190" s="587" t="s">
        <v>643</v>
      </c>
      <c r="AG190" s="154"/>
      <c r="AH190" s="505">
        <v>74</v>
      </c>
      <c r="AI190" s="506">
        <v>37</v>
      </c>
    </row>
    <row r="191" spans="1:35" ht="21" customHeight="1" x14ac:dyDescent="0.2">
      <c r="A191" s="441"/>
      <c r="B191" s="152" t="s">
        <v>645</v>
      </c>
      <c r="C191" s="587" t="s">
        <v>643</v>
      </c>
      <c r="D191" s="587" t="s">
        <v>643</v>
      </c>
      <c r="E191" s="587"/>
      <c r="F191" s="587"/>
      <c r="G191" s="587" t="s">
        <v>596</v>
      </c>
      <c r="H191" s="587" t="s">
        <v>596</v>
      </c>
      <c r="I191" s="587" t="s">
        <v>596</v>
      </c>
      <c r="J191" s="587" t="s">
        <v>596</v>
      </c>
      <c r="K191" s="587" t="s">
        <v>596</v>
      </c>
      <c r="L191" s="587"/>
      <c r="M191" s="587"/>
      <c r="N191" s="587" t="s">
        <v>644</v>
      </c>
      <c r="O191" s="587" t="s">
        <v>644</v>
      </c>
      <c r="P191" s="587" t="s">
        <v>644</v>
      </c>
      <c r="Q191" s="587" t="s">
        <v>644</v>
      </c>
      <c r="R191" s="587" t="s">
        <v>644</v>
      </c>
      <c r="S191" s="587"/>
      <c r="T191" s="587"/>
      <c r="U191" s="587" t="s">
        <v>643</v>
      </c>
      <c r="V191" s="587" t="s">
        <v>643</v>
      </c>
      <c r="W191" s="587" t="s">
        <v>643</v>
      </c>
      <c r="X191" s="587" t="s">
        <v>643</v>
      </c>
      <c r="Y191" s="587" t="s">
        <v>643</v>
      </c>
      <c r="Z191" s="587"/>
      <c r="AA191" s="587"/>
      <c r="AB191" s="587" t="s">
        <v>596</v>
      </c>
      <c r="AC191" s="587" t="s">
        <v>596</v>
      </c>
      <c r="AD191" s="587" t="s">
        <v>596</v>
      </c>
      <c r="AE191" s="1085" t="s">
        <v>596</v>
      </c>
      <c r="AF191" s="1085" t="s">
        <v>596</v>
      </c>
      <c r="AG191" s="154"/>
      <c r="AH191" s="505">
        <v>97</v>
      </c>
      <c r="AI191" s="506">
        <v>37</v>
      </c>
    </row>
    <row r="192" spans="1:35" ht="21" customHeight="1" x14ac:dyDescent="0.2">
      <c r="A192" s="441"/>
      <c r="B192" s="152" t="s">
        <v>646</v>
      </c>
      <c r="C192" s="587" t="s">
        <v>596</v>
      </c>
      <c r="D192" s="587" t="s">
        <v>596</v>
      </c>
      <c r="E192" s="587"/>
      <c r="F192" s="587"/>
      <c r="G192" s="587" t="s">
        <v>644</v>
      </c>
      <c r="H192" s="587" t="s">
        <v>644</v>
      </c>
      <c r="I192" s="587" t="s">
        <v>644</v>
      </c>
      <c r="J192" s="587" t="s">
        <v>644</v>
      </c>
      <c r="K192" s="587" t="s">
        <v>644</v>
      </c>
      <c r="L192" s="587"/>
      <c r="M192" s="587"/>
      <c r="N192" s="587" t="s">
        <v>643</v>
      </c>
      <c r="O192" s="587" t="s">
        <v>643</v>
      </c>
      <c r="P192" s="587" t="s">
        <v>643</v>
      </c>
      <c r="Q192" s="587" t="s">
        <v>643</v>
      </c>
      <c r="R192" s="587" t="s">
        <v>643</v>
      </c>
      <c r="S192" s="587"/>
      <c r="T192" s="587"/>
      <c r="U192" s="1341" t="s">
        <v>596</v>
      </c>
      <c r="V192" s="587" t="s">
        <v>596</v>
      </c>
      <c r="W192" s="587" t="s">
        <v>596</v>
      </c>
      <c r="X192" s="587" t="s">
        <v>596</v>
      </c>
      <c r="Y192" s="587" t="s">
        <v>596</v>
      </c>
      <c r="Z192" s="587"/>
      <c r="AA192" s="587"/>
      <c r="AB192" s="587" t="s">
        <v>644</v>
      </c>
      <c r="AC192" s="587" t="s">
        <v>644</v>
      </c>
      <c r="AD192" s="587" t="s">
        <v>644</v>
      </c>
      <c r="AE192" s="587" t="s">
        <v>644</v>
      </c>
      <c r="AF192" s="587" t="s">
        <v>644</v>
      </c>
      <c r="AG192" s="154"/>
      <c r="AH192" s="505">
        <v>74</v>
      </c>
      <c r="AI192" s="506">
        <v>37</v>
      </c>
    </row>
    <row r="193" spans="1:35" ht="21" customHeight="1" x14ac:dyDescent="0.2"/>
    <row r="194" spans="1:35" ht="21" customHeight="1" x14ac:dyDescent="0.2"/>
    <row r="195" spans="1:35" ht="21" customHeight="1" x14ac:dyDescent="0.2">
      <c r="A195" s="1" t="s">
        <v>647</v>
      </c>
    </row>
    <row r="196" spans="1:35" ht="21" customHeight="1" x14ac:dyDescent="0.2">
      <c r="B196" s="200" t="s">
        <v>604</v>
      </c>
      <c r="C196" s="7"/>
      <c r="D196" s="530" t="s">
        <v>2</v>
      </c>
      <c r="E196" s="51"/>
      <c r="F196" s="573"/>
      <c r="G196" s="7"/>
      <c r="H196" s="530" t="s">
        <v>3</v>
      </c>
      <c r="I196" s="51"/>
      <c r="J196" s="573"/>
      <c r="K196" s="7"/>
      <c r="L196" s="530" t="s">
        <v>4</v>
      </c>
      <c r="M196" s="51"/>
      <c r="N196" s="573"/>
      <c r="O196" s="7"/>
      <c r="P196" s="530" t="s">
        <v>5</v>
      </c>
      <c r="Q196" s="51"/>
      <c r="R196" s="573"/>
      <c r="S196" s="7"/>
      <c r="T196" s="530" t="s">
        <v>6</v>
      </c>
      <c r="U196" s="51"/>
      <c r="V196" s="573"/>
      <c r="W196" s="7"/>
      <c r="X196" s="530" t="s">
        <v>7</v>
      </c>
      <c r="Y196" s="51"/>
      <c r="Z196" s="573"/>
      <c r="AA196" s="7"/>
      <c r="AB196" s="530" t="s">
        <v>8</v>
      </c>
      <c r="AC196" s="51"/>
      <c r="AD196" s="51"/>
      <c r="AE196" s="424" t="s">
        <v>10</v>
      </c>
      <c r="AF196" s="51"/>
      <c r="AG196" s="51"/>
      <c r="AH196" s="51"/>
      <c r="AI196" s="531"/>
    </row>
    <row r="197" spans="1:35" ht="21" customHeight="1" x14ac:dyDescent="0.2">
      <c r="B197" s="9">
        <v>8500</v>
      </c>
      <c r="C197" s="121" t="s">
        <v>33</v>
      </c>
      <c r="D197" s="659"/>
      <c r="E197" s="55"/>
      <c r="F197" s="580"/>
      <c r="G197" s="121" t="s">
        <v>33</v>
      </c>
      <c r="H197" s="659"/>
      <c r="I197" s="55"/>
      <c r="J197" s="580"/>
      <c r="K197" s="121" t="s">
        <v>33</v>
      </c>
      <c r="L197" s="659"/>
      <c r="M197" s="55"/>
      <c r="N197" s="580"/>
      <c r="O197" s="121" t="s">
        <v>33</v>
      </c>
      <c r="P197" s="659"/>
      <c r="Q197" s="55"/>
      <c r="R197" s="580"/>
      <c r="S197" s="121" t="s">
        <v>34</v>
      </c>
      <c r="T197" s="659"/>
      <c r="U197" s="55"/>
      <c r="V197" s="580"/>
      <c r="W197" s="14"/>
      <c r="X197" s="659"/>
      <c r="Y197" s="55"/>
      <c r="Z197" s="580"/>
      <c r="AA197" s="14"/>
      <c r="AB197" s="659"/>
      <c r="AC197" s="55"/>
      <c r="AD197" s="55"/>
      <c r="AE197" s="660"/>
      <c r="AF197" s="55"/>
      <c r="AG197" s="55"/>
      <c r="AH197" s="55"/>
      <c r="AI197" s="661"/>
    </row>
    <row r="198" spans="1:35" ht="21" customHeight="1" x14ac:dyDescent="0.2">
      <c r="B198" s="162" t="s">
        <v>648</v>
      </c>
      <c r="C198" s="690" t="s">
        <v>649</v>
      </c>
      <c r="D198" s="607"/>
      <c r="E198" s="678"/>
      <c r="F198" s="239"/>
      <c r="G198" s="690" t="s">
        <v>649</v>
      </c>
      <c r="H198" s="148"/>
      <c r="I198" s="678"/>
      <c r="J198" s="239"/>
      <c r="K198" s="690" t="s">
        <v>649</v>
      </c>
      <c r="L198" s="148"/>
      <c r="M198" s="678"/>
      <c r="N198" s="239"/>
      <c r="O198" s="690" t="s">
        <v>650</v>
      </c>
      <c r="P198" s="148"/>
      <c r="Q198" s="678"/>
      <c r="R198" s="239"/>
      <c r="S198" s="690" t="s">
        <v>16</v>
      </c>
      <c r="T198" s="148"/>
      <c r="U198" s="678"/>
      <c r="V198" s="239"/>
      <c r="W198" s="679"/>
      <c r="X198" s="148"/>
      <c r="Y198" s="678"/>
      <c r="Z198" s="239"/>
      <c r="AA198" s="679"/>
      <c r="AB198" s="148"/>
      <c r="AC198" s="678"/>
      <c r="AD198" s="678"/>
      <c r="AE198" s="680"/>
      <c r="AF198" s="678"/>
      <c r="AG198" s="678"/>
      <c r="AH198" s="678"/>
      <c r="AI198" s="681"/>
    </row>
    <row r="199" spans="1:35" ht="21" customHeight="1" x14ac:dyDescent="0.2">
      <c r="A199" s="60" t="s">
        <v>651</v>
      </c>
    </row>
    <row r="200" spans="1:35" ht="21" customHeight="1" x14ac:dyDescent="0.2">
      <c r="A200" s="691"/>
      <c r="B200" s="296" t="s">
        <v>469</v>
      </c>
      <c r="C200" s="177">
        <v>1</v>
      </c>
      <c r="D200" s="177">
        <v>2</v>
      </c>
      <c r="E200" s="497">
        <v>3</v>
      </c>
      <c r="F200" s="497">
        <v>4</v>
      </c>
      <c r="G200" s="177">
        <v>5</v>
      </c>
      <c r="H200" s="177">
        <v>6</v>
      </c>
      <c r="I200" s="177">
        <v>7</v>
      </c>
      <c r="J200" s="177">
        <v>8</v>
      </c>
      <c r="K200" s="177">
        <v>9</v>
      </c>
      <c r="L200" s="497">
        <v>10</v>
      </c>
      <c r="M200" s="497">
        <v>11</v>
      </c>
      <c r="N200" s="177">
        <v>12</v>
      </c>
      <c r="O200" s="177">
        <v>13</v>
      </c>
      <c r="P200" s="177">
        <v>14</v>
      </c>
      <c r="Q200" s="177">
        <v>15</v>
      </c>
      <c r="R200" s="177">
        <v>16</v>
      </c>
      <c r="S200" s="497">
        <v>17</v>
      </c>
      <c r="T200" s="497">
        <v>18</v>
      </c>
      <c r="U200" s="177">
        <v>19</v>
      </c>
      <c r="V200" s="177">
        <v>20</v>
      </c>
      <c r="W200" s="177">
        <v>21</v>
      </c>
      <c r="X200" s="177">
        <v>22</v>
      </c>
      <c r="Y200" s="177">
        <v>23</v>
      </c>
      <c r="Z200" s="497">
        <v>24</v>
      </c>
      <c r="AA200" s="497">
        <v>25</v>
      </c>
      <c r="AB200" s="177">
        <v>26</v>
      </c>
      <c r="AC200" s="177">
        <v>27</v>
      </c>
      <c r="AD200" s="177">
        <v>28</v>
      </c>
      <c r="AE200" s="177">
        <v>29</v>
      </c>
      <c r="AF200" s="177">
        <v>30</v>
      </c>
      <c r="AG200" s="177"/>
      <c r="AH200" s="499" t="s">
        <v>470</v>
      </c>
      <c r="AI200" s="500" t="s">
        <v>471</v>
      </c>
    </row>
    <row r="201" spans="1:35" ht="21" customHeight="1" x14ac:dyDescent="0.2">
      <c r="A201" s="154">
        <v>8500</v>
      </c>
      <c r="B201" s="692" t="s">
        <v>652</v>
      </c>
      <c r="C201" s="587" t="s">
        <v>482</v>
      </c>
      <c r="D201" s="587" t="s">
        <v>482</v>
      </c>
      <c r="E201" s="587"/>
      <c r="F201" s="587"/>
      <c r="G201" s="1340" t="s">
        <v>482</v>
      </c>
      <c r="H201" s="1340" t="s">
        <v>617</v>
      </c>
      <c r="I201" s="587" t="s">
        <v>482</v>
      </c>
      <c r="J201" s="587" t="s">
        <v>482</v>
      </c>
      <c r="K201" s="587" t="s">
        <v>482</v>
      </c>
      <c r="L201" s="587"/>
      <c r="M201" s="587"/>
      <c r="N201" s="587" t="s">
        <v>482</v>
      </c>
      <c r="O201" s="587" t="s">
        <v>482</v>
      </c>
      <c r="P201" s="587" t="s">
        <v>482</v>
      </c>
      <c r="Q201" s="587" t="s">
        <v>482</v>
      </c>
      <c r="R201" s="587" t="s">
        <v>482</v>
      </c>
      <c r="S201" s="587"/>
      <c r="T201" s="587"/>
      <c r="U201" s="587" t="s">
        <v>482</v>
      </c>
      <c r="V201" s="587" t="s">
        <v>482</v>
      </c>
      <c r="W201" s="587" t="s">
        <v>482</v>
      </c>
      <c r="X201" s="587" t="s">
        <v>482</v>
      </c>
      <c r="Y201" s="587" t="s">
        <v>482</v>
      </c>
      <c r="Z201" s="587"/>
      <c r="AA201" s="587"/>
      <c r="AB201" s="587" t="s">
        <v>482</v>
      </c>
      <c r="AC201" s="587" t="s">
        <v>482</v>
      </c>
      <c r="AD201" s="587" t="s">
        <v>482</v>
      </c>
      <c r="AE201" s="587" t="s">
        <v>482</v>
      </c>
      <c r="AF201" s="587" t="s">
        <v>482</v>
      </c>
      <c r="AG201" s="504"/>
      <c r="AH201" s="693">
        <v>111</v>
      </c>
      <c r="AI201" s="694">
        <v>37</v>
      </c>
    </row>
    <row r="202" spans="1:35" ht="21" customHeight="1" x14ac:dyDescent="0.2">
      <c r="A202" s="501" t="s">
        <v>653</v>
      </c>
      <c r="B202" s="152" t="s">
        <v>654</v>
      </c>
      <c r="C202" s="587" t="s">
        <v>482</v>
      </c>
      <c r="D202" s="587" t="s">
        <v>482</v>
      </c>
      <c r="E202" s="587"/>
      <c r="F202" s="587"/>
      <c r="G202" s="1060" t="s">
        <v>482</v>
      </c>
      <c r="H202" s="1060" t="s">
        <v>482</v>
      </c>
      <c r="I202" s="1060" t="s">
        <v>482</v>
      </c>
      <c r="J202" s="1060" t="s">
        <v>482</v>
      </c>
      <c r="K202" s="1060" t="s">
        <v>482</v>
      </c>
      <c r="L202" s="1060"/>
      <c r="M202" s="1060"/>
      <c r="N202" s="1060" t="s">
        <v>482</v>
      </c>
      <c r="O202" s="1060" t="s">
        <v>482</v>
      </c>
      <c r="P202" s="1060" t="s">
        <v>482</v>
      </c>
      <c r="Q202" s="1060" t="s">
        <v>482</v>
      </c>
      <c r="R202" s="1060" t="s">
        <v>482</v>
      </c>
      <c r="S202" s="1060"/>
      <c r="T202" s="1060"/>
      <c r="U202" s="1060" t="s">
        <v>482</v>
      </c>
      <c r="V202" s="1060" t="s">
        <v>482</v>
      </c>
      <c r="W202" s="1060" t="s">
        <v>482</v>
      </c>
      <c r="X202" s="1060" t="s">
        <v>482</v>
      </c>
      <c r="Y202" s="1060" t="s">
        <v>482</v>
      </c>
      <c r="Z202" s="1060"/>
      <c r="AA202" s="1060"/>
      <c r="AB202" s="587" t="s">
        <v>482</v>
      </c>
      <c r="AC202" s="587" t="s">
        <v>482</v>
      </c>
      <c r="AD202" s="587" t="s">
        <v>482</v>
      </c>
      <c r="AE202" s="587" t="s">
        <v>482</v>
      </c>
      <c r="AF202" s="587" t="s">
        <v>482</v>
      </c>
      <c r="AG202" s="504"/>
      <c r="AH202" s="693">
        <v>33</v>
      </c>
      <c r="AI202" s="694">
        <v>37</v>
      </c>
    </row>
    <row r="203" spans="1:35" ht="21" customHeight="1" x14ac:dyDescent="0.2">
      <c r="A203" s="152">
        <v>8500</v>
      </c>
      <c r="B203" s="152" t="s">
        <v>655</v>
      </c>
      <c r="C203" s="1340" t="s">
        <v>482</v>
      </c>
      <c r="D203" s="1340" t="s">
        <v>617</v>
      </c>
      <c r="E203" s="587"/>
      <c r="F203" s="587"/>
      <c r="G203" s="587" t="s">
        <v>482</v>
      </c>
      <c r="H203" s="587" t="s">
        <v>482</v>
      </c>
      <c r="I203" s="587" t="s">
        <v>482</v>
      </c>
      <c r="J203" s="587" t="s">
        <v>482</v>
      </c>
      <c r="K203" s="587" t="s">
        <v>482</v>
      </c>
      <c r="L203" s="587"/>
      <c r="M203" s="587"/>
      <c r="N203" s="587" t="s">
        <v>482</v>
      </c>
      <c r="O203" s="587" t="s">
        <v>482</v>
      </c>
      <c r="P203" s="587" t="s">
        <v>482</v>
      </c>
      <c r="Q203" s="587" t="s">
        <v>482</v>
      </c>
      <c r="R203" s="587" t="s">
        <v>482</v>
      </c>
      <c r="S203" s="587"/>
      <c r="T203" s="587"/>
      <c r="U203" s="587" t="s">
        <v>482</v>
      </c>
      <c r="V203" s="587" t="s">
        <v>482</v>
      </c>
      <c r="W203" s="587" t="s">
        <v>482</v>
      </c>
      <c r="X203" s="587" t="s">
        <v>482</v>
      </c>
      <c r="Y203" s="587" t="s">
        <v>482</v>
      </c>
      <c r="Z203" s="587"/>
      <c r="AA203" s="587"/>
      <c r="AB203" s="587" t="s">
        <v>482</v>
      </c>
      <c r="AC203" s="587" t="s">
        <v>482</v>
      </c>
      <c r="AD203" s="587" t="s">
        <v>482</v>
      </c>
      <c r="AE203" s="587" t="s">
        <v>482</v>
      </c>
      <c r="AF203" s="587" t="s">
        <v>482</v>
      </c>
      <c r="AG203" s="504"/>
      <c r="AH203" s="693">
        <v>74</v>
      </c>
      <c r="AI203" s="694">
        <v>37</v>
      </c>
    </row>
    <row r="204" spans="1:35" ht="21.95" customHeight="1" x14ac:dyDescent="0.2">
      <c r="A204" s="441"/>
      <c r="B204" s="152" t="s">
        <v>656</v>
      </c>
      <c r="C204" s="587" t="s">
        <v>482</v>
      </c>
      <c r="D204" s="587" t="s">
        <v>482</v>
      </c>
      <c r="E204" s="587"/>
      <c r="F204" s="587"/>
      <c r="G204" s="587" t="s">
        <v>482</v>
      </c>
      <c r="H204" s="587" t="s">
        <v>482</v>
      </c>
      <c r="I204" s="587" t="s">
        <v>482</v>
      </c>
      <c r="J204" s="587" t="s">
        <v>482</v>
      </c>
      <c r="K204" s="587" t="s">
        <v>482</v>
      </c>
      <c r="L204" s="587"/>
      <c r="M204" s="587"/>
      <c r="N204" s="587" t="s">
        <v>482</v>
      </c>
      <c r="O204" s="587" t="s">
        <v>482</v>
      </c>
      <c r="P204" s="587" t="s">
        <v>482</v>
      </c>
      <c r="Q204" s="587" t="s">
        <v>482</v>
      </c>
      <c r="R204" s="587" t="s">
        <v>482</v>
      </c>
      <c r="S204" s="587"/>
      <c r="T204" s="587"/>
      <c r="U204" s="587" t="s">
        <v>482</v>
      </c>
      <c r="V204" s="587" t="s">
        <v>482</v>
      </c>
      <c r="W204" s="587" t="s">
        <v>482</v>
      </c>
      <c r="X204" s="587" t="s">
        <v>482</v>
      </c>
      <c r="Y204" s="587" t="s">
        <v>482</v>
      </c>
      <c r="Z204" s="587"/>
      <c r="AA204" s="587"/>
      <c r="AB204" s="587" t="s">
        <v>482</v>
      </c>
      <c r="AC204" s="587" t="s">
        <v>482</v>
      </c>
      <c r="AD204" s="587" t="s">
        <v>482</v>
      </c>
      <c r="AE204" s="587" t="s">
        <v>482</v>
      </c>
      <c r="AF204" s="587" t="s">
        <v>482</v>
      </c>
      <c r="AG204" s="504"/>
      <c r="AH204" s="693">
        <v>111</v>
      </c>
      <c r="AI204" s="694">
        <v>37</v>
      </c>
    </row>
    <row r="205" spans="1:35" ht="21.95" customHeight="1" x14ac:dyDescent="0.2">
      <c r="A205" s="512">
        <v>3350</v>
      </c>
      <c r="B205" s="54" t="s">
        <v>657</v>
      </c>
      <c r="C205" s="587" t="s">
        <v>482</v>
      </c>
      <c r="D205" s="587" t="s">
        <v>482</v>
      </c>
      <c r="E205" s="587"/>
      <c r="F205" s="587"/>
      <c r="G205" s="587" t="s">
        <v>482</v>
      </c>
      <c r="H205" s="587" t="s">
        <v>482</v>
      </c>
      <c r="I205" s="587" t="s">
        <v>482</v>
      </c>
      <c r="J205" s="587" t="s">
        <v>482</v>
      </c>
      <c r="K205" s="587" t="s">
        <v>482</v>
      </c>
      <c r="L205" s="587"/>
      <c r="M205" s="587"/>
      <c r="N205" s="1085" t="s">
        <v>482</v>
      </c>
      <c r="O205" s="587" t="s">
        <v>482</v>
      </c>
      <c r="P205" s="587" t="s">
        <v>482</v>
      </c>
      <c r="Q205" s="587" t="s">
        <v>482</v>
      </c>
      <c r="R205" s="1476" t="s">
        <v>482</v>
      </c>
      <c r="S205" s="587"/>
      <c r="T205" s="587"/>
      <c r="U205" s="587" t="s">
        <v>482</v>
      </c>
      <c r="V205" s="587" t="s">
        <v>482</v>
      </c>
      <c r="W205" s="587" t="s">
        <v>482</v>
      </c>
      <c r="X205" s="587" t="s">
        <v>482</v>
      </c>
      <c r="Y205" s="587" t="s">
        <v>482</v>
      </c>
      <c r="Z205" s="587"/>
      <c r="AA205" s="587"/>
      <c r="AB205" s="587" t="s">
        <v>482</v>
      </c>
      <c r="AC205" s="587" t="s">
        <v>482</v>
      </c>
      <c r="AD205" s="587" t="s">
        <v>482</v>
      </c>
      <c r="AE205" s="587" t="s">
        <v>482</v>
      </c>
      <c r="AF205" s="587" t="s">
        <v>482</v>
      </c>
      <c r="AG205" s="504"/>
      <c r="AH205" s="693">
        <v>37</v>
      </c>
      <c r="AI205" s="694">
        <v>37</v>
      </c>
    </row>
    <row r="206" spans="1:35" ht="21.95" customHeight="1" x14ac:dyDescent="0.2">
      <c r="A206" s="524">
        <v>3701</v>
      </c>
      <c r="B206" s="152" t="s">
        <v>658</v>
      </c>
      <c r="C206" s="1060" t="s">
        <v>482</v>
      </c>
      <c r="D206" s="1060" t="s">
        <v>482</v>
      </c>
      <c r="E206" s="1060"/>
      <c r="F206" s="1060"/>
      <c r="G206" s="1340" t="s">
        <v>482</v>
      </c>
      <c r="H206" s="1340" t="s">
        <v>482</v>
      </c>
      <c r="I206" s="1340" t="s">
        <v>482</v>
      </c>
      <c r="J206" s="1340" t="s">
        <v>482</v>
      </c>
      <c r="K206" s="1340" t="s">
        <v>482</v>
      </c>
      <c r="L206" s="1340"/>
      <c r="M206" s="1340"/>
      <c r="N206" s="1340" t="s">
        <v>617</v>
      </c>
      <c r="O206" s="587" t="s">
        <v>482</v>
      </c>
      <c r="P206" s="587" t="s">
        <v>482</v>
      </c>
      <c r="Q206" s="587" t="s">
        <v>482</v>
      </c>
      <c r="R206" s="587" t="s">
        <v>482</v>
      </c>
      <c r="S206" s="587"/>
      <c r="T206" s="587"/>
      <c r="U206" s="587" t="s">
        <v>482</v>
      </c>
      <c r="V206" s="587" t="s">
        <v>482</v>
      </c>
      <c r="W206" s="587" t="s">
        <v>482</v>
      </c>
      <c r="X206" s="587" t="s">
        <v>482</v>
      </c>
      <c r="Y206" s="587" t="s">
        <v>482</v>
      </c>
      <c r="Z206" s="587"/>
      <c r="AA206" s="587"/>
      <c r="AB206" s="587" t="s">
        <v>482</v>
      </c>
      <c r="AC206" s="587" t="s">
        <v>482</v>
      </c>
      <c r="AD206" s="587" t="s">
        <v>482</v>
      </c>
      <c r="AE206" s="587" t="s">
        <v>482</v>
      </c>
      <c r="AF206" s="587" t="s">
        <v>482</v>
      </c>
      <c r="AG206" s="504"/>
      <c r="AH206" s="705">
        <v>111</v>
      </c>
      <c r="AI206" s="706">
        <v>37</v>
      </c>
    </row>
    <row r="207" spans="1:35" ht="25.5" customHeight="1" x14ac:dyDescent="0.2">
      <c r="A207" s="1" t="s">
        <v>683</v>
      </c>
    </row>
    <row r="208" spans="1:35" ht="21" customHeight="1" x14ac:dyDescent="0.2">
      <c r="A208" s="1"/>
      <c r="B208" s="200" t="s">
        <v>604</v>
      </c>
      <c r="C208" s="7"/>
      <c r="D208" s="530" t="s">
        <v>2</v>
      </c>
      <c r="E208" s="51"/>
      <c r="F208" s="573"/>
      <c r="G208" s="7"/>
      <c r="H208" s="530" t="s">
        <v>3</v>
      </c>
      <c r="I208" s="51"/>
      <c r="J208" s="573"/>
      <c r="K208" s="7"/>
      <c r="L208" s="530" t="s">
        <v>4</v>
      </c>
      <c r="M208" s="51"/>
      <c r="N208" s="573"/>
      <c r="O208" s="7"/>
      <c r="P208" s="530" t="s">
        <v>5</v>
      </c>
      <c r="Q208" s="51"/>
      <c r="R208" s="573"/>
      <c r="S208" s="7"/>
      <c r="T208" s="530" t="s">
        <v>6</v>
      </c>
      <c r="U208" s="51"/>
      <c r="V208" s="573"/>
      <c r="W208" s="7"/>
      <c r="X208" s="530" t="s">
        <v>7</v>
      </c>
      <c r="Y208" s="51"/>
      <c r="Z208" s="573"/>
      <c r="AA208" s="7"/>
      <c r="AB208" s="530" t="s">
        <v>8</v>
      </c>
      <c r="AC208" s="51"/>
      <c r="AD208" s="51"/>
      <c r="AE208" s="424" t="s">
        <v>10</v>
      </c>
      <c r="AF208" s="51"/>
      <c r="AG208" s="51"/>
      <c r="AH208" s="51"/>
      <c r="AI208" s="531"/>
    </row>
    <row r="209" spans="1:35" ht="21" customHeight="1" x14ac:dyDescent="0.2">
      <c r="A209" s="1"/>
      <c r="B209" s="9"/>
      <c r="C209" s="14"/>
      <c r="D209" s="659"/>
      <c r="E209" s="55"/>
      <c r="F209" s="580"/>
      <c r="G209" s="14"/>
      <c r="H209" s="659"/>
      <c r="I209" s="55"/>
      <c r="J209" s="580"/>
      <c r="K209" s="14"/>
      <c r="L209" s="659"/>
      <c r="M209" s="55"/>
      <c r="N209" s="580"/>
      <c r="O209" s="14"/>
      <c r="P209" s="659"/>
      <c r="Q209" s="55"/>
      <c r="R209" s="580"/>
      <c r="S209" s="14"/>
      <c r="T209" s="659"/>
      <c r="U209" s="55"/>
      <c r="V209" s="580"/>
      <c r="W209" s="14"/>
      <c r="X209" s="659"/>
      <c r="Y209" s="55"/>
      <c r="Z209" s="580"/>
      <c r="AA209" s="14"/>
      <c r="AB209" s="659"/>
      <c r="AC209" s="55"/>
      <c r="AD209" s="55"/>
      <c r="AE209" s="660"/>
      <c r="AF209" s="55"/>
      <c r="AG209" s="55"/>
      <c r="AH209" s="55"/>
      <c r="AI209" s="661"/>
    </row>
    <row r="210" spans="1:35" ht="21" customHeight="1" x14ac:dyDescent="0.2">
      <c r="B210" s="662"/>
      <c r="C210" s="121"/>
      <c r="D210" s="156"/>
      <c r="E210" s="156"/>
      <c r="F210" s="612"/>
      <c r="G210" s="121"/>
      <c r="H210" s="156"/>
      <c r="I210" s="156"/>
      <c r="J210" s="612"/>
      <c r="K210" s="121"/>
      <c r="L210" s="156"/>
      <c r="M210" s="156"/>
      <c r="N210" s="612"/>
      <c r="O210" s="121"/>
      <c r="P210" s="156"/>
      <c r="Q210" s="156"/>
      <c r="R210" s="612"/>
      <c r="S210" s="121"/>
      <c r="T210" s="156"/>
      <c r="U210" s="156"/>
      <c r="V210" s="612"/>
      <c r="W210" s="121"/>
      <c r="X210" s="156"/>
      <c r="Y210" s="156"/>
      <c r="Z210" s="612"/>
      <c r="AA210" s="611"/>
      <c r="AB210" s="156"/>
      <c r="AC210" s="156"/>
      <c r="AD210" s="613"/>
      <c r="AE210" s="663"/>
      <c r="AF210" s="156"/>
      <c r="AG210" s="156" t="s">
        <v>28</v>
      </c>
      <c r="AH210" s="613"/>
      <c r="AI210" s="489"/>
    </row>
    <row r="211" spans="1:35" ht="21" customHeight="1" x14ac:dyDescent="0.2">
      <c r="A211" s="1"/>
      <c r="B211" s="47"/>
      <c r="C211" s="618"/>
      <c r="D211" s="53"/>
      <c r="E211" s="53"/>
      <c r="F211" s="619"/>
      <c r="G211" s="618"/>
      <c r="H211" s="53"/>
      <c r="I211" s="53"/>
      <c r="J211" s="619"/>
      <c r="K211" s="618"/>
      <c r="L211" s="53"/>
      <c r="M211" s="53"/>
      <c r="N211" s="619"/>
      <c r="O211" s="618"/>
      <c r="P211" s="53"/>
      <c r="Q211" s="53"/>
      <c r="R211" s="619"/>
      <c r="S211" s="618"/>
      <c r="T211" s="53"/>
      <c r="U211" s="53"/>
      <c r="V211" s="619"/>
      <c r="W211" s="57"/>
      <c r="X211" s="53"/>
      <c r="Y211" s="53"/>
      <c r="Z211" s="619"/>
      <c r="AA211" s="57"/>
      <c r="AB211" s="53"/>
      <c r="AC211" s="53"/>
      <c r="AD211" s="620"/>
      <c r="AE211" s="57"/>
      <c r="AF211" s="53"/>
      <c r="AG211" s="53"/>
      <c r="AH211" s="620"/>
      <c r="AI211" s="544"/>
    </row>
    <row r="212" spans="1:35" ht="33" customHeight="1" x14ac:dyDescent="0.2">
      <c r="A212" s="1"/>
      <c r="B212" s="72"/>
      <c r="C212" s="311"/>
      <c r="F212" s="353"/>
      <c r="G212" s="311"/>
      <c r="J212" s="353"/>
      <c r="K212" s="311"/>
      <c r="N212" s="353"/>
      <c r="O212" s="311"/>
      <c r="R212" s="353"/>
      <c r="S212" s="311"/>
      <c r="V212" s="353"/>
      <c r="W212" s="353"/>
      <c r="Z212" s="353"/>
      <c r="AA212" s="353"/>
      <c r="AD212" s="353"/>
      <c r="AE212" s="353"/>
      <c r="AH212" s="353"/>
    </row>
    <row r="213" spans="1:35" ht="21" customHeight="1" x14ac:dyDescent="0.2">
      <c r="A213" s="585" t="s">
        <v>468</v>
      </c>
      <c r="B213" s="296" t="s">
        <v>469</v>
      </c>
      <c r="C213" s="177">
        <v>1</v>
      </c>
      <c r="D213" s="177">
        <v>2</v>
      </c>
      <c r="E213" s="497">
        <v>3</v>
      </c>
      <c r="F213" s="497">
        <v>4</v>
      </c>
      <c r="G213" s="177">
        <v>5</v>
      </c>
      <c r="H213" s="177">
        <v>6</v>
      </c>
      <c r="I213" s="177">
        <v>7</v>
      </c>
      <c r="J213" s="177">
        <v>8</v>
      </c>
      <c r="K213" s="177">
        <v>9</v>
      </c>
      <c r="L213" s="497">
        <v>10</v>
      </c>
      <c r="M213" s="497">
        <v>11</v>
      </c>
      <c r="N213" s="177">
        <v>12</v>
      </c>
      <c r="O213" s="177">
        <v>13</v>
      </c>
      <c r="P213" s="177">
        <v>14</v>
      </c>
      <c r="Q213" s="177">
        <v>15</v>
      </c>
      <c r="R213" s="177">
        <v>16</v>
      </c>
      <c r="S213" s="497">
        <v>17</v>
      </c>
      <c r="T213" s="497">
        <v>18</v>
      </c>
      <c r="U213" s="177">
        <v>19</v>
      </c>
      <c r="V213" s="177">
        <v>20</v>
      </c>
      <c r="W213" s="177">
        <v>21</v>
      </c>
      <c r="X213" s="177">
        <v>22</v>
      </c>
      <c r="Y213" s="177">
        <v>23</v>
      </c>
      <c r="Z213" s="497">
        <v>24</v>
      </c>
      <c r="AA213" s="497">
        <v>25</v>
      </c>
      <c r="AB213" s="177">
        <v>26</v>
      </c>
      <c r="AC213" s="177">
        <v>27</v>
      </c>
      <c r="AD213" s="177">
        <v>28</v>
      </c>
      <c r="AE213" s="177">
        <v>29</v>
      </c>
      <c r="AF213" s="177">
        <v>30</v>
      </c>
      <c r="AG213" s="177"/>
      <c r="AH213" s="499" t="s">
        <v>470</v>
      </c>
      <c r="AI213" s="500" t="s">
        <v>471</v>
      </c>
    </row>
    <row r="214" spans="1:35" ht="21" customHeight="1" x14ac:dyDescent="0.2">
      <c r="A214" s="441"/>
      <c r="B214" s="673" t="s">
        <v>661</v>
      </c>
      <c r="C214" s="587" t="s">
        <v>482</v>
      </c>
      <c r="D214" s="587" t="s">
        <v>482</v>
      </c>
      <c r="E214" s="587"/>
      <c r="F214" s="587"/>
      <c r="G214" s="1060" t="s">
        <v>482</v>
      </c>
      <c r="H214" s="1060" t="s">
        <v>482</v>
      </c>
      <c r="I214" s="1060" t="s">
        <v>482</v>
      </c>
      <c r="J214" s="1060" t="s">
        <v>482</v>
      </c>
      <c r="K214" s="1060" t="s">
        <v>482</v>
      </c>
      <c r="L214" s="1060"/>
      <c r="M214" s="1060"/>
      <c r="N214" s="1060" t="s">
        <v>482</v>
      </c>
      <c r="O214" s="1060" t="s">
        <v>482</v>
      </c>
      <c r="P214" s="1060" t="s">
        <v>482</v>
      </c>
      <c r="Q214" s="1060" t="s">
        <v>482</v>
      </c>
      <c r="R214" s="1060" t="s">
        <v>482</v>
      </c>
      <c r="S214" s="587"/>
      <c r="T214" s="587"/>
      <c r="U214" s="587" t="s">
        <v>482</v>
      </c>
      <c r="V214" s="587" t="s">
        <v>482</v>
      </c>
      <c r="W214" s="587" t="s">
        <v>482</v>
      </c>
      <c r="X214" s="587" t="s">
        <v>482</v>
      </c>
      <c r="Y214" s="587" t="s">
        <v>482</v>
      </c>
      <c r="Z214" s="587"/>
      <c r="AA214" s="587"/>
      <c r="AB214" s="587" t="s">
        <v>482</v>
      </c>
      <c r="AC214" s="587" t="s">
        <v>482</v>
      </c>
      <c r="AD214" s="587" t="s">
        <v>482</v>
      </c>
      <c r="AE214" s="587" t="s">
        <v>482</v>
      </c>
      <c r="AF214" s="587" t="s">
        <v>482</v>
      </c>
      <c r="AG214" s="650"/>
      <c r="AH214" s="703">
        <v>88</v>
      </c>
      <c r="AI214" s="704">
        <v>37</v>
      </c>
    </row>
    <row r="215" spans="1:35" ht="21" customHeight="1" x14ac:dyDescent="0.2">
      <c r="A215" s="441"/>
      <c r="B215" s="673" t="s">
        <v>662</v>
      </c>
      <c r="C215" s="1477" t="s">
        <v>482</v>
      </c>
      <c r="D215" s="1477" t="s">
        <v>482</v>
      </c>
      <c r="E215" s="587"/>
      <c r="F215" s="587"/>
      <c r="G215" s="587" t="s">
        <v>482</v>
      </c>
      <c r="H215" s="587" t="s">
        <v>482</v>
      </c>
      <c r="I215" s="587" t="s">
        <v>482</v>
      </c>
      <c r="J215" s="587" t="s">
        <v>482</v>
      </c>
      <c r="K215" s="587" t="s">
        <v>482</v>
      </c>
      <c r="L215" s="587"/>
      <c r="M215" s="587"/>
      <c r="N215" s="587" t="s">
        <v>482</v>
      </c>
      <c r="O215" s="587" t="s">
        <v>482</v>
      </c>
      <c r="P215" s="587" t="s">
        <v>482</v>
      </c>
      <c r="Q215" s="587" t="s">
        <v>482</v>
      </c>
      <c r="R215" s="587" t="s">
        <v>482</v>
      </c>
      <c r="S215" s="587"/>
      <c r="T215" s="587"/>
      <c r="U215" s="587" t="s">
        <v>482</v>
      </c>
      <c r="V215" s="587" t="s">
        <v>482</v>
      </c>
      <c r="W215" s="587" t="s">
        <v>482</v>
      </c>
      <c r="X215" s="587" t="s">
        <v>482</v>
      </c>
      <c r="Y215" s="587" t="s">
        <v>482</v>
      </c>
      <c r="Z215" s="587"/>
      <c r="AA215" s="587"/>
      <c r="AB215" s="587" t="s">
        <v>482</v>
      </c>
      <c r="AC215" s="587" t="s">
        <v>482</v>
      </c>
      <c r="AD215" s="587" t="s">
        <v>482</v>
      </c>
      <c r="AE215" s="587" t="s">
        <v>482</v>
      </c>
      <c r="AF215" s="587" t="s">
        <v>482</v>
      </c>
      <c r="AG215" s="650"/>
      <c r="AH215" s="648">
        <v>37</v>
      </c>
      <c r="AI215" s="649">
        <v>37</v>
      </c>
    </row>
    <row r="216" spans="1:35" ht="21" customHeight="1" x14ac:dyDescent="0.2">
      <c r="A216" s="441"/>
      <c r="B216" s="673" t="s">
        <v>663</v>
      </c>
      <c r="C216" s="587" t="s">
        <v>482</v>
      </c>
      <c r="D216" s="587" t="s">
        <v>482</v>
      </c>
      <c r="E216" s="587"/>
      <c r="F216" s="587"/>
      <c r="G216" s="587" t="s">
        <v>482</v>
      </c>
      <c r="H216" s="587" t="s">
        <v>482</v>
      </c>
      <c r="I216" s="587" t="s">
        <v>482</v>
      </c>
      <c r="J216" s="587" t="s">
        <v>482</v>
      </c>
      <c r="K216" s="587" t="s">
        <v>482</v>
      </c>
      <c r="L216" s="587"/>
      <c r="M216" s="587"/>
      <c r="N216" s="587" t="s">
        <v>482</v>
      </c>
      <c r="O216" s="587" t="s">
        <v>482</v>
      </c>
      <c r="P216" s="587" t="s">
        <v>482</v>
      </c>
      <c r="Q216" s="587" t="s">
        <v>482</v>
      </c>
      <c r="R216" s="587" t="s">
        <v>482</v>
      </c>
      <c r="S216" s="587"/>
      <c r="T216" s="587"/>
      <c r="U216" s="587" t="s">
        <v>482</v>
      </c>
      <c r="V216" s="587" t="s">
        <v>482</v>
      </c>
      <c r="W216" s="587" t="s">
        <v>482</v>
      </c>
      <c r="X216" s="587" t="s">
        <v>482</v>
      </c>
      <c r="Y216" s="587" t="s">
        <v>482</v>
      </c>
      <c r="Z216" s="587"/>
      <c r="AA216" s="587"/>
      <c r="AB216" s="587" t="s">
        <v>482</v>
      </c>
      <c r="AC216" s="587" t="s">
        <v>482</v>
      </c>
      <c r="AD216" s="587" t="s">
        <v>482</v>
      </c>
      <c r="AE216" s="587" t="s">
        <v>482</v>
      </c>
      <c r="AF216" s="587" t="s">
        <v>482</v>
      </c>
      <c r="AG216" s="650"/>
      <c r="AH216" s="648">
        <v>140</v>
      </c>
      <c r="AI216" s="649">
        <v>37</v>
      </c>
    </row>
    <row r="217" spans="1:35" ht="21" customHeight="1" x14ac:dyDescent="0.2">
      <c r="A217" s="441"/>
      <c r="B217" s="673" t="s">
        <v>664</v>
      </c>
      <c r="C217" s="1060" t="s">
        <v>482</v>
      </c>
      <c r="D217" s="1060" t="s">
        <v>482</v>
      </c>
      <c r="E217" s="1060"/>
      <c r="F217" s="1060"/>
      <c r="G217" s="587" t="s">
        <v>482</v>
      </c>
      <c r="H217" s="587" t="s">
        <v>482</v>
      </c>
      <c r="I217" s="587" t="s">
        <v>482</v>
      </c>
      <c r="J217" s="587" t="s">
        <v>482</v>
      </c>
      <c r="K217" s="587" t="s">
        <v>482</v>
      </c>
      <c r="L217" s="587"/>
      <c r="M217" s="587"/>
      <c r="N217" s="587" t="s">
        <v>482</v>
      </c>
      <c r="O217" s="587" t="s">
        <v>482</v>
      </c>
      <c r="P217" s="587" t="s">
        <v>482</v>
      </c>
      <c r="Q217" s="587" t="s">
        <v>482</v>
      </c>
      <c r="R217" s="587" t="s">
        <v>482</v>
      </c>
      <c r="S217" s="587"/>
      <c r="T217" s="587"/>
      <c r="U217" s="587" t="s">
        <v>482</v>
      </c>
      <c r="V217" s="587" t="s">
        <v>482</v>
      </c>
      <c r="W217" s="587" t="s">
        <v>482</v>
      </c>
      <c r="X217" s="587" t="s">
        <v>482</v>
      </c>
      <c r="Y217" s="587" t="s">
        <v>482</v>
      </c>
      <c r="Z217" s="587"/>
      <c r="AA217" s="587"/>
      <c r="AB217" s="587" t="s">
        <v>482</v>
      </c>
      <c r="AC217" s="587" t="s">
        <v>482</v>
      </c>
      <c r="AD217" s="587" t="s">
        <v>482</v>
      </c>
      <c r="AE217" s="587" t="s">
        <v>482</v>
      </c>
      <c r="AF217" s="587" t="s">
        <v>482</v>
      </c>
      <c r="AG217" s="650"/>
      <c r="AH217" s="648">
        <v>140</v>
      </c>
      <c r="AI217" s="649">
        <v>37</v>
      </c>
    </row>
    <row r="218" spans="1:35" ht="21" customHeight="1" x14ac:dyDescent="0.2">
      <c r="A218" s="441"/>
      <c r="B218" s="673" t="s">
        <v>665</v>
      </c>
      <c r="C218" s="587" t="s">
        <v>482</v>
      </c>
      <c r="D218" s="587" t="s">
        <v>482</v>
      </c>
      <c r="E218" s="587"/>
      <c r="F218" s="587"/>
      <c r="G218" s="587" t="s">
        <v>482</v>
      </c>
      <c r="H218" s="587" t="s">
        <v>482</v>
      </c>
      <c r="I218" s="587" t="s">
        <v>482</v>
      </c>
      <c r="J218" s="587" t="s">
        <v>482</v>
      </c>
      <c r="K218" s="587" t="s">
        <v>482</v>
      </c>
      <c r="L218" s="587"/>
      <c r="M218" s="587"/>
      <c r="N218" s="587" t="s">
        <v>482</v>
      </c>
      <c r="O218" s="587" t="s">
        <v>482</v>
      </c>
      <c r="P218" s="587" t="s">
        <v>482</v>
      </c>
      <c r="Q218" s="587" t="s">
        <v>482</v>
      </c>
      <c r="R218" s="587" t="s">
        <v>482</v>
      </c>
      <c r="S218" s="587"/>
      <c r="T218" s="587"/>
      <c r="U218" s="587" t="s">
        <v>482</v>
      </c>
      <c r="V218" s="587" t="s">
        <v>482</v>
      </c>
      <c r="W218" s="587" t="s">
        <v>482</v>
      </c>
      <c r="X218" s="587" t="s">
        <v>482</v>
      </c>
      <c r="Y218" s="587" t="s">
        <v>482</v>
      </c>
      <c r="Z218" s="587"/>
      <c r="AA218" s="587"/>
      <c r="AB218" s="587" t="s">
        <v>482</v>
      </c>
      <c r="AC218" s="1340" t="s">
        <v>617</v>
      </c>
      <c r="AD218" s="587" t="s">
        <v>482</v>
      </c>
      <c r="AE218" s="587" t="s">
        <v>482</v>
      </c>
      <c r="AF218" s="587" t="s">
        <v>482</v>
      </c>
      <c r="AG218" s="650"/>
      <c r="AH218" s="648">
        <v>185</v>
      </c>
      <c r="AI218" s="649">
        <v>37</v>
      </c>
    </row>
    <row r="219" spans="1:35" ht="21" customHeight="1" x14ac:dyDescent="0.2">
      <c r="A219" s="441"/>
      <c r="B219" s="673" t="s">
        <v>666</v>
      </c>
      <c r="C219" s="587" t="s">
        <v>482</v>
      </c>
      <c r="D219" s="587" t="s">
        <v>482</v>
      </c>
      <c r="E219" s="587"/>
      <c r="F219" s="587"/>
      <c r="G219" s="587" t="s">
        <v>482</v>
      </c>
      <c r="H219" s="587" t="s">
        <v>482</v>
      </c>
      <c r="I219" s="587" t="s">
        <v>482</v>
      </c>
      <c r="J219" s="587" t="s">
        <v>482</v>
      </c>
      <c r="K219" s="587" t="s">
        <v>482</v>
      </c>
      <c r="L219" s="587"/>
      <c r="M219" s="587"/>
      <c r="N219" s="587" t="s">
        <v>482</v>
      </c>
      <c r="O219" s="587" t="s">
        <v>482</v>
      </c>
      <c r="P219" s="587" t="s">
        <v>482</v>
      </c>
      <c r="Q219" s="587" t="s">
        <v>482</v>
      </c>
      <c r="R219" s="587" t="s">
        <v>482</v>
      </c>
      <c r="S219" s="587"/>
      <c r="T219" s="587"/>
      <c r="U219" s="587" t="s">
        <v>482</v>
      </c>
      <c r="V219" s="587" t="s">
        <v>482</v>
      </c>
      <c r="W219" s="587" t="s">
        <v>482</v>
      </c>
      <c r="X219" s="587" t="s">
        <v>482</v>
      </c>
      <c r="Y219" s="587" t="s">
        <v>482</v>
      </c>
      <c r="Z219" s="587"/>
      <c r="AA219" s="587"/>
      <c r="AB219" s="587" t="s">
        <v>482</v>
      </c>
      <c r="AC219" s="587" t="s">
        <v>482</v>
      </c>
      <c r="AD219" s="587" t="s">
        <v>482</v>
      </c>
      <c r="AE219" s="587" t="s">
        <v>482</v>
      </c>
      <c r="AF219" s="587" t="s">
        <v>482</v>
      </c>
      <c r="AG219" s="650"/>
      <c r="AH219" s="648">
        <v>177</v>
      </c>
      <c r="AI219" s="649">
        <v>37</v>
      </c>
    </row>
    <row r="220" spans="1:35" ht="21" customHeight="1" x14ac:dyDescent="0.2">
      <c r="A220" s="441"/>
      <c r="B220" s="673" t="s">
        <v>667</v>
      </c>
      <c r="C220" s="1060" t="s">
        <v>482</v>
      </c>
      <c r="D220" s="1060" t="s">
        <v>482</v>
      </c>
      <c r="E220" s="1060"/>
      <c r="F220" s="1060"/>
      <c r="G220" s="1060" t="s">
        <v>482</v>
      </c>
      <c r="H220" s="1060" t="s">
        <v>482</v>
      </c>
      <c r="I220" s="1060" t="s">
        <v>482</v>
      </c>
      <c r="J220" s="1060" t="s">
        <v>482</v>
      </c>
      <c r="K220" s="1060" t="s">
        <v>482</v>
      </c>
      <c r="L220" s="1060"/>
      <c r="M220" s="1060"/>
      <c r="N220" s="587" t="s">
        <v>482</v>
      </c>
      <c r="O220" s="587" t="s">
        <v>482</v>
      </c>
      <c r="P220" s="587" t="s">
        <v>482</v>
      </c>
      <c r="Q220" s="587" t="s">
        <v>482</v>
      </c>
      <c r="R220" s="587" t="s">
        <v>482</v>
      </c>
      <c r="S220" s="587"/>
      <c r="T220" s="587"/>
      <c r="U220" s="587" t="s">
        <v>482</v>
      </c>
      <c r="V220" s="587" t="s">
        <v>482</v>
      </c>
      <c r="W220" s="587" t="s">
        <v>482</v>
      </c>
      <c r="X220" s="587" t="s">
        <v>482</v>
      </c>
      <c r="Y220" s="587" t="s">
        <v>482</v>
      </c>
      <c r="Z220" s="587"/>
      <c r="AA220" s="587"/>
      <c r="AB220" s="1340" t="s">
        <v>482</v>
      </c>
      <c r="AC220" s="1340" t="s">
        <v>482</v>
      </c>
      <c r="AD220" s="1340" t="s">
        <v>482</v>
      </c>
      <c r="AE220" s="1340" t="s">
        <v>482</v>
      </c>
      <c r="AF220" s="1340" t="s">
        <v>617</v>
      </c>
      <c r="AG220" s="650"/>
      <c r="AH220" s="648">
        <v>111</v>
      </c>
      <c r="AI220" s="649">
        <v>37</v>
      </c>
    </row>
    <row r="221" spans="1:35" ht="21" customHeight="1" x14ac:dyDescent="0.2">
      <c r="A221" s="441"/>
      <c r="B221" s="673" t="s">
        <v>668</v>
      </c>
      <c r="C221" s="587" t="s">
        <v>482</v>
      </c>
      <c r="D221" s="587" t="s">
        <v>482</v>
      </c>
      <c r="E221" s="587"/>
      <c r="F221" s="587"/>
      <c r="G221" s="587" t="s">
        <v>482</v>
      </c>
      <c r="H221" s="587" t="s">
        <v>482</v>
      </c>
      <c r="I221" s="587" t="s">
        <v>482</v>
      </c>
      <c r="J221" s="587" t="s">
        <v>482</v>
      </c>
      <c r="K221" s="587" t="s">
        <v>482</v>
      </c>
      <c r="L221" s="587"/>
      <c r="M221" s="587"/>
      <c r="N221" s="587" t="s">
        <v>482</v>
      </c>
      <c r="O221" s="587" t="s">
        <v>482</v>
      </c>
      <c r="P221" s="587" t="s">
        <v>482</v>
      </c>
      <c r="Q221" s="587" t="s">
        <v>482</v>
      </c>
      <c r="R221" s="587" t="s">
        <v>482</v>
      </c>
      <c r="S221" s="587"/>
      <c r="T221" s="587"/>
      <c r="U221" s="587" t="s">
        <v>482</v>
      </c>
      <c r="V221" s="587" t="s">
        <v>482</v>
      </c>
      <c r="W221" s="587" t="s">
        <v>482</v>
      </c>
      <c r="X221" s="587" t="s">
        <v>482</v>
      </c>
      <c r="Y221" s="587" t="s">
        <v>482</v>
      </c>
      <c r="Z221" s="587"/>
      <c r="AA221" s="587"/>
      <c r="AB221" s="587" t="s">
        <v>482</v>
      </c>
      <c r="AC221" s="587" t="s">
        <v>482</v>
      </c>
      <c r="AD221" s="587" t="s">
        <v>482</v>
      </c>
      <c r="AE221" s="587" t="s">
        <v>482</v>
      </c>
      <c r="AF221" s="587" t="s">
        <v>482</v>
      </c>
      <c r="AG221" s="650"/>
      <c r="AH221" s="648">
        <v>68</v>
      </c>
      <c r="AI221" s="649">
        <v>18</v>
      </c>
    </row>
    <row r="222" spans="1:35" ht="21" customHeight="1" x14ac:dyDescent="0.2">
      <c r="A222" s="441"/>
      <c r="B222" s="673" t="s">
        <v>669</v>
      </c>
      <c r="C222" s="587" t="s">
        <v>482</v>
      </c>
      <c r="D222" s="587" t="s">
        <v>482</v>
      </c>
      <c r="E222" s="587"/>
      <c r="F222" s="587"/>
      <c r="G222" s="587" t="s">
        <v>482</v>
      </c>
      <c r="H222" s="587" t="s">
        <v>482</v>
      </c>
      <c r="I222" s="587" t="s">
        <v>482</v>
      </c>
      <c r="J222" s="587" t="s">
        <v>482</v>
      </c>
      <c r="K222" s="587" t="s">
        <v>482</v>
      </c>
      <c r="L222" s="587"/>
      <c r="M222" s="587"/>
      <c r="N222" s="587" t="s">
        <v>482</v>
      </c>
      <c r="O222" s="1340" t="s">
        <v>482</v>
      </c>
      <c r="P222" s="1340" t="s">
        <v>482</v>
      </c>
      <c r="Q222" s="1340" t="s">
        <v>482</v>
      </c>
      <c r="R222" s="1340" t="s">
        <v>482</v>
      </c>
      <c r="S222" s="1340"/>
      <c r="T222" s="1340"/>
      <c r="U222" s="1340" t="s">
        <v>482</v>
      </c>
      <c r="V222" s="1340" t="s">
        <v>482</v>
      </c>
      <c r="W222" s="1340" t="s">
        <v>482</v>
      </c>
      <c r="X222" s="1340" t="s">
        <v>482</v>
      </c>
      <c r="Y222" s="1340" t="s">
        <v>482</v>
      </c>
      <c r="Z222" s="1340"/>
      <c r="AA222" s="1340"/>
      <c r="AB222" s="1340" t="s">
        <v>482</v>
      </c>
      <c r="AC222" s="1340" t="s">
        <v>482</v>
      </c>
      <c r="AD222" s="1340" t="s">
        <v>482</v>
      </c>
      <c r="AE222" s="1340" t="s">
        <v>482</v>
      </c>
      <c r="AF222" s="1340" t="s">
        <v>482</v>
      </c>
      <c r="AG222" s="650"/>
      <c r="AH222" s="648">
        <v>74</v>
      </c>
      <c r="AI222" s="649">
        <v>37</v>
      </c>
    </row>
    <row r="223" spans="1:35" ht="21" customHeight="1" x14ac:dyDescent="0.2">
      <c r="A223" s="441"/>
      <c r="B223" s="673" t="s">
        <v>670</v>
      </c>
      <c r="C223" s="587" t="s">
        <v>482</v>
      </c>
      <c r="D223" s="587" t="s">
        <v>482</v>
      </c>
      <c r="E223" s="587"/>
      <c r="F223" s="587"/>
      <c r="G223" s="587" t="s">
        <v>482</v>
      </c>
      <c r="H223" s="587" t="s">
        <v>482</v>
      </c>
      <c r="I223" s="587" t="s">
        <v>482</v>
      </c>
      <c r="J223" s="587" t="s">
        <v>482</v>
      </c>
      <c r="K223" s="587" t="s">
        <v>482</v>
      </c>
      <c r="L223" s="587"/>
      <c r="M223" s="587"/>
      <c r="N223" s="587" t="s">
        <v>482</v>
      </c>
      <c r="O223" s="587" t="s">
        <v>482</v>
      </c>
      <c r="P223" s="587" t="s">
        <v>482</v>
      </c>
      <c r="Q223" s="1340" t="s">
        <v>482</v>
      </c>
      <c r="R223" s="1340" t="s">
        <v>482</v>
      </c>
      <c r="S223" s="1340"/>
      <c r="T223" s="1340"/>
      <c r="U223" s="1340" t="s">
        <v>617</v>
      </c>
      <c r="V223" s="587" t="s">
        <v>482</v>
      </c>
      <c r="W223" s="587" t="s">
        <v>482</v>
      </c>
      <c r="X223" s="587" t="s">
        <v>482</v>
      </c>
      <c r="Y223" s="587" t="s">
        <v>482</v>
      </c>
      <c r="Z223" s="587"/>
      <c r="AA223" s="587"/>
      <c r="AB223" s="587" t="s">
        <v>482</v>
      </c>
      <c r="AC223" s="587" t="s">
        <v>482</v>
      </c>
      <c r="AD223" s="587" t="s">
        <v>482</v>
      </c>
      <c r="AE223" s="587" t="s">
        <v>482</v>
      </c>
      <c r="AF223" s="587" t="s">
        <v>482</v>
      </c>
      <c r="AG223" s="650"/>
      <c r="AH223" s="648">
        <v>74</v>
      </c>
      <c r="AI223" s="649">
        <v>37</v>
      </c>
    </row>
    <row r="224" spans="1:35" ht="21" customHeight="1" x14ac:dyDescent="0.2">
      <c r="A224" s="441"/>
      <c r="B224" s="152" t="s">
        <v>671</v>
      </c>
      <c r="C224" s="587" t="s">
        <v>482</v>
      </c>
      <c r="D224" s="587" t="s">
        <v>482</v>
      </c>
      <c r="E224" s="587"/>
      <c r="F224" s="587"/>
      <c r="G224" s="587" t="s">
        <v>482</v>
      </c>
      <c r="H224" s="587" t="s">
        <v>482</v>
      </c>
      <c r="I224" s="1060" t="s">
        <v>482</v>
      </c>
      <c r="J224" s="1060" t="s">
        <v>482</v>
      </c>
      <c r="K224" s="587" t="s">
        <v>482</v>
      </c>
      <c r="L224" s="587"/>
      <c r="M224" s="587"/>
      <c r="N224" s="587" t="s">
        <v>482</v>
      </c>
      <c r="O224" s="587" t="s">
        <v>482</v>
      </c>
      <c r="P224" s="587" t="s">
        <v>482</v>
      </c>
      <c r="Q224" s="587" t="s">
        <v>482</v>
      </c>
      <c r="R224" s="587" t="s">
        <v>482</v>
      </c>
      <c r="S224" s="587"/>
      <c r="T224" s="587"/>
      <c r="U224" s="587" t="s">
        <v>482</v>
      </c>
      <c r="V224" s="587" t="s">
        <v>482</v>
      </c>
      <c r="W224" s="587" t="s">
        <v>482</v>
      </c>
      <c r="X224" s="587" t="s">
        <v>482</v>
      </c>
      <c r="Y224" s="587" t="s">
        <v>482</v>
      </c>
      <c r="Z224" s="587"/>
      <c r="AA224" s="587"/>
      <c r="AB224" s="587" t="s">
        <v>482</v>
      </c>
      <c r="AC224" s="587" t="s">
        <v>482</v>
      </c>
      <c r="AD224" s="587" t="s">
        <v>482</v>
      </c>
      <c r="AE224" s="587" t="s">
        <v>482</v>
      </c>
      <c r="AF224" s="587" t="s">
        <v>482</v>
      </c>
      <c r="AG224" s="588"/>
      <c r="AH224" s="648">
        <v>59</v>
      </c>
      <c r="AI224" s="649">
        <v>37</v>
      </c>
    </row>
    <row r="225" spans="1:35" ht="21" customHeight="1" x14ac:dyDescent="0.2">
      <c r="A225" s="441"/>
      <c r="B225" s="152" t="s">
        <v>672</v>
      </c>
      <c r="C225" s="587" t="s">
        <v>482</v>
      </c>
      <c r="D225" s="587" t="s">
        <v>482</v>
      </c>
      <c r="E225" s="587"/>
      <c r="F225" s="587"/>
      <c r="G225" s="587" t="s">
        <v>482</v>
      </c>
      <c r="H225" s="587" t="s">
        <v>482</v>
      </c>
      <c r="I225" s="1340" t="s">
        <v>482</v>
      </c>
      <c r="J225" s="1340" t="s">
        <v>482</v>
      </c>
      <c r="K225" s="1340" t="s">
        <v>482</v>
      </c>
      <c r="L225" s="1340"/>
      <c r="M225" s="1340"/>
      <c r="N225" s="1340" t="s">
        <v>482</v>
      </c>
      <c r="O225" s="1340" t="s">
        <v>617</v>
      </c>
      <c r="P225" s="587" t="s">
        <v>482</v>
      </c>
      <c r="Q225" s="587" t="s">
        <v>482</v>
      </c>
      <c r="R225" s="587" t="s">
        <v>482</v>
      </c>
      <c r="S225" s="587"/>
      <c r="T225" s="587"/>
      <c r="U225" s="587" t="s">
        <v>482</v>
      </c>
      <c r="V225" s="587" t="s">
        <v>482</v>
      </c>
      <c r="W225" s="587" t="s">
        <v>482</v>
      </c>
      <c r="X225" s="587" t="s">
        <v>482</v>
      </c>
      <c r="Y225" s="587" t="s">
        <v>482</v>
      </c>
      <c r="Z225" s="587"/>
      <c r="AA225" s="587"/>
      <c r="AB225" s="587" t="s">
        <v>482</v>
      </c>
      <c r="AC225" s="587" t="s">
        <v>482</v>
      </c>
      <c r="AD225" s="587" t="s">
        <v>482</v>
      </c>
      <c r="AE225" s="587" t="s">
        <v>482</v>
      </c>
      <c r="AF225" s="587" t="s">
        <v>482</v>
      </c>
      <c r="AG225" s="154"/>
      <c r="AH225" s="648">
        <v>56</v>
      </c>
      <c r="AI225" s="649">
        <v>37</v>
      </c>
    </row>
    <row r="226" spans="1:35" ht="21" customHeight="1" x14ac:dyDescent="0.2">
      <c r="A226" s="152"/>
      <c r="B226" s="152" t="s">
        <v>673</v>
      </c>
      <c r="C226" s="1340" t="s">
        <v>482</v>
      </c>
      <c r="D226" s="1340" t="s">
        <v>482</v>
      </c>
      <c r="E226" s="1340"/>
      <c r="F226" s="1340"/>
      <c r="G226" s="1340" t="s">
        <v>482</v>
      </c>
      <c r="H226" s="1340" t="s">
        <v>482</v>
      </c>
      <c r="I226" s="1340" t="s">
        <v>617</v>
      </c>
      <c r="J226" s="587" t="s">
        <v>482</v>
      </c>
      <c r="K226" s="587" t="s">
        <v>482</v>
      </c>
      <c r="L226" s="587"/>
      <c r="M226" s="587"/>
      <c r="N226" s="587" t="s">
        <v>482</v>
      </c>
      <c r="O226" s="587" t="s">
        <v>482</v>
      </c>
      <c r="P226" s="587" t="s">
        <v>482</v>
      </c>
      <c r="Q226" s="587" t="s">
        <v>482</v>
      </c>
      <c r="R226" s="587" t="s">
        <v>482</v>
      </c>
      <c r="S226" s="587"/>
      <c r="T226" s="587"/>
      <c r="U226" s="587" t="s">
        <v>482</v>
      </c>
      <c r="V226" s="587" t="s">
        <v>482</v>
      </c>
      <c r="W226" s="587" t="s">
        <v>482</v>
      </c>
      <c r="X226" s="587" t="s">
        <v>482</v>
      </c>
      <c r="Y226" s="587" t="s">
        <v>482</v>
      </c>
      <c r="Z226" s="587"/>
      <c r="AA226" s="587"/>
      <c r="AB226" s="587" t="s">
        <v>482</v>
      </c>
      <c r="AC226" s="587" t="s">
        <v>482</v>
      </c>
      <c r="AD226" s="587" t="s">
        <v>482</v>
      </c>
      <c r="AE226" s="587" t="s">
        <v>482</v>
      </c>
      <c r="AF226" s="587" t="s">
        <v>482</v>
      </c>
      <c r="AG226" s="154"/>
      <c r="AH226" s="648">
        <v>111</v>
      </c>
      <c r="AI226" s="649">
        <v>37</v>
      </c>
    </row>
    <row r="227" spans="1:35" ht="21" customHeight="1" x14ac:dyDescent="0.2">
      <c r="A227" s="152"/>
      <c r="B227" s="152"/>
      <c r="C227" s="587"/>
      <c r="D227" s="587"/>
      <c r="E227" s="587"/>
      <c r="F227" s="587"/>
      <c r="G227" s="587"/>
      <c r="H227" s="587"/>
      <c r="I227" s="587"/>
      <c r="J227" s="587"/>
      <c r="K227" s="587"/>
      <c r="L227" s="587"/>
      <c r="M227" s="587"/>
      <c r="N227" s="587"/>
      <c r="O227" s="587"/>
      <c r="P227" s="587"/>
      <c r="Q227" s="587"/>
      <c r="R227" s="587"/>
      <c r="S227" s="587"/>
      <c r="T227" s="587"/>
      <c r="U227" s="587"/>
      <c r="V227" s="587"/>
      <c r="W227" s="587"/>
      <c r="X227" s="587"/>
      <c r="Y227" s="587"/>
      <c r="Z227" s="587"/>
      <c r="AA227" s="587"/>
      <c r="AB227" s="587"/>
      <c r="AC227" s="587"/>
      <c r="AD227" s="587"/>
      <c r="AE227" s="587"/>
      <c r="AF227" s="587"/>
      <c r="AG227" s="154"/>
      <c r="AH227" s="648"/>
      <c r="AI227" s="649"/>
    </row>
    <row r="228" spans="1:35" ht="21" customHeight="1" x14ac:dyDescent="0.2">
      <c r="A228" s="152"/>
      <c r="B228" s="152"/>
      <c r="C228" s="587"/>
      <c r="D228" s="587"/>
      <c r="E228" s="587"/>
      <c r="F228" s="587"/>
      <c r="G228" s="587"/>
      <c r="H228" s="587"/>
      <c r="I228" s="587"/>
      <c r="J228" s="587"/>
      <c r="K228" s="587"/>
      <c r="L228" s="587"/>
      <c r="M228" s="587"/>
      <c r="N228" s="587"/>
      <c r="O228" s="587"/>
      <c r="P228" s="587"/>
      <c r="Q228" s="587"/>
      <c r="R228" s="587"/>
      <c r="S228" s="587"/>
      <c r="T228" s="587"/>
      <c r="U228" s="587"/>
      <c r="V228" s="587"/>
      <c r="W228" s="587"/>
      <c r="X228" s="587"/>
      <c r="Y228" s="587"/>
      <c r="Z228" s="587"/>
      <c r="AA228" s="587"/>
      <c r="AB228" s="587"/>
      <c r="AC228" s="587"/>
      <c r="AD228" s="587"/>
      <c r="AE228" s="587"/>
      <c r="AF228" s="587"/>
      <c r="AG228" s="154"/>
      <c r="AH228" s="648"/>
      <c r="AI228" s="649"/>
    </row>
    <row r="229" spans="1:35" ht="21" customHeight="1" x14ac:dyDescent="0.2">
      <c r="A229" s="152"/>
      <c r="B229" s="152"/>
      <c r="C229" s="587"/>
      <c r="D229" s="587"/>
      <c r="E229" s="587"/>
      <c r="F229" s="587"/>
      <c r="G229" s="587"/>
      <c r="H229" s="587"/>
      <c r="I229" s="587"/>
      <c r="J229" s="587"/>
      <c r="K229" s="587"/>
      <c r="L229" s="587"/>
      <c r="M229" s="587"/>
      <c r="N229" s="587"/>
      <c r="O229" s="587"/>
      <c r="P229" s="587"/>
      <c r="Q229" s="587"/>
      <c r="R229" s="587"/>
      <c r="S229" s="587"/>
      <c r="T229" s="587"/>
      <c r="U229" s="587"/>
      <c r="V229" s="587"/>
      <c r="W229" s="587"/>
      <c r="X229" s="587"/>
      <c r="Y229" s="587"/>
      <c r="Z229" s="587"/>
      <c r="AA229" s="587"/>
      <c r="AB229" s="587"/>
      <c r="AC229" s="587"/>
      <c r="AD229" s="587"/>
      <c r="AE229" s="587"/>
      <c r="AF229" s="587"/>
      <c r="AG229" s="154"/>
      <c r="AH229" s="648"/>
      <c r="AI229" s="649"/>
    </row>
    <row r="230" spans="1:35" ht="21" customHeight="1" x14ac:dyDescent="0.2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4"/>
      <c r="AH230" s="648"/>
      <c r="AI230" s="649"/>
    </row>
    <row r="231" spans="1:35" ht="21" customHeight="1" x14ac:dyDescent="0.2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4"/>
      <c r="AH231" s="648"/>
      <c r="AI231" s="649"/>
    </row>
    <row r="232" spans="1:35" ht="21" customHeight="1" x14ac:dyDescent="0.2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4"/>
      <c r="AH232" s="330"/>
      <c r="AI232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1" max="1638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9"/>
  <dimension ref="A1:AK231"/>
  <sheetViews>
    <sheetView topLeftCell="A208" zoomScale="67" zoomScaleNormal="67" workbookViewId="0">
      <selection activeCell="E200" sqref="E200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497">
        <v>1</v>
      </c>
      <c r="D10" s="497">
        <v>2</v>
      </c>
      <c r="E10" s="177">
        <v>3</v>
      </c>
      <c r="F10" s="177">
        <v>4</v>
      </c>
      <c r="G10" s="177">
        <v>5</v>
      </c>
      <c r="H10" s="177">
        <v>6</v>
      </c>
      <c r="I10" s="177">
        <v>7</v>
      </c>
      <c r="J10" s="497">
        <v>8</v>
      </c>
      <c r="K10" s="497">
        <v>9</v>
      </c>
      <c r="L10" s="177">
        <v>10</v>
      </c>
      <c r="M10" s="177">
        <v>11</v>
      </c>
      <c r="N10" s="177">
        <v>12</v>
      </c>
      <c r="O10" s="177">
        <v>13</v>
      </c>
      <c r="P10" s="177">
        <v>14</v>
      </c>
      <c r="Q10" s="497">
        <v>15</v>
      </c>
      <c r="R10" s="497">
        <v>16</v>
      </c>
      <c r="S10" s="177">
        <v>17</v>
      </c>
      <c r="T10" s="177">
        <v>18</v>
      </c>
      <c r="U10" s="177">
        <v>19</v>
      </c>
      <c r="V10" s="177">
        <v>20</v>
      </c>
      <c r="W10" s="177">
        <v>21</v>
      </c>
      <c r="X10" s="497">
        <v>22</v>
      </c>
      <c r="Y10" s="497">
        <v>23</v>
      </c>
      <c r="Z10" s="177">
        <v>24</v>
      </c>
      <c r="AA10" s="177">
        <v>25</v>
      </c>
      <c r="AB10" s="177">
        <v>26</v>
      </c>
      <c r="AC10" s="177">
        <v>27</v>
      </c>
      <c r="AD10" s="177">
        <v>28</v>
      </c>
      <c r="AE10" s="497">
        <v>29</v>
      </c>
      <c r="AF10" s="497">
        <v>30</v>
      </c>
      <c r="AG10" s="177">
        <v>31</v>
      </c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177"/>
      <c r="D11" s="177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x14ac:dyDescent="0.2">
      <c r="A13" s="512">
        <v>8546</v>
      </c>
      <c r="B13" s="513" t="s">
        <v>473</v>
      </c>
      <c r="C13" s="514"/>
      <c r="D13" s="514"/>
      <c r="E13" s="1103">
        <v>1</v>
      </c>
      <c r="F13" s="1103">
        <v>1</v>
      </c>
      <c r="G13" s="1103">
        <v>1</v>
      </c>
      <c r="H13" s="1083">
        <v>1</v>
      </c>
      <c r="I13" s="1103">
        <v>1</v>
      </c>
      <c r="J13" s="514"/>
      <c r="K13" s="514"/>
      <c r="L13" s="514">
        <v>2</v>
      </c>
      <c r="M13" s="514">
        <v>2</v>
      </c>
      <c r="N13" s="514">
        <v>2</v>
      </c>
      <c r="O13" s="514">
        <v>2</v>
      </c>
      <c r="P13" s="514">
        <v>2</v>
      </c>
      <c r="Q13" s="514" t="s">
        <v>474</v>
      </c>
      <c r="R13" s="514" t="s">
        <v>474</v>
      </c>
      <c r="S13" s="514" t="s">
        <v>475</v>
      </c>
      <c r="T13" s="514" t="s">
        <v>475</v>
      </c>
      <c r="U13" s="514" t="s">
        <v>475</v>
      </c>
      <c r="V13" s="514" t="s">
        <v>475</v>
      </c>
      <c r="W13" s="514" t="s">
        <v>475</v>
      </c>
      <c r="X13" s="514"/>
      <c r="Y13" s="514"/>
      <c r="Z13" s="514">
        <v>3</v>
      </c>
      <c r="AA13" s="514">
        <v>3</v>
      </c>
      <c r="AB13" s="1501">
        <v>3</v>
      </c>
      <c r="AC13" s="1501">
        <v>3</v>
      </c>
      <c r="AD13" s="1501">
        <v>3</v>
      </c>
      <c r="AE13" s="514"/>
      <c r="AF13" s="514"/>
      <c r="AG13" s="515">
        <v>4</v>
      </c>
      <c r="AH13" s="516">
        <v>88</v>
      </c>
      <c r="AI13" s="517">
        <v>15</v>
      </c>
    </row>
    <row r="14" spans="1:35" ht="21.95" customHeight="1" x14ac:dyDescent="0.2">
      <c r="A14" s="501">
        <v>8546</v>
      </c>
      <c r="B14" s="346" t="s">
        <v>477</v>
      </c>
      <c r="C14" s="553"/>
      <c r="D14" s="553"/>
      <c r="E14" s="553">
        <v>4</v>
      </c>
      <c r="F14" s="553">
        <v>4</v>
      </c>
      <c r="G14" s="553">
        <v>4</v>
      </c>
      <c r="H14" s="553">
        <v>4</v>
      </c>
      <c r="I14" s="553">
        <v>4</v>
      </c>
      <c r="J14" s="553" t="s">
        <v>476</v>
      </c>
      <c r="K14" s="553" t="s">
        <v>476</v>
      </c>
      <c r="L14" s="553" t="s">
        <v>475</v>
      </c>
      <c r="M14" s="553" t="s">
        <v>475</v>
      </c>
      <c r="N14" s="553" t="s">
        <v>475</v>
      </c>
      <c r="O14" s="553" t="s">
        <v>475</v>
      </c>
      <c r="P14" s="553" t="s">
        <v>475</v>
      </c>
      <c r="Q14" s="553"/>
      <c r="R14" s="553"/>
      <c r="S14" s="553">
        <v>1</v>
      </c>
      <c r="T14" s="553">
        <v>1</v>
      </c>
      <c r="U14" s="553">
        <v>1</v>
      </c>
      <c r="V14" s="712">
        <v>1</v>
      </c>
      <c r="W14" s="712">
        <v>1</v>
      </c>
      <c r="X14" s="712"/>
      <c r="Y14" s="712"/>
      <c r="Z14" s="712">
        <v>2</v>
      </c>
      <c r="AA14" s="712">
        <v>2</v>
      </c>
      <c r="AB14" s="712">
        <v>2</v>
      </c>
      <c r="AC14" s="553">
        <v>2</v>
      </c>
      <c r="AD14" s="553">
        <v>2</v>
      </c>
      <c r="AE14" s="553" t="s">
        <v>474</v>
      </c>
      <c r="AF14" s="553" t="s">
        <v>474</v>
      </c>
      <c r="AG14" s="565" t="s">
        <v>475</v>
      </c>
      <c r="AH14" s="505">
        <v>82</v>
      </c>
      <c r="AI14" s="506">
        <v>37</v>
      </c>
    </row>
    <row r="15" spans="1:35" ht="21.95" customHeight="1" x14ac:dyDescent="0.2">
      <c r="A15" s="501">
        <v>8546</v>
      </c>
      <c r="B15" s="346" t="s">
        <v>174</v>
      </c>
      <c r="C15" s="1064" t="s">
        <v>476</v>
      </c>
      <c r="D15" s="1064" t="s">
        <v>476</v>
      </c>
      <c r="E15" s="553" t="s">
        <v>475</v>
      </c>
      <c r="F15" s="553" t="s">
        <v>475</v>
      </c>
      <c r="G15" s="553" t="s">
        <v>475</v>
      </c>
      <c r="H15" s="553" t="s">
        <v>475</v>
      </c>
      <c r="I15" s="553" t="s">
        <v>475</v>
      </c>
      <c r="J15" s="553"/>
      <c r="K15" s="553"/>
      <c r="L15" s="1083">
        <v>1</v>
      </c>
      <c r="M15" s="1083">
        <v>1</v>
      </c>
      <c r="N15" s="1083">
        <v>1</v>
      </c>
      <c r="O15" s="1083">
        <v>1</v>
      </c>
      <c r="P15" s="1083">
        <v>1</v>
      </c>
      <c r="Q15" s="1437"/>
      <c r="R15" s="1437"/>
      <c r="S15" s="553">
        <v>2</v>
      </c>
      <c r="T15" s="553">
        <v>2</v>
      </c>
      <c r="U15" s="553">
        <v>2</v>
      </c>
      <c r="V15" s="553">
        <v>2</v>
      </c>
      <c r="W15" s="553">
        <v>2</v>
      </c>
      <c r="X15" s="553" t="s">
        <v>474</v>
      </c>
      <c r="Y15" s="553" t="s">
        <v>474</v>
      </c>
      <c r="Z15" s="553" t="s">
        <v>475</v>
      </c>
      <c r="AA15" s="553" t="s">
        <v>475</v>
      </c>
      <c r="AB15" s="553" t="s">
        <v>475</v>
      </c>
      <c r="AC15" s="553" t="s">
        <v>475</v>
      </c>
      <c r="AD15" s="553" t="s">
        <v>475</v>
      </c>
      <c r="AE15" s="553"/>
      <c r="AF15" s="553"/>
      <c r="AG15" s="565">
        <v>3</v>
      </c>
      <c r="AH15" s="505">
        <v>43</v>
      </c>
      <c r="AI15" s="506">
        <v>37</v>
      </c>
    </row>
    <row r="16" spans="1:35" ht="21.95" customHeight="1" x14ac:dyDescent="0.2">
      <c r="A16" s="501">
        <v>8546</v>
      </c>
      <c r="B16" s="346" t="s">
        <v>478</v>
      </c>
      <c r="C16" s="553" t="s">
        <v>474</v>
      </c>
      <c r="D16" s="553" t="s">
        <v>474</v>
      </c>
      <c r="E16" s="553" t="s">
        <v>475</v>
      </c>
      <c r="F16" s="553" t="s">
        <v>475</v>
      </c>
      <c r="G16" s="553" t="s">
        <v>475</v>
      </c>
      <c r="H16" s="553" t="s">
        <v>475</v>
      </c>
      <c r="I16" s="553" t="s">
        <v>475</v>
      </c>
      <c r="J16" s="553"/>
      <c r="K16" s="553"/>
      <c r="L16" s="553">
        <v>3</v>
      </c>
      <c r="M16" s="553">
        <v>3</v>
      </c>
      <c r="N16" s="553">
        <v>3</v>
      </c>
      <c r="O16" s="553">
        <v>3</v>
      </c>
      <c r="P16" s="553">
        <v>3</v>
      </c>
      <c r="Q16" s="553"/>
      <c r="R16" s="553"/>
      <c r="S16" s="1064">
        <v>4</v>
      </c>
      <c r="T16" s="1064">
        <v>4</v>
      </c>
      <c r="U16" s="1064">
        <v>4</v>
      </c>
      <c r="V16" s="1064">
        <v>4</v>
      </c>
      <c r="W16" s="1064">
        <v>4</v>
      </c>
      <c r="X16" s="1064" t="s">
        <v>476</v>
      </c>
      <c r="Y16" s="1064" t="s">
        <v>476</v>
      </c>
      <c r="Z16" s="553" t="s">
        <v>475</v>
      </c>
      <c r="AA16" s="553" t="s">
        <v>475</v>
      </c>
      <c r="AB16" s="553" t="s">
        <v>475</v>
      </c>
      <c r="AC16" s="553" t="s">
        <v>475</v>
      </c>
      <c r="AD16" s="553" t="s">
        <v>475</v>
      </c>
      <c r="AE16" s="553"/>
      <c r="AF16" s="553"/>
      <c r="AG16" s="1506">
        <v>1</v>
      </c>
      <c r="AH16" s="505">
        <v>12</v>
      </c>
      <c r="AI16" s="506">
        <v>37</v>
      </c>
    </row>
    <row r="17" spans="1:37" ht="21.95" customHeight="1" x14ac:dyDescent="0.2">
      <c r="A17" s="501">
        <v>8546</v>
      </c>
      <c r="B17" s="346" t="s">
        <v>479</v>
      </c>
      <c r="C17" s="553"/>
      <c r="D17" s="553"/>
      <c r="E17" s="553">
        <v>2</v>
      </c>
      <c r="F17" s="553">
        <v>2</v>
      </c>
      <c r="G17" s="553">
        <v>2</v>
      </c>
      <c r="H17" s="553">
        <v>2</v>
      </c>
      <c r="I17" s="553">
        <v>2</v>
      </c>
      <c r="J17" s="553" t="s">
        <v>474</v>
      </c>
      <c r="K17" s="553" t="s">
        <v>474</v>
      </c>
      <c r="L17" s="553" t="s">
        <v>475</v>
      </c>
      <c r="M17" s="553" t="s">
        <v>475</v>
      </c>
      <c r="N17" s="553" t="s">
        <v>475</v>
      </c>
      <c r="O17" s="553" t="s">
        <v>475</v>
      </c>
      <c r="P17" s="553" t="s">
        <v>475</v>
      </c>
      <c r="Q17" s="553"/>
      <c r="R17" s="553"/>
      <c r="S17" s="553">
        <v>3</v>
      </c>
      <c r="T17" s="553">
        <v>3</v>
      </c>
      <c r="U17" s="553">
        <v>3</v>
      </c>
      <c r="V17" s="553">
        <v>3</v>
      </c>
      <c r="W17" s="553">
        <v>3</v>
      </c>
      <c r="X17" s="553"/>
      <c r="Y17" s="553"/>
      <c r="Z17" s="553">
        <v>4</v>
      </c>
      <c r="AA17" s="553">
        <v>4</v>
      </c>
      <c r="AB17" s="553">
        <v>4</v>
      </c>
      <c r="AC17" s="553">
        <v>4</v>
      </c>
      <c r="AD17" s="553">
        <v>4</v>
      </c>
      <c r="AE17" s="553" t="s">
        <v>476</v>
      </c>
      <c r="AF17" s="553" t="s">
        <v>476</v>
      </c>
      <c r="AG17" s="565" t="s">
        <v>475</v>
      </c>
      <c r="AH17" s="505">
        <v>103</v>
      </c>
      <c r="AI17" s="506">
        <v>37</v>
      </c>
    </row>
    <row r="18" spans="1:37" ht="21.95" customHeight="1" x14ac:dyDescent="0.2">
      <c r="A18" s="501">
        <v>8546</v>
      </c>
      <c r="B18" s="346" t="s">
        <v>480</v>
      </c>
      <c r="C18" s="553"/>
      <c r="D18" s="553"/>
      <c r="E18" s="553">
        <v>3</v>
      </c>
      <c r="F18" s="553">
        <v>3</v>
      </c>
      <c r="G18" s="553">
        <v>3</v>
      </c>
      <c r="H18" s="553">
        <v>3</v>
      </c>
      <c r="I18" s="553">
        <v>3</v>
      </c>
      <c r="J18" s="553"/>
      <c r="K18" s="553"/>
      <c r="L18" s="553">
        <v>4</v>
      </c>
      <c r="M18" s="553">
        <v>4</v>
      </c>
      <c r="N18" s="553">
        <v>4</v>
      </c>
      <c r="O18" s="553">
        <v>4</v>
      </c>
      <c r="P18" s="553">
        <v>4</v>
      </c>
      <c r="Q18" s="553" t="s">
        <v>476</v>
      </c>
      <c r="R18" s="553" t="s">
        <v>476</v>
      </c>
      <c r="S18" s="553" t="s">
        <v>475</v>
      </c>
      <c r="T18" s="553" t="s">
        <v>475</v>
      </c>
      <c r="U18" s="553" t="s">
        <v>475</v>
      </c>
      <c r="V18" s="553" t="s">
        <v>475</v>
      </c>
      <c r="W18" s="553" t="s">
        <v>475</v>
      </c>
      <c r="X18" s="553"/>
      <c r="Y18" s="553"/>
      <c r="Z18" s="1064">
        <v>1</v>
      </c>
      <c r="AA18" s="1064">
        <v>1</v>
      </c>
      <c r="AB18" s="1064">
        <v>1</v>
      </c>
      <c r="AC18" s="1064">
        <v>1</v>
      </c>
      <c r="AD18" s="1064">
        <v>1</v>
      </c>
      <c r="AE18" s="1064"/>
      <c r="AF18" s="1064"/>
      <c r="AG18" s="565">
        <v>2</v>
      </c>
      <c r="AH18" s="505">
        <v>38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10"/>
      <c r="AI19" s="511"/>
    </row>
    <row r="20" spans="1:37" ht="21.95" customHeight="1" x14ac:dyDescent="0.2">
      <c r="A20" s="501">
        <v>8500</v>
      </c>
      <c r="B20" s="185" t="s">
        <v>188</v>
      </c>
      <c r="C20" s="553" t="s">
        <v>476</v>
      </c>
      <c r="D20" s="553" t="s">
        <v>476</v>
      </c>
      <c r="E20" s="553" t="s">
        <v>475</v>
      </c>
      <c r="F20" s="553" t="s">
        <v>475</v>
      </c>
      <c r="G20" s="553" t="s">
        <v>475</v>
      </c>
      <c r="H20" s="553" t="s">
        <v>475</v>
      </c>
      <c r="I20" s="553" t="s">
        <v>475</v>
      </c>
      <c r="J20" s="553"/>
      <c r="K20" s="553"/>
      <c r="L20" s="553">
        <v>1</v>
      </c>
      <c r="M20" s="553">
        <v>1</v>
      </c>
      <c r="N20" s="553">
        <v>1</v>
      </c>
      <c r="O20" s="553">
        <v>1</v>
      </c>
      <c r="P20" s="553">
        <v>1</v>
      </c>
      <c r="Q20" s="553"/>
      <c r="R20" s="553"/>
      <c r="S20" s="553">
        <v>4</v>
      </c>
      <c r="T20" s="553">
        <v>4</v>
      </c>
      <c r="U20" s="553">
        <v>4</v>
      </c>
      <c r="V20" s="553">
        <v>4</v>
      </c>
      <c r="W20" s="553">
        <v>4</v>
      </c>
      <c r="X20" s="553" t="s">
        <v>476</v>
      </c>
      <c r="Y20" s="553" t="s">
        <v>476</v>
      </c>
      <c r="Z20" s="553" t="s">
        <v>475</v>
      </c>
      <c r="AA20" s="553" t="s">
        <v>475</v>
      </c>
      <c r="AB20" s="553">
        <v>3</v>
      </c>
      <c r="AC20" s="553">
        <v>3</v>
      </c>
      <c r="AD20" s="553" t="s">
        <v>475</v>
      </c>
      <c r="AE20" s="553" t="s">
        <v>484</v>
      </c>
      <c r="AF20" s="553" t="s">
        <v>484</v>
      </c>
      <c r="AG20" s="553">
        <v>1</v>
      </c>
      <c r="AH20" s="505">
        <v>87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53"/>
      <c r="D21" s="553"/>
      <c r="E21" s="553">
        <v>1</v>
      </c>
      <c r="F21" s="553">
        <v>1</v>
      </c>
      <c r="G21" s="1083">
        <v>1</v>
      </c>
      <c r="H21" s="553">
        <v>1</v>
      </c>
      <c r="I21" s="553">
        <v>1</v>
      </c>
      <c r="J21" s="553"/>
      <c r="K21" s="553"/>
      <c r="L21" s="553" t="s">
        <v>552</v>
      </c>
      <c r="M21" s="553" t="s">
        <v>552</v>
      </c>
      <c r="N21" s="553" t="s">
        <v>552</v>
      </c>
      <c r="O21" s="553" t="s">
        <v>552</v>
      </c>
      <c r="P21" s="553" t="s">
        <v>552</v>
      </c>
      <c r="Q21" s="553"/>
      <c r="R21" s="553"/>
      <c r="S21" s="553" t="s">
        <v>552</v>
      </c>
      <c r="T21" s="553" t="s">
        <v>552</v>
      </c>
      <c r="U21" s="1083" t="s">
        <v>552</v>
      </c>
      <c r="V21" s="1083" t="s">
        <v>552</v>
      </c>
      <c r="W21" s="1083" t="s">
        <v>552</v>
      </c>
      <c r="X21" s="553"/>
      <c r="Y21" s="553"/>
      <c r="Z21" s="553">
        <v>1</v>
      </c>
      <c r="AA21" s="553">
        <v>1</v>
      </c>
      <c r="AB21" s="553">
        <v>1</v>
      </c>
      <c r="AC21" s="1083">
        <v>1</v>
      </c>
      <c r="AD21" s="1083">
        <v>1</v>
      </c>
      <c r="AE21" s="553"/>
      <c r="AF21" s="553"/>
      <c r="AG21" s="553" t="s">
        <v>552</v>
      </c>
      <c r="AH21" s="505">
        <v>74</v>
      </c>
      <c r="AI21" s="506">
        <v>37</v>
      </c>
    </row>
    <row r="22" spans="1:37" ht="21.95" customHeight="1" x14ac:dyDescent="0.2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528" t="s">
        <v>725</v>
      </c>
      <c r="N31" s="527"/>
      <c r="O31" s="527"/>
      <c r="P31" s="527"/>
      <c r="Q31" s="527"/>
      <c r="R31" s="527"/>
      <c r="S31" s="529"/>
      <c r="T31" s="529" t="s">
        <v>489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x14ac:dyDescent="0.2">
      <c r="A36" s="547" t="s">
        <v>468</v>
      </c>
      <c r="B36" s="181" t="s">
        <v>469</v>
      </c>
      <c r="C36" s="497">
        <v>1</v>
      </c>
      <c r="D36" s="497">
        <v>2</v>
      </c>
      <c r="E36" s="177">
        <v>3</v>
      </c>
      <c r="F36" s="177">
        <v>4</v>
      </c>
      <c r="G36" s="177">
        <v>5</v>
      </c>
      <c r="H36" s="177">
        <v>6</v>
      </c>
      <c r="I36" s="177">
        <v>7</v>
      </c>
      <c r="J36" s="497">
        <v>8</v>
      </c>
      <c r="K36" s="497">
        <v>9</v>
      </c>
      <c r="L36" s="177">
        <v>10</v>
      </c>
      <c r="M36" s="177">
        <v>11</v>
      </c>
      <c r="N36" s="177">
        <v>12</v>
      </c>
      <c r="O36" s="177">
        <v>13</v>
      </c>
      <c r="P36" s="177">
        <v>14</v>
      </c>
      <c r="Q36" s="497">
        <v>15</v>
      </c>
      <c r="R36" s="497">
        <v>16</v>
      </c>
      <c r="S36" s="177">
        <v>17</v>
      </c>
      <c r="T36" s="177">
        <v>18</v>
      </c>
      <c r="U36" s="177">
        <v>19</v>
      </c>
      <c r="V36" s="177">
        <v>20</v>
      </c>
      <c r="W36" s="177">
        <v>21</v>
      </c>
      <c r="X36" s="497">
        <v>22</v>
      </c>
      <c r="Y36" s="497">
        <v>23</v>
      </c>
      <c r="Z36" s="177">
        <v>24</v>
      </c>
      <c r="AA36" s="177">
        <v>25</v>
      </c>
      <c r="AB36" s="177">
        <v>26</v>
      </c>
      <c r="AC36" s="177">
        <v>27</v>
      </c>
      <c r="AD36" s="177">
        <v>28</v>
      </c>
      <c r="AE36" s="497">
        <v>29</v>
      </c>
      <c r="AF36" s="497">
        <v>30</v>
      </c>
      <c r="AG36" s="177">
        <v>31</v>
      </c>
      <c r="AH36" s="499" t="s">
        <v>470</v>
      </c>
      <c r="AI36" s="500" t="s">
        <v>471</v>
      </c>
    </row>
    <row r="37" spans="1:37" ht="21.95" customHeight="1" thickBot="1" x14ac:dyDescent="0.25">
      <c r="A37" s="548">
        <v>1</v>
      </c>
      <c r="B37" s="45" t="s">
        <v>502</v>
      </c>
      <c r="C37" s="549" t="s">
        <v>508</v>
      </c>
      <c r="D37" s="549" t="s">
        <v>504</v>
      </c>
      <c r="E37" s="549" t="s">
        <v>475</v>
      </c>
      <c r="F37" s="549" t="s">
        <v>475</v>
      </c>
      <c r="G37" s="549" t="s">
        <v>475</v>
      </c>
      <c r="H37" s="549" t="s">
        <v>475</v>
      </c>
      <c r="I37" s="549" t="s">
        <v>475</v>
      </c>
      <c r="J37" s="549"/>
      <c r="K37" s="549"/>
      <c r="L37" s="549">
        <v>5</v>
      </c>
      <c r="M37" s="549">
        <v>5</v>
      </c>
      <c r="N37" s="549">
        <v>5</v>
      </c>
      <c r="O37" s="549">
        <v>3</v>
      </c>
      <c r="P37" s="549">
        <v>3</v>
      </c>
      <c r="Q37" s="549"/>
      <c r="R37" s="549"/>
      <c r="S37" s="1071">
        <v>10</v>
      </c>
      <c r="T37" s="1071">
        <v>10</v>
      </c>
      <c r="U37" s="1071">
        <v>10</v>
      </c>
      <c r="V37" s="1071">
        <v>10</v>
      </c>
      <c r="W37" s="1071">
        <v>10</v>
      </c>
      <c r="X37" s="1071" t="s">
        <v>507</v>
      </c>
      <c r="Y37" s="1071" t="s">
        <v>507</v>
      </c>
      <c r="Z37" s="549" t="s">
        <v>475</v>
      </c>
      <c r="AA37" s="549" t="s">
        <v>475</v>
      </c>
      <c r="AB37" s="549" t="s">
        <v>475</v>
      </c>
      <c r="AC37" s="549" t="s">
        <v>475</v>
      </c>
      <c r="AD37" s="549" t="s">
        <v>475</v>
      </c>
      <c r="AE37" s="549" t="s">
        <v>505</v>
      </c>
      <c r="AF37" s="549" t="s">
        <v>505</v>
      </c>
      <c r="AG37" s="550">
        <v>7</v>
      </c>
      <c r="AH37" s="505">
        <v>34</v>
      </c>
      <c r="AI37" s="506">
        <v>37</v>
      </c>
    </row>
    <row r="38" spans="1:37" ht="21.95" customHeight="1" x14ac:dyDescent="0.2">
      <c r="A38" s="551">
        <v>6</v>
      </c>
      <c r="B38" s="552" t="s">
        <v>506</v>
      </c>
      <c r="C38" s="553"/>
      <c r="D38" s="553"/>
      <c r="E38" s="1064">
        <v>4</v>
      </c>
      <c r="F38" s="553">
        <v>4</v>
      </c>
      <c r="G38" s="553">
        <v>4</v>
      </c>
      <c r="H38" s="553">
        <v>4</v>
      </c>
      <c r="I38" s="553">
        <v>4</v>
      </c>
      <c r="J38" s="553"/>
      <c r="K38" s="553"/>
      <c r="L38" s="553">
        <v>3</v>
      </c>
      <c r="M38" s="553">
        <v>3</v>
      </c>
      <c r="N38" s="1116">
        <v>3</v>
      </c>
      <c r="O38" s="1500">
        <v>5</v>
      </c>
      <c r="P38" s="1465" t="s">
        <v>717</v>
      </c>
      <c r="Q38" s="553"/>
      <c r="R38" s="553"/>
      <c r="S38" s="553">
        <v>11</v>
      </c>
      <c r="T38" s="553">
        <v>11</v>
      </c>
      <c r="U38" s="553">
        <v>11</v>
      </c>
      <c r="V38" s="553">
        <v>11</v>
      </c>
      <c r="W38" s="553">
        <v>11</v>
      </c>
      <c r="X38" s="553" t="s">
        <v>503</v>
      </c>
      <c r="Y38" s="553" t="s">
        <v>503</v>
      </c>
      <c r="Z38" s="553" t="s">
        <v>475</v>
      </c>
      <c r="AA38" s="553" t="s">
        <v>475</v>
      </c>
      <c r="AB38" s="553" t="s">
        <v>475</v>
      </c>
      <c r="AC38" s="553" t="s">
        <v>475</v>
      </c>
      <c r="AD38" s="553" t="s">
        <v>475</v>
      </c>
      <c r="AE38" s="553"/>
      <c r="AF38" s="553"/>
      <c r="AG38" s="554">
        <v>8</v>
      </c>
      <c r="AH38" s="505">
        <v>97</v>
      </c>
      <c r="AI38" s="506">
        <v>37</v>
      </c>
    </row>
    <row r="39" spans="1:37" ht="21.95" customHeight="1" thickBot="1" x14ac:dyDescent="0.25">
      <c r="A39" s="555">
        <v>11</v>
      </c>
      <c r="B39" s="556" t="s">
        <v>509</v>
      </c>
      <c r="C39" s="1479" t="s">
        <v>504</v>
      </c>
      <c r="D39" s="1479" t="s">
        <v>504</v>
      </c>
      <c r="E39" s="1479" t="s">
        <v>552</v>
      </c>
      <c r="F39" s="1479" t="s">
        <v>475</v>
      </c>
      <c r="G39" s="1479" t="s">
        <v>475</v>
      </c>
      <c r="H39" s="1479" t="s">
        <v>475</v>
      </c>
      <c r="I39" s="1479" t="s">
        <v>475</v>
      </c>
      <c r="J39" s="1479"/>
      <c r="K39" s="1479"/>
      <c r="L39" s="1479" t="s">
        <v>552</v>
      </c>
      <c r="M39" s="1479">
        <v>1</v>
      </c>
      <c r="N39" s="1479">
        <v>1</v>
      </c>
      <c r="O39" s="1479">
        <v>1</v>
      </c>
      <c r="P39" s="1479">
        <v>1</v>
      </c>
      <c r="Q39" s="1479"/>
      <c r="R39" s="1479"/>
      <c r="S39" s="1479" t="s">
        <v>552</v>
      </c>
      <c r="T39" s="1479">
        <v>9</v>
      </c>
      <c r="U39" s="1479">
        <v>9</v>
      </c>
      <c r="V39" s="1479">
        <v>9</v>
      </c>
      <c r="W39" s="1479">
        <v>9</v>
      </c>
      <c r="X39" s="1479" t="s">
        <v>511</v>
      </c>
      <c r="Y39" s="1479" t="s">
        <v>507</v>
      </c>
      <c r="Z39" s="1479" t="s">
        <v>552</v>
      </c>
      <c r="AA39" s="1479" t="s">
        <v>475</v>
      </c>
      <c r="AB39" s="1479" t="s">
        <v>475</v>
      </c>
      <c r="AC39" s="1479" t="s">
        <v>475</v>
      </c>
      <c r="AD39" s="1479" t="s">
        <v>475</v>
      </c>
      <c r="AE39" s="1479"/>
      <c r="AF39" s="1479"/>
      <c r="AG39" s="1479">
        <v>6</v>
      </c>
      <c r="AH39" s="505">
        <v>43</v>
      </c>
      <c r="AI39" s="506">
        <v>37</v>
      </c>
    </row>
    <row r="40" spans="1:37" ht="21.95" customHeight="1" x14ac:dyDescent="0.2">
      <c r="A40" s="548">
        <v>2</v>
      </c>
      <c r="B40" s="45" t="s">
        <v>510</v>
      </c>
      <c r="C40" s="549"/>
      <c r="D40" s="549"/>
      <c r="E40" s="549" t="s">
        <v>540</v>
      </c>
      <c r="F40" s="1441" t="s">
        <v>540</v>
      </c>
      <c r="G40" s="559" t="s">
        <v>540</v>
      </c>
      <c r="H40" s="549" t="s">
        <v>540</v>
      </c>
      <c r="I40" s="549">
        <v>5</v>
      </c>
      <c r="J40" s="549"/>
      <c r="K40" s="549"/>
      <c r="L40" s="549">
        <v>10</v>
      </c>
      <c r="M40" s="549">
        <v>10</v>
      </c>
      <c r="N40" s="549">
        <v>10</v>
      </c>
      <c r="O40" s="521">
        <v>10</v>
      </c>
      <c r="P40" s="549">
        <v>10</v>
      </c>
      <c r="Q40" s="549" t="s">
        <v>507</v>
      </c>
      <c r="R40" s="549" t="s">
        <v>507</v>
      </c>
      <c r="S40" s="549" t="s">
        <v>475</v>
      </c>
      <c r="T40" s="559" t="s">
        <v>475</v>
      </c>
      <c r="U40" s="559" t="s">
        <v>475</v>
      </c>
      <c r="V40" s="559" t="s">
        <v>475</v>
      </c>
      <c r="W40" s="559" t="s">
        <v>475</v>
      </c>
      <c r="X40" s="549" t="s">
        <v>505</v>
      </c>
      <c r="Y40" s="549" t="s">
        <v>505</v>
      </c>
      <c r="Z40" s="549">
        <v>7</v>
      </c>
      <c r="AA40" s="549">
        <v>7</v>
      </c>
      <c r="AB40" s="549">
        <v>7</v>
      </c>
      <c r="AC40" s="559">
        <v>7</v>
      </c>
      <c r="AD40" s="559">
        <v>7</v>
      </c>
      <c r="AE40" s="549"/>
      <c r="AF40" s="549"/>
      <c r="AG40" s="550">
        <v>4</v>
      </c>
      <c r="AH40" s="696">
        <v>4</v>
      </c>
      <c r="AI40" s="506">
        <v>37</v>
      </c>
    </row>
    <row r="41" spans="1:37" ht="21.95" customHeight="1" x14ac:dyDescent="0.2">
      <c r="A41" s="551">
        <v>7</v>
      </c>
      <c r="B41" s="152" t="s">
        <v>512</v>
      </c>
      <c r="C41" s="553"/>
      <c r="D41" s="553"/>
      <c r="E41" s="553">
        <v>3</v>
      </c>
      <c r="F41" s="553">
        <v>3</v>
      </c>
      <c r="G41" s="553">
        <v>3</v>
      </c>
      <c r="H41" s="553">
        <v>3</v>
      </c>
      <c r="I41" s="553">
        <v>3</v>
      </c>
      <c r="J41" s="553"/>
      <c r="K41" s="553"/>
      <c r="L41" s="553">
        <v>11</v>
      </c>
      <c r="M41" s="553">
        <v>11</v>
      </c>
      <c r="N41" s="553">
        <v>11</v>
      </c>
      <c r="O41" s="553">
        <v>11</v>
      </c>
      <c r="P41" s="553">
        <v>11</v>
      </c>
      <c r="Q41" s="553" t="s">
        <v>503</v>
      </c>
      <c r="R41" s="553" t="s">
        <v>503</v>
      </c>
      <c r="S41" s="553" t="s">
        <v>475</v>
      </c>
      <c r="T41" s="553" t="s">
        <v>475</v>
      </c>
      <c r="U41" s="553" t="s">
        <v>475</v>
      </c>
      <c r="V41" s="553" t="s">
        <v>475</v>
      </c>
      <c r="W41" s="553" t="s">
        <v>475</v>
      </c>
      <c r="X41" s="553"/>
      <c r="Y41" s="553"/>
      <c r="Z41" s="553" t="s">
        <v>552</v>
      </c>
      <c r="AA41" s="553" t="s">
        <v>552</v>
      </c>
      <c r="AB41" s="553" t="s">
        <v>552</v>
      </c>
      <c r="AC41" s="553" t="s">
        <v>552</v>
      </c>
      <c r="AD41" s="553">
        <v>3</v>
      </c>
      <c r="AE41" s="553"/>
      <c r="AF41" s="553"/>
      <c r="AG41" s="554" t="s">
        <v>552</v>
      </c>
      <c r="AH41" s="505">
        <v>56</v>
      </c>
      <c r="AI41" s="506">
        <v>37</v>
      </c>
    </row>
    <row r="42" spans="1:37" ht="21.95" customHeight="1" x14ac:dyDescent="0.2">
      <c r="A42" s="555">
        <v>12</v>
      </c>
      <c r="B42" s="560" t="s">
        <v>514</v>
      </c>
      <c r="C42" s="557"/>
      <c r="D42" s="557"/>
      <c r="E42" s="557">
        <v>1</v>
      </c>
      <c r="F42" s="557">
        <v>1</v>
      </c>
      <c r="G42" s="557">
        <v>1</v>
      </c>
      <c r="H42" s="557">
        <v>1</v>
      </c>
      <c r="I42" s="557">
        <v>1</v>
      </c>
      <c r="J42" s="557"/>
      <c r="K42" s="557"/>
      <c r="L42" s="557">
        <v>9</v>
      </c>
      <c r="M42" s="557">
        <v>9</v>
      </c>
      <c r="N42" s="557">
        <v>9</v>
      </c>
      <c r="O42" s="557">
        <v>9</v>
      </c>
      <c r="P42" s="557">
        <v>9</v>
      </c>
      <c r="Q42" s="557" t="s">
        <v>511</v>
      </c>
      <c r="R42" s="557" t="s">
        <v>507</v>
      </c>
      <c r="S42" s="557" t="s">
        <v>475</v>
      </c>
      <c r="T42" s="557" t="s">
        <v>475</v>
      </c>
      <c r="U42" s="557" t="s">
        <v>475</v>
      </c>
      <c r="V42" s="557" t="s">
        <v>475</v>
      </c>
      <c r="W42" s="557" t="s">
        <v>475</v>
      </c>
      <c r="X42" s="557"/>
      <c r="Y42" s="557"/>
      <c r="Z42" s="557">
        <v>6</v>
      </c>
      <c r="AA42" s="557">
        <v>6</v>
      </c>
      <c r="AB42" s="557">
        <v>6</v>
      </c>
      <c r="AC42" s="557">
        <v>6</v>
      </c>
      <c r="AD42" s="557">
        <v>6</v>
      </c>
      <c r="AE42" s="557" t="s">
        <v>508</v>
      </c>
      <c r="AF42" s="557" t="s">
        <v>504</v>
      </c>
      <c r="AG42" s="558" t="s">
        <v>475</v>
      </c>
      <c r="AH42" s="696">
        <v>77</v>
      </c>
      <c r="AI42" s="506">
        <v>37</v>
      </c>
    </row>
    <row r="43" spans="1:37" ht="21.95" customHeight="1" x14ac:dyDescent="0.2">
      <c r="A43" s="561">
        <v>3</v>
      </c>
      <c r="B43" s="562" t="s">
        <v>515</v>
      </c>
      <c r="C43" s="1097"/>
      <c r="D43" s="1097"/>
      <c r="E43" s="1097">
        <v>10</v>
      </c>
      <c r="F43" s="1097">
        <v>10</v>
      </c>
      <c r="G43" s="1097">
        <v>10</v>
      </c>
      <c r="H43" s="1097">
        <v>10</v>
      </c>
      <c r="I43" s="1097">
        <v>10</v>
      </c>
      <c r="J43" s="1097" t="s">
        <v>507</v>
      </c>
      <c r="K43" s="1097" t="s">
        <v>507</v>
      </c>
      <c r="L43" s="1066" t="s">
        <v>475</v>
      </c>
      <c r="M43" s="1066" t="s">
        <v>475</v>
      </c>
      <c r="N43" s="1066" t="s">
        <v>475</v>
      </c>
      <c r="O43" s="1066" t="s">
        <v>475</v>
      </c>
      <c r="P43" s="1066" t="s">
        <v>475</v>
      </c>
      <c r="Q43" s="1097" t="s">
        <v>505</v>
      </c>
      <c r="R43" s="1098" t="s">
        <v>505</v>
      </c>
      <c r="S43" s="1097">
        <v>7</v>
      </c>
      <c r="T43" s="1097">
        <v>7</v>
      </c>
      <c r="U43" s="1097">
        <v>7</v>
      </c>
      <c r="V43" s="1097">
        <v>7</v>
      </c>
      <c r="W43" s="1097">
        <v>7</v>
      </c>
      <c r="X43" s="1097"/>
      <c r="Y43" s="1097"/>
      <c r="Z43" s="1097">
        <v>4</v>
      </c>
      <c r="AA43" s="1097">
        <v>4</v>
      </c>
      <c r="AB43" s="1097">
        <v>4</v>
      </c>
      <c r="AC43" s="1097">
        <v>4</v>
      </c>
      <c r="AD43" s="1097">
        <v>4</v>
      </c>
      <c r="AE43" s="1097"/>
      <c r="AF43" s="1097"/>
      <c r="AG43" s="1105">
        <v>3</v>
      </c>
      <c r="AH43" s="505">
        <v>35</v>
      </c>
      <c r="AI43" s="506">
        <v>37</v>
      </c>
    </row>
    <row r="44" spans="1:37" ht="21.95" customHeight="1" x14ac:dyDescent="0.2">
      <c r="A44" s="551">
        <v>8</v>
      </c>
      <c r="B44" s="318" t="s">
        <v>516</v>
      </c>
      <c r="C44" s="553"/>
      <c r="D44" s="553"/>
      <c r="E44" s="553">
        <v>11</v>
      </c>
      <c r="F44" s="1116">
        <v>11</v>
      </c>
      <c r="G44" s="1495">
        <v>11</v>
      </c>
      <c r="H44" s="1116">
        <v>11</v>
      </c>
      <c r="I44" s="1116" t="s">
        <v>738</v>
      </c>
      <c r="J44" s="553" t="s">
        <v>503</v>
      </c>
      <c r="K44" s="553" t="s">
        <v>503</v>
      </c>
      <c r="L44" s="553" t="s">
        <v>475</v>
      </c>
      <c r="M44" s="553" t="s">
        <v>475</v>
      </c>
      <c r="N44" s="553" t="s">
        <v>475</v>
      </c>
      <c r="O44" s="553" t="s">
        <v>475</v>
      </c>
      <c r="P44" s="553" t="s">
        <v>475</v>
      </c>
      <c r="Q44" s="565"/>
      <c r="R44" s="553"/>
      <c r="S44" s="566">
        <v>8</v>
      </c>
      <c r="T44" s="553">
        <v>8</v>
      </c>
      <c r="U44" s="553">
        <v>8</v>
      </c>
      <c r="V44" s="553">
        <v>8</v>
      </c>
      <c r="W44" s="553">
        <v>8</v>
      </c>
      <c r="X44" s="553" t="s">
        <v>504</v>
      </c>
      <c r="Y44" s="553" t="s">
        <v>504</v>
      </c>
      <c r="Z44" s="553" t="s">
        <v>475</v>
      </c>
      <c r="AA44" s="553" t="s">
        <v>475</v>
      </c>
      <c r="AB44" s="553" t="s">
        <v>475</v>
      </c>
      <c r="AC44" s="553" t="s">
        <v>475</v>
      </c>
      <c r="AD44" s="553" t="s">
        <v>475</v>
      </c>
      <c r="AE44" s="553"/>
      <c r="AF44" s="553"/>
      <c r="AG44" s="554">
        <v>1</v>
      </c>
      <c r="AH44" s="505">
        <v>83</v>
      </c>
      <c r="AI44" s="506">
        <v>37</v>
      </c>
    </row>
    <row r="45" spans="1:37" ht="21.95" customHeight="1" x14ac:dyDescent="0.2">
      <c r="A45" s="555">
        <v>13</v>
      </c>
      <c r="B45" s="52" t="s">
        <v>517</v>
      </c>
      <c r="C45" s="557"/>
      <c r="D45" s="557"/>
      <c r="E45" s="557">
        <v>9</v>
      </c>
      <c r="F45" s="557">
        <v>9</v>
      </c>
      <c r="G45" s="557">
        <v>9</v>
      </c>
      <c r="H45" s="557">
        <v>9</v>
      </c>
      <c r="I45" s="557">
        <v>9</v>
      </c>
      <c r="J45" s="557" t="s">
        <v>511</v>
      </c>
      <c r="K45" s="557" t="s">
        <v>507</v>
      </c>
      <c r="L45" s="557" t="s">
        <v>475</v>
      </c>
      <c r="M45" s="557" t="s">
        <v>475</v>
      </c>
      <c r="N45" s="557" t="s">
        <v>475</v>
      </c>
      <c r="O45" s="557" t="s">
        <v>475</v>
      </c>
      <c r="P45" s="557" t="s">
        <v>475</v>
      </c>
      <c r="Q45" s="557"/>
      <c r="R45" s="567"/>
      <c r="S45" s="557">
        <v>6</v>
      </c>
      <c r="T45" s="557">
        <v>6</v>
      </c>
      <c r="U45" s="557">
        <v>6</v>
      </c>
      <c r="V45" s="557">
        <v>6</v>
      </c>
      <c r="W45" s="557">
        <v>6</v>
      </c>
      <c r="X45" s="557" t="s">
        <v>508</v>
      </c>
      <c r="Y45" s="557" t="s">
        <v>504</v>
      </c>
      <c r="Z45" s="557" t="s">
        <v>475</v>
      </c>
      <c r="AA45" s="557" t="s">
        <v>475</v>
      </c>
      <c r="AB45" s="557" t="s">
        <v>475</v>
      </c>
      <c r="AC45" s="557" t="s">
        <v>475</v>
      </c>
      <c r="AD45" s="557" t="s">
        <v>475</v>
      </c>
      <c r="AE45" s="557"/>
      <c r="AF45" s="557"/>
      <c r="AG45" s="558">
        <v>4</v>
      </c>
      <c r="AH45" s="505">
        <v>56</v>
      </c>
      <c r="AI45" s="506">
        <v>37</v>
      </c>
    </row>
    <row r="46" spans="1:37" ht="21.95" customHeight="1" x14ac:dyDescent="0.2">
      <c r="A46" s="561">
        <v>4</v>
      </c>
      <c r="B46" s="318" t="s">
        <v>518</v>
      </c>
      <c r="C46" s="514" t="s">
        <v>507</v>
      </c>
      <c r="D46" s="514" t="s">
        <v>507</v>
      </c>
      <c r="E46" s="514" t="s">
        <v>475</v>
      </c>
      <c r="F46" s="1441" t="s">
        <v>475</v>
      </c>
      <c r="G46" s="514" t="s">
        <v>475</v>
      </c>
      <c r="H46" s="514" t="s">
        <v>475</v>
      </c>
      <c r="I46" s="514" t="s">
        <v>475</v>
      </c>
      <c r="J46" s="514" t="s">
        <v>505</v>
      </c>
      <c r="K46" s="514" t="s">
        <v>505</v>
      </c>
      <c r="L46" s="514">
        <v>7</v>
      </c>
      <c r="M46" s="514">
        <v>7</v>
      </c>
      <c r="N46" s="514">
        <v>7</v>
      </c>
      <c r="O46" s="521">
        <v>7</v>
      </c>
      <c r="P46" s="514">
        <v>7</v>
      </c>
      <c r="Q46" s="514"/>
      <c r="R46" s="514"/>
      <c r="S46" s="514">
        <v>4</v>
      </c>
      <c r="T46" s="514">
        <v>4</v>
      </c>
      <c r="U46" s="514">
        <v>4</v>
      </c>
      <c r="V46" s="514">
        <v>4</v>
      </c>
      <c r="W46" s="514">
        <v>4</v>
      </c>
      <c r="X46" s="514"/>
      <c r="Y46" s="514"/>
      <c r="Z46" s="514">
        <v>3</v>
      </c>
      <c r="AA46" s="514">
        <v>3</v>
      </c>
      <c r="AB46" s="514">
        <v>3</v>
      </c>
      <c r="AC46" s="514">
        <v>3</v>
      </c>
      <c r="AD46" s="514">
        <v>3</v>
      </c>
      <c r="AE46" s="514"/>
      <c r="AF46" s="514"/>
      <c r="AG46" s="515">
        <v>11</v>
      </c>
      <c r="AH46" s="505">
        <v>141</v>
      </c>
      <c r="AI46" s="506">
        <v>37</v>
      </c>
    </row>
    <row r="47" spans="1:37" ht="21.95" customHeight="1" x14ac:dyDescent="0.2">
      <c r="A47" s="551">
        <v>9</v>
      </c>
      <c r="B47" s="318" t="s">
        <v>519</v>
      </c>
      <c r="C47" s="553" t="s">
        <v>503</v>
      </c>
      <c r="D47" s="553" t="s">
        <v>503</v>
      </c>
      <c r="E47" s="1064" t="s">
        <v>475</v>
      </c>
      <c r="F47" s="1064" t="s">
        <v>475</v>
      </c>
      <c r="G47" s="1064" t="s">
        <v>475</v>
      </c>
      <c r="H47" s="1064" t="s">
        <v>475</v>
      </c>
      <c r="I47" s="1064" t="s">
        <v>475</v>
      </c>
      <c r="J47" s="1064"/>
      <c r="K47" s="1064"/>
      <c r="L47" s="1064">
        <v>8</v>
      </c>
      <c r="M47" s="1064">
        <v>8</v>
      </c>
      <c r="N47" s="1064">
        <v>8</v>
      </c>
      <c r="O47" s="1064">
        <v>8</v>
      </c>
      <c r="P47" s="1064">
        <v>8</v>
      </c>
      <c r="Q47" s="1064" t="s">
        <v>504</v>
      </c>
      <c r="R47" s="1064" t="s">
        <v>504</v>
      </c>
      <c r="S47" s="553" t="s">
        <v>475</v>
      </c>
      <c r="T47" s="553" t="s">
        <v>475</v>
      </c>
      <c r="U47" s="553" t="s">
        <v>475</v>
      </c>
      <c r="V47" s="553" t="s">
        <v>475</v>
      </c>
      <c r="W47" s="553" t="s">
        <v>475</v>
      </c>
      <c r="X47" s="553"/>
      <c r="Y47" s="553"/>
      <c r="Z47" s="553">
        <v>1</v>
      </c>
      <c r="AA47" s="553">
        <v>1</v>
      </c>
      <c r="AB47" s="553">
        <v>1</v>
      </c>
      <c r="AC47" s="553">
        <v>1</v>
      </c>
      <c r="AD47" s="553">
        <v>1</v>
      </c>
      <c r="AE47" s="553"/>
      <c r="AF47" s="553"/>
      <c r="AG47" s="565">
        <v>9</v>
      </c>
      <c r="AH47" s="505">
        <v>1</v>
      </c>
      <c r="AI47" s="506">
        <v>37</v>
      </c>
    </row>
    <row r="48" spans="1:37" ht="21.95" customHeight="1" x14ac:dyDescent="0.2">
      <c r="A48" s="555">
        <v>14</v>
      </c>
      <c r="B48" s="560" t="s">
        <v>520</v>
      </c>
      <c r="C48" s="557" t="s">
        <v>511</v>
      </c>
      <c r="D48" s="557" t="s">
        <v>507</v>
      </c>
      <c r="E48" s="557" t="s">
        <v>475</v>
      </c>
      <c r="F48" s="557" t="s">
        <v>475</v>
      </c>
      <c r="G48" s="557" t="s">
        <v>475</v>
      </c>
      <c r="H48" s="557" t="s">
        <v>475</v>
      </c>
      <c r="I48" s="557" t="s">
        <v>475</v>
      </c>
      <c r="J48" s="557"/>
      <c r="K48" s="557"/>
      <c r="L48" s="557">
        <v>6</v>
      </c>
      <c r="M48" s="557">
        <v>6</v>
      </c>
      <c r="N48" s="557">
        <v>6</v>
      </c>
      <c r="O48" s="557">
        <v>6</v>
      </c>
      <c r="P48" s="557">
        <v>6</v>
      </c>
      <c r="Q48" s="557" t="s">
        <v>508</v>
      </c>
      <c r="R48" s="557" t="s">
        <v>504</v>
      </c>
      <c r="S48" s="557" t="s">
        <v>475</v>
      </c>
      <c r="T48" s="557" t="s">
        <v>475</v>
      </c>
      <c r="U48" s="557" t="s">
        <v>475</v>
      </c>
      <c r="V48" s="557" t="s">
        <v>475</v>
      </c>
      <c r="W48" s="557" t="s">
        <v>475</v>
      </c>
      <c r="X48" s="557"/>
      <c r="Y48" s="557"/>
      <c r="Z48" s="557" t="s">
        <v>739</v>
      </c>
      <c r="AA48" s="557" t="s">
        <v>739</v>
      </c>
      <c r="AB48" s="557" t="s">
        <v>739</v>
      </c>
      <c r="AC48" s="557" t="s">
        <v>739</v>
      </c>
      <c r="AD48" s="557" t="s">
        <v>739</v>
      </c>
      <c r="AE48" s="557"/>
      <c r="AF48" s="557"/>
      <c r="AG48" s="568">
        <v>10</v>
      </c>
      <c r="AH48" s="505">
        <v>85</v>
      </c>
      <c r="AI48" s="506">
        <v>37</v>
      </c>
    </row>
    <row r="49" spans="1:35" ht="21.95" customHeight="1" x14ac:dyDescent="0.2">
      <c r="A49" s="548">
        <v>5</v>
      </c>
      <c r="B49" s="552" t="s">
        <v>521</v>
      </c>
      <c r="C49" s="549" t="s">
        <v>505</v>
      </c>
      <c r="D49" s="549" t="s">
        <v>505</v>
      </c>
      <c r="E49" s="549">
        <v>7</v>
      </c>
      <c r="F49" s="549">
        <v>7</v>
      </c>
      <c r="G49" s="549">
        <v>7</v>
      </c>
      <c r="H49" s="549">
        <v>7</v>
      </c>
      <c r="I49" s="549">
        <v>7</v>
      </c>
      <c r="J49" s="549"/>
      <c r="K49" s="549"/>
      <c r="L49" s="1071">
        <v>4</v>
      </c>
      <c r="M49" s="1071">
        <v>4</v>
      </c>
      <c r="N49" s="1071">
        <v>4</v>
      </c>
      <c r="O49" s="1071">
        <v>4</v>
      </c>
      <c r="P49" s="1474">
        <v>4</v>
      </c>
      <c r="Q49" s="1071"/>
      <c r="R49" s="1071"/>
      <c r="S49" s="549">
        <v>3</v>
      </c>
      <c r="T49" s="549">
        <v>3</v>
      </c>
      <c r="U49" s="549">
        <v>3</v>
      </c>
      <c r="V49" s="549">
        <v>3</v>
      </c>
      <c r="W49" s="549">
        <v>3</v>
      </c>
      <c r="X49" s="549"/>
      <c r="Y49" s="549"/>
      <c r="Z49" s="549">
        <v>11</v>
      </c>
      <c r="AA49" s="549">
        <v>11</v>
      </c>
      <c r="AB49" s="549">
        <v>11</v>
      </c>
      <c r="AC49" s="1508">
        <v>11</v>
      </c>
      <c r="AD49" s="549">
        <v>11</v>
      </c>
      <c r="AE49" s="569" t="s">
        <v>503</v>
      </c>
      <c r="AF49" s="549" t="s">
        <v>503</v>
      </c>
      <c r="AG49" s="569" t="s">
        <v>475</v>
      </c>
      <c r="AH49" s="505">
        <v>48</v>
      </c>
      <c r="AI49" s="506">
        <v>37</v>
      </c>
    </row>
    <row r="50" spans="1:35" ht="21.95" customHeight="1" x14ac:dyDescent="0.2">
      <c r="A50" s="551">
        <v>10</v>
      </c>
      <c r="B50" s="318" t="s">
        <v>523</v>
      </c>
      <c r="C50" s="553"/>
      <c r="D50" s="553"/>
      <c r="E50" s="553">
        <v>8</v>
      </c>
      <c r="F50" s="553">
        <v>8</v>
      </c>
      <c r="G50" s="553">
        <v>8</v>
      </c>
      <c r="H50" s="553">
        <v>8</v>
      </c>
      <c r="I50" s="553">
        <v>8</v>
      </c>
      <c r="J50" s="553" t="s">
        <v>504</v>
      </c>
      <c r="K50" s="553" t="s">
        <v>504</v>
      </c>
      <c r="L50" s="553" t="s">
        <v>475</v>
      </c>
      <c r="M50" s="553" t="s">
        <v>475</v>
      </c>
      <c r="N50" s="553" t="s">
        <v>475</v>
      </c>
      <c r="O50" s="553" t="s">
        <v>475</v>
      </c>
      <c r="P50" s="553" t="s">
        <v>475</v>
      </c>
      <c r="Q50" s="553"/>
      <c r="R50" s="553"/>
      <c r="S50" s="553">
        <v>1</v>
      </c>
      <c r="T50" s="553">
        <v>1</v>
      </c>
      <c r="U50" s="553">
        <v>1</v>
      </c>
      <c r="V50" s="553">
        <v>1</v>
      </c>
      <c r="W50" s="553">
        <v>1</v>
      </c>
      <c r="X50" s="553"/>
      <c r="Y50" s="553"/>
      <c r="Z50" s="1064">
        <v>9</v>
      </c>
      <c r="AA50" s="1064">
        <v>9</v>
      </c>
      <c r="AB50" s="1064">
        <v>9</v>
      </c>
      <c r="AC50" s="1064">
        <v>9</v>
      </c>
      <c r="AD50" s="1064">
        <v>9</v>
      </c>
      <c r="AE50" s="1063" t="s">
        <v>511</v>
      </c>
      <c r="AF50" s="1064" t="s">
        <v>507</v>
      </c>
      <c r="AG50" s="565" t="s">
        <v>475</v>
      </c>
      <c r="AH50" s="505">
        <v>23</v>
      </c>
      <c r="AI50" s="506">
        <v>37</v>
      </c>
    </row>
    <row r="51" spans="1:35" ht="21.95" customHeight="1" x14ac:dyDescent="0.2">
      <c r="A51" s="555">
        <v>15</v>
      </c>
      <c r="B51" s="52" t="s">
        <v>524</v>
      </c>
      <c r="C51" s="557"/>
      <c r="D51" s="557"/>
      <c r="E51" s="557">
        <v>6</v>
      </c>
      <c r="F51" s="557">
        <v>6</v>
      </c>
      <c r="G51" s="557">
        <v>6</v>
      </c>
      <c r="H51" s="557">
        <v>6</v>
      </c>
      <c r="I51" s="557">
        <v>6</v>
      </c>
      <c r="J51" s="557" t="s">
        <v>508</v>
      </c>
      <c r="K51" s="557" t="s">
        <v>504</v>
      </c>
      <c r="L51" s="557" t="s">
        <v>475</v>
      </c>
      <c r="M51" s="557" t="s">
        <v>475</v>
      </c>
      <c r="N51" s="557" t="s">
        <v>475</v>
      </c>
      <c r="O51" s="557" t="s">
        <v>475</v>
      </c>
      <c r="P51" s="557" t="s">
        <v>475</v>
      </c>
      <c r="Q51" s="557"/>
      <c r="R51" s="557"/>
      <c r="S51" s="1061">
        <v>5</v>
      </c>
      <c r="T51" s="1061">
        <v>5</v>
      </c>
      <c r="U51" s="1061">
        <v>5</v>
      </c>
      <c r="V51" s="1061">
        <v>5</v>
      </c>
      <c r="W51" s="1061">
        <v>5</v>
      </c>
      <c r="X51" s="1061"/>
      <c r="Y51" s="1061"/>
      <c r="Z51" s="557">
        <v>10</v>
      </c>
      <c r="AA51" s="557">
        <v>10</v>
      </c>
      <c r="AB51" s="557">
        <v>10</v>
      </c>
      <c r="AC51" s="557">
        <v>10</v>
      </c>
      <c r="AD51" s="557">
        <v>10</v>
      </c>
      <c r="AE51" s="568" t="s">
        <v>507</v>
      </c>
      <c r="AF51" s="557" t="s">
        <v>507</v>
      </c>
      <c r="AG51" s="568" t="s">
        <v>475</v>
      </c>
      <c r="AH51" s="651">
        <v>27</v>
      </c>
      <c r="AI51" s="523">
        <v>37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AH53" s="1"/>
    </row>
    <row r="54" spans="1:35" ht="21.95" customHeight="1" x14ac:dyDescent="0.2">
      <c r="A54" s="524"/>
      <c r="AH54" s="1"/>
    </row>
    <row r="55" spans="1:35" ht="21.95" customHeight="1" x14ac:dyDescent="0.2">
      <c r="A55" s="524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7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47" t="s">
        <v>106</v>
      </c>
      <c r="C58" s="121" t="s">
        <v>295</v>
      </c>
      <c r="D58" s="156"/>
      <c r="E58" s="488"/>
      <c r="F58" s="121" t="s">
        <v>295</v>
      </c>
      <c r="G58" s="579"/>
      <c r="H58" s="156"/>
      <c r="I58" s="121" t="s">
        <v>295</v>
      </c>
      <c r="J58" s="55"/>
      <c r="K58" s="580"/>
      <c r="L58" s="121" t="s">
        <v>295</v>
      </c>
      <c r="M58" s="156"/>
      <c r="N58" s="488"/>
      <c r="O58" s="121" t="s">
        <v>295</v>
      </c>
      <c r="P58" s="156"/>
      <c r="Q58" s="488"/>
      <c r="R58" s="581"/>
      <c r="S58" s="53"/>
      <c r="T58" s="541"/>
      <c r="U58" s="581"/>
      <c r="V58" s="53"/>
      <c r="W58" s="541"/>
      <c r="X58" s="581"/>
      <c r="Y58" s="53">
        <v>37</v>
      </c>
      <c r="Z58" s="582"/>
      <c r="AA58" s="489"/>
      <c r="AE58" s="360"/>
      <c r="AF58" s="360"/>
      <c r="AG58" s="360"/>
    </row>
    <row r="59" spans="1:35" ht="21.95" customHeight="1" x14ac:dyDescent="0.2">
      <c r="A59" s="1"/>
      <c r="B59" s="47"/>
      <c r="C59" s="57"/>
      <c r="D59" s="53"/>
      <c r="E59" s="541"/>
      <c r="F59" s="57"/>
      <c r="G59" s="583"/>
      <c r="H59" s="53"/>
      <c r="I59" s="57"/>
      <c r="J59" s="53"/>
      <c r="K59" s="541"/>
      <c r="L59" s="57"/>
      <c r="M59" s="53"/>
      <c r="N59" s="541"/>
      <c r="O59" s="57"/>
      <c r="P59" s="53"/>
      <c r="Q59" s="541"/>
      <c r="R59" s="581"/>
      <c r="S59" s="53"/>
      <c r="T59" s="541"/>
      <c r="U59" s="581"/>
      <c r="V59" s="53"/>
      <c r="W59" s="541"/>
      <c r="X59" s="581"/>
      <c r="Y59" s="53"/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497">
        <v>1</v>
      </c>
      <c r="D61" s="497">
        <v>2</v>
      </c>
      <c r="E61" s="177">
        <v>3</v>
      </c>
      <c r="F61" s="177">
        <v>4</v>
      </c>
      <c r="G61" s="177">
        <v>5</v>
      </c>
      <c r="H61" s="177">
        <v>6</v>
      </c>
      <c r="I61" s="177">
        <v>7</v>
      </c>
      <c r="J61" s="497">
        <v>8</v>
      </c>
      <c r="K61" s="497">
        <v>9</v>
      </c>
      <c r="L61" s="177">
        <v>10</v>
      </c>
      <c r="M61" s="177">
        <v>11</v>
      </c>
      <c r="N61" s="177">
        <v>12</v>
      </c>
      <c r="O61" s="177">
        <v>13</v>
      </c>
      <c r="P61" s="177">
        <v>14</v>
      </c>
      <c r="Q61" s="497">
        <v>15</v>
      </c>
      <c r="R61" s="497">
        <v>16</v>
      </c>
      <c r="S61" s="177">
        <v>17</v>
      </c>
      <c r="T61" s="177">
        <v>18</v>
      </c>
      <c r="U61" s="177">
        <v>19</v>
      </c>
      <c r="V61" s="177">
        <v>20</v>
      </c>
      <c r="W61" s="177">
        <v>21</v>
      </c>
      <c r="X61" s="497">
        <v>22</v>
      </c>
      <c r="Y61" s="497">
        <v>23</v>
      </c>
      <c r="Z61" s="177">
        <v>24</v>
      </c>
      <c r="AA61" s="177">
        <v>25</v>
      </c>
      <c r="AB61" s="177">
        <v>26</v>
      </c>
      <c r="AC61" s="177">
        <v>27</v>
      </c>
      <c r="AD61" s="177">
        <v>28</v>
      </c>
      <c r="AE61" s="497">
        <v>29</v>
      </c>
      <c r="AF61" s="497">
        <v>30</v>
      </c>
      <c r="AG61" s="177">
        <v>31</v>
      </c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/>
      <c r="D62" s="587"/>
      <c r="E62" s="587" t="s">
        <v>529</v>
      </c>
      <c r="F62" s="587" t="s">
        <v>529</v>
      </c>
      <c r="G62" s="587" t="s">
        <v>529</v>
      </c>
      <c r="H62" s="587" t="s">
        <v>529</v>
      </c>
      <c r="I62" s="587" t="s">
        <v>529</v>
      </c>
      <c r="J62" s="587"/>
      <c r="K62" s="587"/>
      <c r="L62" s="587" t="s">
        <v>529</v>
      </c>
      <c r="M62" s="587" t="s">
        <v>529</v>
      </c>
      <c r="N62" s="587" t="s">
        <v>529</v>
      </c>
      <c r="O62" s="587" t="s">
        <v>529</v>
      </c>
      <c r="P62" s="587" t="s">
        <v>529</v>
      </c>
      <c r="Q62" s="587"/>
      <c r="R62" s="587"/>
      <c r="S62" s="587" t="s">
        <v>529</v>
      </c>
      <c r="T62" s="587" t="s">
        <v>529</v>
      </c>
      <c r="U62" s="587" t="s">
        <v>529</v>
      </c>
      <c r="V62" s="587" t="s">
        <v>529</v>
      </c>
      <c r="W62" s="587" t="s">
        <v>529</v>
      </c>
      <c r="X62" s="587"/>
      <c r="Y62" s="587"/>
      <c r="Z62" s="587" t="s">
        <v>529</v>
      </c>
      <c r="AA62" s="587" t="s">
        <v>529</v>
      </c>
      <c r="AB62" s="587" t="s">
        <v>529</v>
      </c>
      <c r="AC62" s="587" t="s">
        <v>529</v>
      </c>
      <c r="AD62" s="587" t="s">
        <v>529</v>
      </c>
      <c r="AE62" s="587"/>
      <c r="AG62" s="587" t="s">
        <v>529</v>
      </c>
      <c r="AH62" s="505">
        <v>42</v>
      </c>
      <c r="AI62" s="506">
        <v>37</v>
      </c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/>
      <c r="AI63" s="506"/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thickBot="1" x14ac:dyDescent="0.25">
      <c r="A65" s="589"/>
      <c r="C65" s="590"/>
      <c r="D65" s="590"/>
      <c r="E65" s="590"/>
      <c r="F65" s="590"/>
      <c r="G65" s="590"/>
      <c r="H65" s="590"/>
      <c r="I65" s="590"/>
      <c r="J65" s="590"/>
      <c r="K65" s="590"/>
      <c r="L65" s="590"/>
      <c r="M65" s="590"/>
      <c r="N65" s="590"/>
      <c r="O65" s="590"/>
      <c r="P65" s="590"/>
      <c r="Q65" s="590"/>
      <c r="R65" s="590"/>
      <c r="S65" s="590"/>
      <c r="T65" s="590"/>
      <c r="U65" s="590"/>
      <c r="V65" s="590"/>
      <c r="W65" s="590"/>
      <c r="X65" s="590"/>
      <c r="Y65" s="590"/>
      <c r="Z65" s="590"/>
      <c r="AA65" s="590"/>
      <c r="AB65" s="590"/>
      <c r="AC65" s="590"/>
      <c r="AD65" s="590"/>
      <c r="AE65" s="590"/>
      <c r="AF65" s="590"/>
      <c r="AG65" s="590"/>
      <c r="AH65" s="591"/>
      <c r="AI65" s="591"/>
    </row>
    <row r="66" spans="1:35" ht="21.95" customHeight="1" x14ac:dyDescent="0.2">
      <c r="A66" s="360"/>
      <c r="B66" s="23" t="s">
        <v>532</v>
      </c>
      <c r="C66" s="7"/>
      <c r="D66" s="413" t="s">
        <v>2</v>
      </c>
      <c r="E66" s="572"/>
      <c r="F66" s="7"/>
      <c r="G66" s="6" t="s">
        <v>3</v>
      </c>
      <c r="H66" s="573"/>
      <c r="I66" s="118"/>
      <c r="J66" s="6" t="s">
        <v>4</v>
      </c>
      <c r="K66" s="412"/>
      <c r="L66" s="118"/>
      <c r="M66" s="119" t="s">
        <v>5</v>
      </c>
      <c r="N66" s="412"/>
      <c r="O66" s="7"/>
      <c r="P66" s="6" t="s">
        <v>6</v>
      </c>
      <c r="Q66" s="574"/>
      <c r="R66" s="118"/>
      <c r="S66" s="6" t="s">
        <v>7</v>
      </c>
      <c r="T66" s="575"/>
      <c r="U66" s="118"/>
      <c r="V66" s="6" t="s">
        <v>8</v>
      </c>
      <c r="W66" s="574"/>
      <c r="X66" s="348" t="s">
        <v>9</v>
      </c>
      <c r="Y66" s="593"/>
      <c r="Z66" s="593"/>
      <c r="AA66" s="594"/>
      <c r="AB66" s="27" t="s">
        <v>10</v>
      </c>
      <c r="AC66" s="576"/>
      <c r="AD66" s="576"/>
      <c r="AE66" s="595"/>
      <c r="AF66" s="595"/>
      <c r="AG66" s="596"/>
    </row>
    <row r="67" spans="1:35" ht="21.95" customHeight="1" x14ac:dyDescent="0.2">
      <c r="A67" s="360"/>
      <c r="B67" s="305" t="s">
        <v>533</v>
      </c>
      <c r="C67" s="598" t="s">
        <v>534</v>
      </c>
      <c r="D67" s="482"/>
      <c r="E67" s="483"/>
      <c r="F67" s="598" t="s">
        <v>534</v>
      </c>
      <c r="G67" s="482"/>
      <c r="H67" s="483"/>
      <c r="I67" s="598" t="s">
        <v>534</v>
      </c>
      <c r="J67" s="482"/>
      <c r="K67" s="483"/>
      <c r="L67" s="598" t="s">
        <v>534</v>
      </c>
      <c r="M67" s="482"/>
      <c r="N67" s="483"/>
      <c r="O67" s="598" t="s">
        <v>534</v>
      </c>
      <c r="P67" s="482"/>
      <c r="Q67" s="483"/>
      <c r="R67" s="598"/>
      <c r="S67" s="482"/>
      <c r="T67" s="483"/>
      <c r="U67" s="598"/>
      <c r="V67" s="482"/>
      <c r="W67" s="483"/>
      <c r="X67" s="598"/>
      <c r="Y67" s="482"/>
      <c r="Z67" s="482"/>
      <c r="AA67" s="482"/>
      <c r="AB67" s="475"/>
      <c r="AC67" s="482"/>
      <c r="AD67" s="482"/>
      <c r="AE67" s="482"/>
      <c r="AF67" s="482"/>
      <c r="AG67" s="599"/>
    </row>
    <row r="68" spans="1:35" ht="21.95" customHeight="1" x14ac:dyDescent="0.2">
      <c r="A68" s="360"/>
      <c r="B68" s="305" t="s">
        <v>535</v>
      </c>
      <c r="C68" s="598" t="s">
        <v>147</v>
      </c>
      <c r="D68" s="482"/>
      <c r="E68" s="483"/>
      <c r="F68" s="598" t="s">
        <v>147</v>
      </c>
      <c r="G68" s="482"/>
      <c r="H68" s="483"/>
      <c r="I68" s="598" t="s">
        <v>147</v>
      </c>
      <c r="J68" s="482"/>
      <c r="K68" s="483"/>
      <c r="L68" s="598" t="s">
        <v>147</v>
      </c>
      <c r="M68" s="482"/>
      <c r="N68" s="483"/>
      <c r="O68" s="598" t="s">
        <v>147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x14ac:dyDescent="0.2">
      <c r="A69" s="360"/>
      <c r="B69" s="69"/>
      <c r="C69" s="360"/>
      <c r="D69" s="360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</row>
    <row r="70" spans="1:35" ht="21.95" customHeight="1" x14ac:dyDescent="0.2">
      <c r="A70" s="585" t="s">
        <v>468</v>
      </c>
      <c r="B70" s="296" t="s">
        <v>469</v>
      </c>
      <c r="C70" s="497">
        <v>1</v>
      </c>
      <c r="D70" s="497">
        <v>2</v>
      </c>
      <c r="E70" s="177">
        <v>3</v>
      </c>
      <c r="F70" s="177">
        <v>4</v>
      </c>
      <c r="G70" s="177">
        <v>5</v>
      </c>
      <c r="H70" s="177">
        <v>6</v>
      </c>
      <c r="I70" s="177">
        <v>7</v>
      </c>
      <c r="J70" s="497">
        <v>8</v>
      </c>
      <c r="K70" s="497">
        <v>9</v>
      </c>
      <c r="L70" s="177">
        <v>10</v>
      </c>
      <c r="M70" s="177">
        <v>11</v>
      </c>
      <c r="N70" s="177">
        <v>12</v>
      </c>
      <c r="O70" s="177">
        <v>13</v>
      </c>
      <c r="P70" s="177">
        <v>14</v>
      </c>
      <c r="Q70" s="497">
        <v>15</v>
      </c>
      <c r="R70" s="497">
        <v>16</v>
      </c>
      <c r="S70" s="177">
        <v>17</v>
      </c>
      <c r="T70" s="177">
        <v>18</v>
      </c>
      <c r="U70" s="177">
        <v>19</v>
      </c>
      <c r="V70" s="177">
        <v>20</v>
      </c>
      <c r="W70" s="177">
        <v>21</v>
      </c>
      <c r="X70" s="497">
        <v>22</v>
      </c>
      <c r="Y70" s="497">
        <v>23</v>
      </c>
      <c r="Z70" s="177">
        <v>24</v>
      </c>
      <c r="AA70" s="177">
        <v>25</v>
      </c>
      <c r="AB70" s="177">
        <v>26</v>
      </c>
      <c r="AC70" s="177">
        <v>27</v>
      </c>
      <c r="AD70" s="177">
        <v>28</v>
      </c>
      <c r="AE70" s="497">
        <v>29</v>
      </c>
      <c r="AF70" s="497">
        <v>30</v>
      </c>
      <c r="AG70" s="177">
        <v>31</v>
      </c>
      <c r="AH70" s="499" t="s">
        <v>470</v>
      </c>
      <c r="AI70" s="500" t="s">
        <v>471</v>
      </c>
    </row>
    <row r="71" spans="1:35" ht="21.95" customHeight="1" x14ac:dyDescent="0.2">
      <c r="A71" s="185">
        <v>8520</v>
      </c>
      <c r="B71" s="185" t="s">
        <v>537</v>
      </c>
      <c r="C71" s="521"/>
      <c r="D71" s="521"/>
      <c r="E71" s="521" t="s">
        <v>538</v>
      </c>
      <c r="F71" s="1441" t="s">
        <v>538</v>
      </c>
      <c r="G71" s="521" t="s">
        <v>538</v>
      </c>
      <c r="H71" s="521" t="s">
        <v>538</v>
      </c>
      <c r="I71" s="521" t="s">
        <v>538</v>
      </c>
      <c r="J71" s="521"/>
      <c r="K71" s="521"/>
      <c r="L71" s="521" t="s">
        <v>538</v>
      </c>
      <c r="M71" s="521" t="s">
        <v>538</v>
      </c>
      <c r="N71" s="521" t="s">
        <v>538</v>
      </c>
      <c r="O71" s="521" t="s">
        <v>538</v>
      </c>
      <c r="P71" s="521" t="s">
        <v>538</v>
      </c>
      <c r="Q71" s="521"/>
      <c r="R71" s="521"/>
      <c r="S71" s="521" t="s">
        <v>538</v>
      </c>
      <c r="T71" s="521" t="s">
        <v>538</v>
      </c>
      <c r="U71" s="521" t="s">
        <v>538</v>
      </c>
      <c r="V71" s="521" t="s">
        <v>538</v>
      </c>
      <c r="W71" s="521" t="s">
        <v>538</v>
      </c>
      <c r="X71" s="521"/>
      <c r="Y71" s="521"/>
      <c r="Z71" s="1073" t="s">
        <v>538</v>
      </c>
      <c r="AA71" s="1073" t="s">
        <v>538</v>
      </c>
      <c r="AB71" s="1073" t="s">
        <v>538</v>
      </c>
      <c r="AC71" s="1073" t="s">
        <v>538</v>
      </c>
      <c r="AD71" s="1073" t="s">
        <v>538</v>
      </c>
      <c r="AE71" s="1073"/>
      <c r="AF71" s="1073"/>
      <c r="AG71" s="521" t="s">
        <v>538</v>
      </c>
      <c r="AH71" s="505">
        <v>42</v>
      </c>
      <c r="AI71" s="506">
        <v>37</v>
      </c>
    </row>
    <row r="72" spans="1:35" ht="21.95" customHeight="1" x14ac:dyDescent="0.2">
      <c r="A72" s="185">
        <v>8521</v>
      </c>
      <c r="B72" s="185" t="s">
        <v>539</v>
      </c>
      <c r="C72" s="553"/>
      <c r="D72" s="553"/>
      <c r="E72" s="1064" t="s">
        <v>540</v>
      </c>
      <c r="F72" s="1073" t="s">
        <v>540</v>
      </c>
      <c r="G72" s="1064" t="s">
        <v>540</v>
      </c>
      <c r="H72" s="1064" t="s">
        <v>540</v>
      </c>
      <c r="I72" s="1064" t="s">
        <v>540</v>
      </c>
      <c r="J72" s="1064"/>
      <c r="K72" s="1064"/>
      <c r="L72" s="553" t="s">
        <v>540</v>
      </c>
      <c r="M72" s="553" t="s">
        <v>540</v>
      </c>
      <c r="N72" s="553" t="s">
        <v>540</v>
      </c>
      <c r="O72" s="1499" t="s">
        <v>540</v>
      </c>
      <c r="P72" s="553" t="s">
        <v>540</v>
      </c>
      <c r="Q72" s="553"/>
      <c r="R72" s="553"/>
      <c r="S72" s="553" t="s">
        <v>540</v>
      </c>
      <c r="T72" s="553" t="s">
        <v>540</v>
      </c>
      <c r="U72" s="553" t="s">
        <v>540</v>
      </c>
      <c r="V72" s="553" t="s">
        <v>540</v>
      </c>
      <c r="W72" s="553" t="s">
        <v>540</v>
      </c>
      <c r="X72" s="553"/>
      <c r="Y72" s="553"/>
      <c r="Z72" s="553" t="s">
        <v>540</v>
      </c>
      <c r="AA72" s="553" t="s">
        <v>540</v>
      </c>
      <c r="AB72" s="553" t="s">
        <v>540</v>
      </c>
      <c r="AC72" s="553" t="s">
        <v>540</v>
      </c>
      <c r="AD72" s="553" t="s">
        <v>540</v>
      </c>
      <c r="AE72" s="553"/>
      <c r="AF72" s="553"/>
      <c r="AG72" s="553" t="s">
        <v>540</v>
      </c>
      <c r="AH72" s="505">
        <v>74</v>
      </c>
      <c r="AI72" s="506">
        <v>37</v>
      </c>
    </row>
    <row r="73" spans="1:35" ht="21.95" customHeight="1" x14ac:dyDescent="0.2">
      <c r="A73" s="360"/>
      <c r="B73" s="360"/>
      <c r="C73" s="546"/>
      <c r="D73" s="525"/>
      <c r="E73" s="525"/>
      <c r="F73" s="525"/>
      <c r="G73" s="525"/>
      <c r="H73" s="525"/>
      <c r="I73" s="525"/>
      <c r="J73" s="525"/>
      <c r="K73" s="525"/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X73" s="525"/>
      <c r="Y73" s="525"/>
      <c r="Z73" s="525"/>
      <c r="AA73" s="525"/>
      <c r="AB73" s="525"/>
      <c r="AC73" s="525"/>
      <c r="AD73" s="525"/>
      <c r="AE73" s="525"/>
      <c r="AF73" s="525"/>
      <c r="AG73" s="525"/>
      <c r="AH73" s="591"/>
      <c r="AI73" s="591"/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x14ac:dyDescent="0.2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x14ac:dyDescent="0.2">
      <c r="A76" s="1" t="s">
        <v>541</v>
      </c>
      <c r="D76" s="360"/>
      <c r="E76" s="360"/>
      <c r="F76" s="360"/>
      <c r="G76" s="570"/>
      <c r="H76" s="360"/>
      <c r="I76" s="360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</row>
    <row r="77" spans="1:35" ht="21.95" customHeight="1" x14ac:dyDescent="0.2">
      <c r="A77" s="1"/>
      <c r="B77" s="23" t="s">
        <v>542</v>
      </c>
      <c r="C77" s="7"/>
      <c r="D77" s="530" t="s">
        <v>2</v>
      </c>
      <c r="E77" s="51"/>
      <c r="F77" s="573"/>
      <c r="G77" s="7"/>
      <c r="H77" s="530" t="s">
        <v>3</v>
      </c>
      <c r="I77" s="51"/>
      <c r="J77" s="573"/>
      <c r="K77" s="7"/>
      <c r="L77" s="530" t="s">
        <v>4</v>
      </c>
      <c r="M77" s="51"/>
      <c r="N77" s="573"/>
      <c r="O77" s="573"/>
      <c r="P77" s="530" t="s">
        <v>5</v>
      </c>
      <c r="Q77" s="51"/>
      <c r="R77" s="573"/>
      <c r="S77" s="7"/>
      <c r="T77" s="530" t="s">
        <v>6</v>
      </c>
      <c r="U77" s="51"/>
      <c r="V77" s="573"/>
      <c r="W77" s="7"/>
      <c r="X77" s="530" t="s">
        <v>7</v>
      </c>
      <c r="Y77" s="51"/>
      <c r="Z77" s="573"/>
      <c r="AA77" s="7"/>
      <c r="AB77" s="530" t="s">
        <v>8</v>
      </c>
      <c r="AC77" s="51"/>
      <c r="AD77" s="51"/>
      <c r="AE77" s="348" t="s">
        <v>9</v>
      </c>
      <c r="AF77" s="51"/>
      <c r="AG77" s="51"/>
      <c r="AH77" s="51"/>
      <c r="AI77" s="531"/>
    </row>
    <row r="78" spans="1:35" ht="21.95" customHeight="1" x14ac:dyDescent="0.2">
      <c r="A78" s="1"/>
      <c r="B78" s="129" t="s">
        <v>324</v>
      </c>
      <c r="C78" s="611" t="s">
        <v>543</v>
      </c>
      <c r="E78" s="156"/>
      <c r="F78" s="612"/>
      <c r="G78" s="611" t="s">
        <v>543</v>
      </c>
      <c r="H78" s="156"/>
      <c r="I78" s="156"/>
      <c r="J78" s="612"/>
      <c r="K78" s="611" t="s">
        <v>543</v>
      </c>
      <c r="L78" s="156"/>
      <c r="M78" s="156"/>
      <c r="N78" s="612"/>
      <c r="O78" s="612"/>
      <c r="P78" s="156"/>
      <c r="Q78" s="156"/>
      <c r="R78" s="612"/>
      <c r="S78" s="611" t="s">
        <v>544</v>
      </c>
      <c r="T78" s="156"/>
      <c r="U78" s="156"/>
      <c r="V78" s="613"/>
      <c r="W78" s="1055"/>
      <c r="X78" s="1056"/>
      <c r="Y78" s="1056"/>
      <c r="Z78" s="1057"/>
      <c r="AA78" s="613"/>
      <c r="AB78" s="156"/>
      <c r="AC78" s="156"/>
      <c r="AD78" s="613"/>
      <c r="AE78" s="121">
        <v>37</v>
      </c>
      <c r="AG78" s="156"/>
      <c r="AH78" s="613"/>
      <c r="AI78" s="489"/>
    </row>
    <row r="79" spans="1:35" ht="21.95" customHeight="1" x14ac:dyDescent="0.2">
      <c r="A79" s="1"/>
      <c r="B79" s="129" t="s">
        <v>325</v>
      </c>
      <c r="C79" s="611" t="s">
        <v>545</v>
      </c>
      <c r="D79" s="156"/>
      <c r="E79" s="156"/>
      <c r="F79" s="612"/>
      <c r="G79" s="611" t="s">
        <v>545</v>
      </c>
      <c r="H79" s="156"/>
      <c r="I79" s="156"/>
      <c r="J79" s="612"/>
      <c r="K79" s="611" t="s">
        <v>545</v>
      </c>
      <c r="L79" s="156"/>
      <c r="M79" s="156"/>
      <c r="N79" s="612"/>
      <c r="O79" s="612"/>
      <c r="P79" s="156"/>
      <c r="Q79" s="156"/>
      <c r="R79" s="612"/>
      <c r="S79" s="611" t="s">
        <v>546</v>
      </c>
      <c r="T79" s="156"/>
      <c r="U79" s="156"/>
      <c r="V79" s="612"/>
      <c r="W79" s="660" t="s">
        <v>547</v>
      </c>
      <c r="X79" s="55"/>
      <c r="Y79" s="55"/>
      <c r="Z79" s="55"/>
      <c r="AA79" s="611" t="s">
        <v>548</v>
      </c>
      <c r="AB79" s="611"/>
      <c r="AC79" s="611"/>
      <c r="AD79" s="611"/>
      <c r="AE79" s="154">
        <v>68.25</v>
      </c>
      <c r="AF79" s="156"/>
      <c r="AG79" s="615"/>
      <c r="AH79" s="616"/>
      <c r="AI79" s="617"/>
    </row>
    <row r="80" spans="1:35" ht="21.95" customHeight="1" x14ac:dyDescent="0.2">
      <c r="A80" s="1"/>
      <c r="B80" s="129" t="s">
        <v>326</v>
      </c>
      <c r="C80" s="1053" t="s">
        <v>167</v>
      </c>
      <c r="D80" s="156"/>
      <c r="E80" s="156"/>
      <c r="F80" s="612"/>
      <c r="G80" s="156" t="s">
        <v>167</v>
      </c>
      <c r="H80" s="156"/>
      <c r="I80" s="156"/>
      <c r="J80" s="612"/>
      <c r="K80" s="156" t="s">
        <v>167</v>
      </c>
      <c r="L80" s="156"/>
      <c r="M80" s="156"/>
      <c r="N80" s="612"/>
      <c r="O80" s="612"/>
      <c r="P80" s="156"/>
      <c r="Q80" s="156"/>
      <c r="R80" s="612"/>
      <c r="S80" s="156" t="s">
        <v>167</v>
      </c>
      <c r="T80" s="156"/>
      <c r="U80" s="156"/>
      <c r="V80" s="612"/>
      <c r="W80" s="611"/>
      <c r="X80" s="156"/>
      <c r="Y80" s="156"/>
      <c r="Z80" s="612"/>
      <c r="AA80" s="611"/>
      <c r="AB80" s="156"/>
      <c r="AC80" s="156"/>
      <c r="AD80" s="613"/>
      <c r="AE80" s="614">
        <v>0</v>
      </c>
      <c r="AF80" s="615"/>
      <c r="AG80" s="156"/>
      <c r="AH80" s="613"/>
      <c r="AI80" s="489"/>
    </row>
    <row r="81" spans="1:35" ht="21.95" customHeight="1" x14ac:dyDescent="0.2">
      <c r="A81" s="1"/>
      <c r="B81" s="47"/>
      <c r="C81" s="618"/>
      <c r="D81" s="53"/>
      <c r="E81" s="53"/>
      <c r="F81" s="619"/>
      <c r="G81" s="618"/>
      <c r="H81" s="53"/>
      <c r="I81" s="53"/>
      <c r="J81" s="619"/>
      <c r="K81" s="618"/>
      <c r="L81" s="53"/>
      <c r="M81" s="53"/>
      <c r="N81" s="619"/>
      <c r="O81" s="619"/>
      <c r="P81" s="53"/>
      <c r="Q81" s="53"/>
      <c r="R81" s="619"/>
      <c r="S81" s="618"/>
      <c r="T81" s="53"/>
      <c r="U81" s="53"/>
      <c r="V81" s="619"/>
      <c r="W81" s="53"/>
      <c r="X81" s="53"/>
      <c r="Y81" s="53"/>
      <c r="Z81" s="53"/>
      <c r="AA81" s="53"/>
      <c r="AB81" s="53"/>
      <c r="AC81" s="53"/>
      <c r="AD81" s="53"/>
      <c r="AE81" s="581"/>
      <c r="AF81" s="53"/>
      <c r="AG81" s="53"/>
      <c r="AH81" s="620"/>
      <c r="AI81" s="544"/>
    </row>
    <row r="82" spans="1:35" ht="21.95" customHeight="1" x14ac:dyDescent="0.2">
      <c r="A82" s="621"/>
      <c r="B82" s="1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585"/>
      <c r="B83" s="296" t="s">
        <v>469</v>
      </c>
      <c r="C83" s="497">
        <v>1</v>
      </c>
      <c r="D83" s="497">
        <v>2</v>
      </c>
      <c r="E83" s="177">
        <v>3</v>
      </c>
      <c r="F83" s="177">
        <v>4</v>
      </c>
      <c r="G83" s="177">
        <v>5</v>
      </c>
      <c r="H83" s="177">
        <v>6</v>
      </c>
      <c r="I83" s="177">
        <v>7</v>
      </c>
      <c r="J83" s="497">
        <v>8</v>
      </c>
      <c r="K83" s="497">
        <v>9</v>
      </c>
      <c r="L83" s="177">
        <v>10</v>
      </c>
      <c r="M83" s="177">
        <v>11</v>
      </c>
      <c r="N83" s="177">
        <v>12</v>
      </c>
      <c r="O83" s="177">
        <v>13</v>
      </c>
      <c r="P83" s="177">
        <v>14</v>
      </c>
      <c r="Q83" s="497">
        <v>15</v>
      </c>
      <c r="R83" s="497">
        <v>16</v>
      </c>
      <c r="S83" s="177">
        <v>17</v>
      </c>
      <c r="T83" s="177">
        <v>18</v>
      </c>
      <c r="U83" s="177">
        <v>19</v>
      </c>
      <c r="V83" s="177">
        <v>20</v>
      </c>
      <c r="W83" s="177">
        <v>21</v>
      </c>
      <c r="X83" s="497">
        <v>22</v>
      </c>
      <c r="Y83" s="497">
        <v>23</v>
      </c>
      <c r="Z83" s="177">
        <v>24</v>
      </c>
      <c r="AA83" s="177">
        <v>25</v>
      </c>
      <c r="AB83" s="177">
        <v>26</v>
      </c>
      <c r="AC83" s="177">
        <v>27</v>
      </c>
      <c r="AD83" s="177">
        <v>28</v>
      </c>
      <c r="AE83" s="497">
        <v>29</v>
      </c>
      <c r="AF83" s="497">
        <v>30</v>
      </c>
      <c r="AG83" s="177">
        <v>31</v>
      </c>
      <c r="AH83" s="499" t="s">
        <v>470</v>
      </c>
      <c r="AI83" s="500" t="s">
        <v>471</v>
      </c>
    </row>
    <row r="84" spans="1:35" ht="21.95" customHeight="1" x14ac:dyDescent="0.2">
      <c r="A84" s="622">
        <v>1</v>
      </c>
      <c r="B84" s="152" t="s">
        <v>549</v>
      </c>
      <c r="C84" s="587"/>
      <c r="D84" s="587"/>
      <c r="E84" s="587" t="s">
        <v>551</v>
      </c>
      <c r="F84" s="1441" t="s">
        <v>551</v>
      </c>
      <c r="G84" s="587" t="s">
        <v>551</v>
      </c>
      <c r="H84" s="587" t="s">
        <v>551</v>
      </c>
      <c r="I84" s="587" t="s">
        <v>551</v>
      </c>
      <c r="J84" s="587"/>
      <c r="K84" s="587"/>
      <c r="L84" s="587" t="s">
        <v>551</v>
      </c>
      <c r="M84" s="587" t="s">
        <v>513</v>
      </c>
      <c r="N84" s="587" t="s">
        <v>513</v>
      </c>
      <c r="O84" s="521" t="s">
        <v>513</v>
      </c>
      <c r="P84" s="587" t="s">
        <v>513</v>
      </c>
      <c r="Q84" s="587" t="s">
        <v>550</v>
      </c>
      <c r="R84" s="587" t="s">
        <v>550</v>
      </c>
      <c r="S84" s="587" t="s">
        <v>475</v>
      </c>
      <c r="T84" s="587" t="s">
        <v>475</v>
      </c>
      <c r="U84" s="587" t="s">
        <v>475</v>
      </c>
      <c r="V84" s="587" t="s">
        <v>475</v>
      </c>
      <c r="W84" s="587" t="s">
        <v>475</v>
      </c>
      <c r="X84" s="587"/>
      <c r="Y84" s="587"/>
      <c r="Z84" s="587" t="s">
        <v>739</v>
      </c>
      <c r="AA84" s="587" t="s">
        <v>739</v>
      </c>
      <c r="AB84" s="587" t="s">
        <v>739</v>
      </c>
      <c r="AC84" s="587" t="s">
        <v>739</v>
      </c>
      <c r="AD84" s="587" t="s">
        <v>739</v>
      </c>
      <c r="AE84" s="587"/>
      <c r="AF84" s="587"/>
      <c r="AG84" s="587" t="s">
        <v>513</v>
      </c>
      <c r="AH84" s="505">
        <v>98</v>
      </c>
      <c r="AI84" s="506">
        <v>37</v>
      </c>
    </row>
    <row r="85" spans="1:35" ht="21.95" customHeight="1" x14ac:dyDescent="0.2">
      <c r="A85" s="622">
        <v>2</v>
      </c>
      <c r="B85" s="318" t="s">
        <v>553</v>
      </c>
      <c r="C85" s="587"/>
      <c r="D85" s="587"/>
      <c r="E85" s="587" t="s">
        <v>513</v>
      </c>
      <c r="F85" s="587" t="s">
        <v>513</v>
      </c>
      <c r="G85" s="587" t="s">
        <v>513</v>
      </c>
      <c r="H85" s="587" t="s">
        <v>513</v>
      </c>
      <c r="I85" s="587" t="s">
        <v>513</v>
      </c>
      <c r="J85" s="587" t="s">
        <v>550</v>
      </c>
      <c r="K85" s="587" t="s">
        <v>550</v>
      </c>
      <c r="L85" s="1462" t="s">
        <v>475</v>
      </c>
      <c r="M85" s="1462" t="s">
        <v>475</v>
      </c>
      <c r="N85" s="1462" t="s">
        <v>475</v>
      </c>
      <c r="O85" s="1462" t="s">
        <v>475</v>
      </c>
      <c r="P85" s="1462" t="s">
        <v>475</v>
      </c>
      <c r="Q85" s="1462"/>
      <c r="R85" s="1462"/>
      <c r="S85" s="1060" t="s">
        <v>551</v>
      </c>
      <c r="T85" s="1060" t="s">
        <v>551</v>
      </c>
      <c r="U85" s="1060" t="s">
        <v>551</v>
      </c>
      <c r="V85" s="1060" t="s">
        <v>551</v>
      </c>
      <c r="W85" s="1060" t="s">
        <v>551</v>
      </c>
      <c r="X85" s="1060"/>
      <c r="Y85" s="1060"/>
      <c r="Z85" s="587" t="s">
        <v>513</v>
      </c>
      <c r="AA85" s="587" t="s">
        <v>513</v>
      </c>
      <c r="AB85" s="587" t="s">
        <v>513</v>
      </c>
      <c r="AC85" s="587" t="s">
        <v>513</v>
      </c>
      <c r="AD85" s="587" t="s">
        <v>513</v>
      </c>
      <c r="AE85" s="587" t="s">
        <v>550</v>
      </c>
      <c r="AF85" s="587" t="s">
        <v>550</v>
      </c>
      <c r="AG85" s="1091" t="s">
        <v>475</v>
      </c>
      <c r="AH85" s="505">
        <v>42</v>
      </c>
      <c r="AI85" s="506">
        <v>37</v>
      </c>
    </row>
    <row r="86" spans="1:35" ht="21.95" customHeight="1" x14ac:dyDescent="0.2">
      <c r="A86" s="622">
        <v>3</v>
      </c>
      <c r="B86" s="552" t="s">
        <v>554</v>
      </c>
      <c r="C86" s="1489" t="s">
        <v>550</v>
      </c>
      <c r="D86" s="1489" t="s">
        <v>550</v>
      </c>
      <c r="E86" s="1489" t="s">
        <v>475</v>
      </c>
      <c r="F86" s="1493" t="s">
        <v>475</v>
      </c>
      <c r="G86" s="1489" t="s">
        <v>475</v>
      </c>
      <c r="H86" s="1489" t="s">
        <v>475</v>
      </c>
      <c r="I86" s="1489" t="s">
        <v>475</v>
      </c>
      <c r="J86" s="1489"/>
      <c r="K86" s="1489"/>
      <c r="L86" s="1489" t="s">
        <v>513</v>
      </c>
      <c r="M86" s="1489" t="s">
        <v>513</v>
      </c>
      <c r="N86" s="1489" t="s">
        <v>513</v>
      </c>
      <c r="O86" s="1493" t="s">
        <v>551</v>
      </c>
      <c r="P86" s="1489" t="s">
        <v>551</v>
      </c>
      <c r="Q86" s="1489"/>
      <c r="R86" s="1489"/>
      <c r="S86" s="1060" t="s">
        <v>513</v>
      </c>
      <c r="T86" s="1060" t="s">
        <v>513</v>
      </c>
      <c r="U86" s="1060" t="s">
        <v>513</v>
      </c>
      <c r="V86" s="1060" t="s">
        <v>513</v>
      </c>
      <c r="W86" s="1060" t="s">
        <v>513</v>
      </c>
      <c r="X86" s="1060" t="s">
        <v>550</v>
      </c>
      <c r="Y86" s="1060" t="s">
        <v>550</v>
      </c>
      <c r="Z86" s="1462" t="s">
        <v>475</v>
      </c>
      <c r="AA86" s="1462" t="s">
        <v>475</v>
      </c>
      <c r="AB86" s="1462" t="s">
        <v>475</v>
      </c>
      <c r="AC86" s="1462" t="s">
        <v>475</v>
      </c>
      <c r="AD86" s="1462" t="s">
        <v>475</v>
      </c>
      <c r="AE86" s="1462"/>
      <c r="AF86" s="1462"/>
      <c r="AG86" s="1462" t="s">
        <v>540</v>
      </c>
      <c r="AH86" s="505">
        <v>11</v>
      </c>
      <c r="AI86" s="506">
        <v>37</v>
      </c>
    </row>
    <row r="87" spans="1:35" ht="21.95" customHeight="1" x14ac:dyDescent="0.2"/>
    <row r="88" spans="1:35" ht="21.95" customHeight="1" x14ac:dyDescent="0.2">
      <c r="A88" s="623"/>
      <c r="B88" s="353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590"/>
      <c r="N88" s="590"/>
      <c r="O88" s="590"/>
      <c r="P88" s="590"/>
      <c r="Q88" s="590"/>
      <c r="R88" s="590"/>
      <c r="S88" s="590"/>
      <c r="T88" s="590"/>
      <c r="U88" s="590"/>
      <c r="V88" s="590"/>
      <c r="W88" s="590"/>
      <c r="X88" s="590"/>
      <c r="Y88" s="590"/>
      <c r="Z88" s="590"/>
      <c r="AA88" s="590"/>
      <c r="AB88" s="590"/>
      <c r="AC88" s="590"/>
      <c r="AD88" s="590"/>
      <c r="AE88" s="590"/>
      <c r="AF88" s="590"/>
      <c r="AH88" s="591"/>
      <c r="AI88" s="591"/>
    </row>
    <row r="89" spans="1:35" ht="21.95" customHeight="1" x14ac:dyDescent="0.2">
      <c r="A89" s="1" t="s">
        <v>555</v>
      </c>
      <c r="D89" s="360"/>
      <c r="E89" s="360"/>
      <c r="F89" s="360"/>
      <c r="G89" s="57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</row>
    <row r="90" spans="1:35" ht="21.95" customHeight="1" x14ac:dyDescent="0.2">
      <c r="A90" s="1"/>
      <c r="B90" s="23" t="s">
        <v>556</v>
      </c>
      <c r="C90" s="7"/>
      <c r="D90" s="530" t="s">
        <v>2</v>
      </c>
      <c r="E90" s="51"/>
      <c r="F90" s="573"/>
      <c r="G90" s="7"/>
      <c r="H90" s="530" t="s">
        <v>3</v>
      </c>
      <c r="I90" s="51"/>
      <c r="J90" s="573"/>
      <c r="K90" s="7"/>
      <c r="L90" s="530" t="s">
        <v>4</v>
      </c>
      <c r="M90" s="51"/>
      <c r="N90" s="573"/>
      <c r="O90" s="573"/>
      <c r="P90" s="530" t="s">
        <v>5</v>
      </c>
      <c r="Q90" s="51"/>
      <c r="R90" s="573"/>
      <c r="S90" s="7"/>
      <c r="T90" s="530" t="s">
        <v>6</v>
      </c>
      <c r="U90" s="51"/>
      <c r="V90" s="573"/>
      <c r="W90" s="7"/>
      <c r="X90" s="530" t="s">
        <v>7</v>
      </c>
      <c r="Y90" s="51"/>
      <c r="Z90" s="573"/>
      <c r="AA90" s="7"/>
      <c r="AB90" s="530" t="s">
        <v>8</v>
      </c>
      <c r="AC90" s="51"/>
      <c r="AD90" s="51"/>
      <c r="AE90" s="424" t="s">
        <v>10</v>
      </c>
      <c r="AF90" s="51"/>
      <c r="AG90" s="51"/>
      <c r="AH90" s="51"/>
      <c r="AI90" s="531"/>
    </row>
    <row r="91" spans="1:35" ht="21.95" customHeight="1" x14ac:dyDescent="0.2">
      <c r="A91" s="1"/>
      <c r="B91" s="129" t="s">
        <v>324</v>
      </c>
      <c r="C91" s="611"/>
      <c r="D91" s="156" t="s">
        <v>167</v>
      </c>
      <c r="E91" s="156"/>
      <c r="F91" s="612"/>
      <c r="G91" s="611"/>
      <c r="H91" s="156" t="s">
        <v>167</v>
      </c>
      <c r="I91" s="156"/>
      <c r="J91" s="612"/>
      <c r="K91" s="611" t="s">
        <v>557</v>
      </c>
      <c r="L91" s="156"/>
      <c r="M91" s="156"/>
      <c r="N91" s="612"/>
      <c r="O91" s="612"/>
      <c r="P91" s="156"/>
      <c r="Q91" s="156"/>
      <c r="R91" s="612"/>
      <c r="S91" s="611" t="s">
        <v>557</v>
      </c>
      <c r="T91" s="156"/>
      <c r="U91" s="156"/>
      <c r="V91" s="612"/>
      <c r="W91" s="611" t="s">
        <v>558</v>
      </c>
      <c r="X91" s="624"/>
      <c r="Y91" s="624"/>
      <c r="Z91" s="625"/>
      <c r="AA91" s="611" t="s">
        <v>559</v>
      </c>
      <c r="AB91" s="156"/>
      <c r="AC91" s="156"/>
      <c r="AD91" s="613"/>
      <c r="AE91" s="128">
        <v>56</v>
      </c>
      <c r="AF91" s="156"/>
      <c r="AG91" s="156" t="s">
        <v>28</v>
      </c>
      <c r="AH91" s="613"/>
      <c r="AI91" s="489"/>
    </row>
    <row r="92" spans="1:35" ht="21.95" customHeight="1" x14ac:dyDescent="0.2">
      <c r="A92" s="1"/>
      <c r="B92" s="129" t="s">
        <v>325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/>
      <c r="L92" s="156" t="s">
        <v>167</v>
      </c>
      <c r="M92" s="156"/>
      <c r="N92" s="612"/>
      <c r="O92" s="612"/>
      <c r="P92" s="156" t="s">
        <v>167</v>
      </c>
      <c r="Q92" s="156"/>
      <c r="R92" s="612"/>
      <c r="S92" s="611"/>
      <c r="T92" s="156" t="s">
        <v>167</v>
      </c>
      <c r="U92" s="156"/>
      <c r="V92" s="612"/>
      <c r="W92" s="611"/>
      <c r="X92" s="156" t="s">
        <v>167</v>
      </c>
      <c r="Y92" s="156"/>
      <c r="Z92" s="612"/>
      <c r="AA92" s="156" t="s">
        <v>167</v>
      </c>
      <c r="AB92" s="156"/>
      <c r="AC92" s="156"/>
      <c r="AD92" s="613"/>
      <c r="AE92" s="128">
        <v>0</v>
      </c>
      <c r="AF92" s="156"/>
      <c r="AG92" s="156"/>
      <c r="AH92" s="613"/>
      <c r="AI92" s="489"/>
    </row>
    <row r="93" spans="1:35" ht="21.95" customHeight="1" x14ac:dyDescent="0.2">
      <c r="A93" s="1"/>
      <c r="B93" s="129" t="s">
        <v>326</v>
      </c>
      <c r="C93" s="611" t="s">
        <v>557</v>
      </c>
      <c r="D93" s="156"/>
      <c r="E93" s="156"/>
      <c r="F93" s="612"/>
      <c r="G93" s="611" t="s">
        <v>557</v>
      </c>
      <c r="H93" s="156"/>
      <c r="I93" s="156"/>
      <c r="J93" s="612"/>
      <c r="K93" s="121"/>
      <c r="L93" s="156" t="s">
        <v>167</v>
      </c>
      <c r="M93" s="156"/>
      <c r="N93" s="612"/>
      <c r="O93" s="612"/>
      <c r="P93" s="156" t="s">
        <v>167</v>
      </c>
      <c r="Q93" s="156"/>
      <c r="R93" s="612"/>
      <c r="S93" s="121"/>
      <c r="T93" s="156" t="s">
        <v>167</v>
      </c>
      <c r="U93" s="156"/>
      <c r="V93" s="612"/>
      <c r="W93" s="626" t="s">
        <v>560</v>
      </c>
      <c r="X93" s="134"/>
      <c r="Y93" s="134"/>
      <c r="Z93" s="627"/>
      <c r="AA93" s="626" t="s">
        <v>561</v>
      </c>
      <c r="AB93" s="134"/>
      <c r="AC93" s="134"/>
      <c r="AD93" s="628"/>
      <c r="AE93" s="128">
        <v>46</v>
      </c>
      <c r="AF93" s="156"/>
      <c r="AG93" s="156"/>
      <c r="AH93" s="613"/>
      <c r="AI93" s="489"/>
    </row>
    <row r="94" spans="1:35" ht="21.95" customHeight="1" x14ac:dyDescent="0.2">
      <c r="A94" s="1"/>
      <c r="B94" s="16" t="s">
        <v>236</v>
      </c>
      <c r="C94" s="618" t="s">
        <v>420</v>
      </c>
      <c r="D94" s="53"/>
      <c r="E94" s="53"/>
      <c r="F94" s="619"/>
      <c r="G94" s="618" t="s">
        <v>421</v>
      </c>
      <c r="H94" s="53"/>
      <c r="I94" s="53"/>
      <c r="J94" s="619"/>
      <c r="K94" s="618" t="s">
        <v>421</v>
      </c>
      <c r="L94" s="53"/>
      <c r="M94" s="53"/>
      <c r="N94" s="619"/>
      <c r="O94" s="619"/>
      <c r="P94" s="53"/>
      <c r="Q94" s="53"/>
      <c r="R94" s="619"/>
      <c r="S94" s="618" t="s">
        <v>422</v>
      </c>
      <c r="T94" s="53"/>
      <c r="U94" s="53"/>
      <c r="V94" s="620"/>
      <c r="W94" s="57"/>
      <c r="X94" s="620" t="s">
        <v>167</v>
      </c>
      <c r="Y94" s="53"/>
      <c r="Z94" s="619"/>
      <c r="AA94" s="57"/>
      <c r="AB94" s="620" t="s">
        <v>167</v>
      </c>
      <c r="AC94" s="53"/>
      <c r="AD94" s="619"/>
      <c r="AE94" s="629">
        <v>37.5</v>
      </c>
      <c r="AF94" s="53"/>
      <c r="AG94" s="53"/>
      <c r="AH94" s="620"/>
      <c r="AI94" s="544"/>
    </row>
    <row r="95" spans="1:35" ht="21.95" customHeight="1" x14ac:dyDescent="0.2">
      <c r="A95" s="621"/>
      <c r="B95" s="1"/>
      <c r="C95" s="360"/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585"/>
      <c r="B96" s="296" t="s">
        <v>469</v>
      </c>
      <c r="C96" s="497">
        <v>1</v>
      </c>
      <c r="D96" s="497">
        <v>2</v>
      </c>
      <c r="E96" s="177">
        <v>3</v>
      </c>
      <c r="F96" s="177">
        <v>4</v>
      </c>
      <c r="G96" s="177">
        <v>5</v>
      </c>
      <c r="H96" s="177">
        <v>6</v>
      </c>
      <c r="I96" s="177">
        <v>7</v>
      </c>
      <c r="J96" s="497">
        <v>8</v>
      </c>
      <c r="K96" s="497">
        <v>9</v>
      </c>
      <c r="L96" s="177">
        <v>10</v>
      </c>
      <c r="M96" s="177">
        <v>11</v>
      </c>
      <c r="N96" s="177">
        <v>12</v>
      </c>
      <c r="O96" s="177">
        <v>13</v>
      </c>
      <c r="P96" s="177">
        <v>14</v>
      </c>
      <c r="Q96" s="497">
        <v>15</v>
      </c>
      <c r="R96" s="497">
        <v>16</v>
      </c>
      <c r="S96" s="177">
        <v>17</v>
      </c>
      <c r="T96" s="177">
        <v>18</v>
      </c>
      <c r="U96" s="177">
        <v>19</v>
      </c>
      <c r="V96" s="177">
        <v>20</v>
      </c>
      <c r="W96" s="177">
        <v>21</v>
      </c>
      <c r="X96" s="497">
        <v>22</v>
      </c>
      <c r="Y96" s="497">
        <v>23</v>
      </c>
      <c r="Z96" s="177">
        <v>24</v>
      </c>
      <c r="AA96" s="177">
        <v>25</v>
      </c>
      <c r="AB96" s="177">
        <v>26</v>
      </c>
      <c r="AC96" s="177">
        <v>27</v>
      </c>
      <c r="AD96" s="177">
        <v>28</v>
      </c>
      <c r="AE96" s="497">
        <v>29</v>
      </c>
      <c r="AF96" s="497">
        <v>30</v>
      </c>
      <c r="AG96" s="177">
        <v>31</v>
      </c>
      <c r="AH96" s="499" t="s">
        <v>470</v>
      </c>
      <c r="AI96" s="500" t="s">
        <v>471</v>
      </c>
    </row>
    <row r="97" spans="1:35" ht="21.95" customHeight="1" x14ac:dyDescent="0.2">
      <c r="A97" s="622">
        <v>1</v>
      </c>
      <c r="B97" s="318" t="s">
        <v>562</v>
      </c>
      <c r="C97" s="587" t="s">
        <v>475</v>
      </c>
      <c r="D97" s="587" t="s">
        <v>475</v>
      </c>
      <c r="E97" s="587" t="s">
        <v>475</v>
      </c>
      <c r="F97" s="587" t="s">
        <v>475</v>
      </c>
      <c r="G97" s="587" t="s">
        <v>522</v>
      </c>
      <c r="H97" s="587" t="s">
        <v>522</v>
      </c>
      <c r="I97" s="587" t="s">
        <v>522</v>
      </c>
      <c r="J97" s="587" t="s">
        <v>568</v>
      </c>
      <c r="K97" s="587" t="s">
        <v>569</v>
      </c>
      <c r="L97" s="587" t="s">
        <v>475</v>
      </c>
      <c r="M97" s="587" t="s">
        <v>475</v>
      </c>
      <c r="N97" s="587" t="s">
        <v>475</v>
      </c>
      <c r="O97" s="587" t="s">
        <v>475</v>
      </c>
      <c r="P97" s="587" t="s">
        <v>475</v>
      </c>
      <c r="Q97" s="587" t="s">
        <v>475</v>
      </c>
      <c r="R97" s="587" t="s">
        <v>475</v>
      </c>
      <c r="S97" s="587" t="s">
        <v>522</v>
      </c>
      <c r="T97" s="587" t="s">
        <v>522</v>
      </c>
      <c r="U97" s="587" t="s">
        <v>475</v>
      </c>
      <c r="V97" s="587" t="s">
        <v>475</v>
      </c>
      <c r="W97" s="587" t="s">
        <v>475</v>
      </c>
      <c r="X97" s="587" t="s">
        <v>563</v>
      </c>
      <c r="Y97" s="587" t="s">
        <v>564</v>
      </c>
      <c r="Z97" s="1085" t="s">
        <v>565</v>
      </c>
      <c r="AA97" s="1085" t="s">
        <v>566</v>
      </c>
      <c r="AB97" s="1085" t="s">
        <v>566</v>
      </c>
      <c r="AC97" s="1085" t="s">
        <v>566</v>
      </c>
      <c r="AD97" s="1085" t="s">
        <v>567</v>
      </c>
      <c r="AE97" s="587" t="s">
        <v>475</v>
      </c>
      <c r="AF97" s="587" t="s">
        <v>475</v>
      </c>
      <c r="AG97" s="587" t="s">
        <v>475</v>
      </c>
      <c r="AH97" s="505">
        <v>46</v>
      </c>
      <c r="AI97" s="506">
        <v>37</v>
      </c>
    </row>
    <row r="98" spans="1:35" ht="21.95" customHeight="1" x14ac:dyDescent="0.2">
      <c r="A98" s="622">
        <v>2</v>
      </c>
      <c r="B98" s="318" t="s">
        <v>570</v>
      </c>
      <c r="C98" s="587" t="s">
        <v>568</v>
      </c>
      <c r="D98" s="587" t="s">
        <v>569</v>
      </c>
      <c r="E98" s="587" t="s">
        <v>475</v>
      </c>
      <c r="F98" s="587" t="s">
        <v>475</v>
      </c>
      <c r="G98" s="587" t="s">
        <v>475</v>
      </c>
      <c r="H98" s="587" t="s">
        <v>475</v>
      </c>
      <c r="I98" s="587" t="s">
        <v>475</v>
      </c>
      <c r="J98" s="587" t="s">
        <v>475</v>
      </c>
      <c r="K98" s="553" t="s">
        <v>475</v>
      </c>
      <c r="L98" s="587" t="s">
        <v>475</v>
      </c>
      <c r="M98" s="553" t="s">
        <v>522</v>
      </c>
      <c r="N98" s="587" t="s">
        <v>522</v>
      </c>
      <c r="O98" s="587" t="s">
        <v>475</v>
      </c>
      <c r="P98" s="587" t="s">
        <v>475</v>
      </c>
      <c r="Q98" s="588" t="s">
        <v>563</v>
      </c>
      <c r="R98" s="587" t="s">
        <v>564</v>
      </c>
      <c r="S98" s="553">
        <v>10</v>
      </c>
      <c r="T98" s="553">
        <v>10</v>
      </c>
      <c r="U98" s="553">
        <v>10</v>
      </c>
      <c r="V98" s="565">
        <v>10</v>
      </c>
      <c r="W98" s="553">
        <v>10</v>
      </c>
      <c r="X98" s="587" t="s">
        <v>475</v>
      </c>
      <c r="Y98" s="588" t="s">
        <v>475</v>
      </c>
      <c r="Z98" s="587" t="s">
        <v>475</v>
      </c>
      <c r="AA98" s="587" t="s">
        <v>475</v>
      </c>
      <c r="AB98" s="587" t="s">
        <v>522</v>
      </c>
      <c r="AC98" s="587" t="s">
        <v>522</v>
      </c>
      <c r="AD98" s="587" t="s">
        <v>522</v>
      </c>
      <c r="AE98" s="587" t="s">
        <v>568</v>
      </c>
      <c r="AF98" s="587" t="s">
        <v>569</v>
      </c>
      <c r="AG98" s="587" t="s">
        <v>475</v>
      </c>
      <c r="AH98" s="505">
        <v>51</v>
      </c>
      <c r="AI98" s="506">
        <v>37</v>
      </c>
    </row>
    <row r="99" spans="1:35" ht="21.95" customHeight="1" thickBot="1" x14ac:dyDescent="0.25">
      <c r="A99" s="622">
        <v>3</v>
      </c>
      <c r="B99" s="552" t="s">
        <v>572</v>
      </c>
      <c r="C99" s="588" t="s">
        <v>563</v>
      </c>
      <c r="D99" s="587" t="s">
        <v>564</v>
      </c>
      <c r="E99" s="1085" t="s">
        <v>565</v>
      </c>
      <c r="F99" s="1085" t="s">
        <v>566</v>
      </c>
      <c r="G99" s="1085" t="s">
        <v>566</v>
      </c>
      <c r="H99" s="1086" t="s">
        <v>566</v>
      </c>
      <c r="I99" s="1085" t="s">
        <v>567</v>
      </c>
      <c r="J99" s="587" t="s">
        <v>475</v>
      </c>
      <c r="K99" s="587" t="s">
        <v>475</v>
      </c>
      <c r="L99" s="553" t="s">
        <v>522</v>
      </c>
      <c r="M99" s="587" t="s">
        <v>475</v>
      </c>
      <c r="N99" s="587" t="s">
        <v>475</v>
      </c>
      <c r="O99" s="587" t="s">
        <v>522</v>
      </c>
      <c r="P99" s="587" t="s">
        <v>522</v>
      </c>
      <c r="Q99" s="587" t="s">
        <v>568</v>
      </c>
      <c r="R99" s="588" t="s">
        <v>569</v>
      </c>
      <c r="S99" s="587" t="s">
        <v>475</v>
      </c>
      <c r="T99" s="587" t="s">
        <v>475</v>
      </c>
      <c r="U99" s="587" t="s">
        <v>475</v>
      </c>
      <c r="V99" s="587" t="s">
        <v>475</v>
      </c>
      <c r="W99" s="587" t="s">
        <v>475</v>
      </c>
      <c r="X99" s="587" t="s">
        <v>475</v>
      </c>
      <c r="Y99" s="588" t="s">
        <v>475</v>
      </c>
      <c r="Z99" s="587" t="s">
        <v>522</v>
      </c>
      <c r="AA99" s="587" t="s">
        <v>522</v>
      </c>
      <c r="AB99" s="587" t="s">
        <v>475</v>
      </c>
      <c r="AC99" s="587" t="s">
        <v>475</v>
      </c>
      <c r="AD99" s="587" t="s">
        <v>475</v>
      </c>
      <c r="AE99" s="588" t="s">
        <v>563</v>
      </c>
      <c r="AF99" s="587" t="s">
        <v>564</v>
      </c>
      <c r="AG99" s="1085" t="s">
        <v>565</v>
      </c>
      <c r="AH99" s="651">
        <v>42</v>
      </c>
      <c r="AI99" s="523">
        <v>37</v>
      </c>
    </row>
    <row r="100" spans="1:35" ht="21.95" customHeight="1" thickBot="1" x14ac:dyDescent="0.25">
      <c r="A100" s="622">
        <v>4</v>
      </c>
      <c r="B100" s="552" t="s">
        <v>573</v>
      </c>
      <c r="C100" s="587" t="s">
        <v>475</v>
      </c>
      <c r="D100" s="587" t="s">
        <v>475</v>
      </c>
      <c r="E100" s="587" t="s">
        <v>522</v>
      </c>
      <c r="F100" s="587" t="s">
        <v>522</v>
      </c>
      <c r="G100" s="587" t="s">
        <v>475</v>
      </c>
      <c r="H100" s="587" t="s">
        <v>475</v>
      </c>
      <c r="I100" s="587" t="s">
        <v>475</v>
      </c>
      <c r="J100" s="588" t="s">
        <v>563</v>
      </c>
      <c r="K100" s="587" t="s">
        <v>564</v>
      </c>
      <c r="L100" s="1085" t="s">
        <v>565</v>
      </c>
      <c r="M100" s="1086" t="s">
        <v>566</v>
      </c>
      <c r="N100" s="1086" t="s">
        <v>566</v>
      </c>
      <c r="O100" s="1085" t="s">
        <v>566</v>
      </c>
      <c r="P100" s="1085" t="s">
        <v>567</v>
      </c>
      <c r="Q100" s="587" t="s">
        <v>475</v>
      </c>
      <c r="R100" s="587" t="s">
        <v>475</v>
      </c>
      <c r="S100" s="587" t="s">
        <v>475</v>
      </c>
      <c r="T100" s="587" t="s">
        <v>475</v>
      </c>
      <c r="U100" s="587" t="s">
        <v>522</v>
      </c>
      <c r="V100" s="588" t="s">
        <v>522</v>
      </c>
      <c r="W100" s="587" t="s">
        <v>522</v>
      </c>
      <c r="X100" s="587" t="s">
        <v>568</v>
      </c>
      <c r="Y100" s="588" t="s">
        <v>569</v>
      </c>
      <c r="Z100" s="587" t="s">
        <v>475</v>
      </c>
      <c r="AA100" s="587" t="s">
        <v>475</v>
      </c>
      <c r="AB100" s="587" t="s">
        <v>475</v>
      </c>
      <c r="AC100" s="587" t="s">
        <v>475</v>
      </c>
      <c r="AD100" s="587" t="s">
        <v>475</v>
      </c>
      <c r="AE100" s="587" t="s">
        <v>475</v>
      </c>
      <c r="AF100" s="587" t="s">
        <v>475</v>
      </c>
      <c r="AG100" s="587" t="s">
        <v>522</v>
      </c>
      <c r="AH100" s="651">
        <v>51</v>
      </c>
      <c r="AI100" s="523">
        <v>37</v>
      </c>
    </row>
    <row r="101" spans="1:35" ht="21.95" customHeight="1" x14ac:dyDescent="0.2">
      <c r="A101" s="623"/>
      <c r="B101" s="630"/>
      <c r="C101" s="590"/>
      <c r="D101" s="590"/>
      <c r="E101" s="590"/>
      <c r="F101" s="590"/>
      <c r="G101" s="590"/>
      <c r="H101" s="590"/>
      <c r="I101" s="590"/>
      <c r="J101" s="590"/>
      <c r="K101" s="590"/>
      <c r="L101" s="590"/>
      <c r="M101" s="590"/>
      <c r="N101" s="590"/>
      <c r="O101" s="590"/>
      <c r="P101" s="590"/>
      <c r="Q101" s="590"/>
      <c r="R101" s="590"/>
      <c r="S101" s="590"/>
      <c r="T101" s="590"/>
      <c r="U101" s="590"/>
      <c r="V101" s="590"/>
      <c r="W101" s="590"/>
      <c r="X101" s="590"/>
      <c r="Y101" s="590"/>
      <c r="Z101" s="590"/>
      <c r="AA101" s="590"/>
      <c r="AB101" s="590"/>
      <c r="AC101" s="590"/>
      <c r="AD101" s="590"/>
      <c r="AE101" s="590"/>
      <c r="AF101" s="590"/>
      <c r="AG101" s="590"/>
      <c r="AH101" s="591"/>
      <c r="AI101" s="591"/>
    </row>
    <row r="102" spans="1:35" ht="21.95" customHeight="1" x14ac:dyDescent="0.2">
      <c r="A102" s="1" t="s">
        <v>574</v>
      </c>
      <c r="D102" s="360"/>
      <c r="E102" s="360"/>
      <c r="F102" s="360"/>
      <c r="G102" s="57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</row>
    <row r="103" spans="1:35" ht="21.95" customHeight="1" x14ac:dyDescent="0.2">
      <c r="A103" s="1"/>
      <c r="B103" s="23" t="s">
        <v>556</v>
      </c>
      <c r="C103" s="7"/>
      <c r="D103" s="530" t="s">
        <v>2</v>
      </c>
      <c r="E103" s="51"/>
      <c r="F103" s="573"/>
      <c r="G103" s="7"/>
      <c r="H103" s="530" t="s">
        <v>3</v>
      </c>
      <c r="I103" s="51"/>
      <c r="J103" s="573"/>
      <c r="K103" s="7"/>
      <c r="L103" s="530" t="s">
        <v>4</v>
      </c>
      <c r="M103" s="51"/>
      <c r="N103" s="573"/>
      <c r="O103" s="573"/>
      <c r="P103" s="530" t="s">
        <v>5</v>
      </c>
      <c r="Q103" s="51"/>
      <c r="R103" s="573"/>
      <c r="S103" s="7"/>
      <c r="T103" s="530" t="s">
        <v>6</v>
      </c>
      <c r="U103" s="51"/>
      <c r="V103" s="573"/>
      <c r="W103" s="7"/>
      <c r="X103" s="530" t="s">
        <v>7</v>
      </c>
      <c r="Y103" s="51"/>
      <c r="Z103" s="573"/>
      <c r="AA103" s="7"/>
      <c r="AB103" s="530" t="s">
        <v>8</v>
      </c>
      <c r="AC103" s="51"/>
      <c r="AD103" s="51"/>
      <c r="AE103" s="424" t="s">
        <v>10</v>
      </c>
      <c r="AF103" s="51"/>
      <c r="AG103" s="51"/>
      <c r="AH103" s="51"/>
      <c r="AI103" s="531"/>
    </row>
    <row r="104" spans="1:35" ht="21.95" customHeight="1" x14ac:dyDescent="0.2">
      <c r="A104" s="1"/>
      <c r="B104" s="129" t="s">
        <v>324</v>
      </c>
      <c r="C104" s="121" t="s">
        <v>167</v>
      </c>
      <c r="D104" s="156"/>
      <c r="E104" s="156"/>
      <c r="F104" s="612"/>
      <c r="G104" s="121" t="s">
        <v>709</v>
      </c>
      <c r="H104" s="156"/>
      <c r="I104" s="156"/>
      <c r="J104" s="612"/>
      <c r="K104" s="121" t="s">
        <v>709</v>
      </c>
      <c r="L104" s="156"/>
      <c r="M104" s="156"/>
      <c r="N104" s="612"/>
      <c r="O104" s="612" t="s">
        <v>709</v>
      </c>
      <c r="P104" s="156"/>
      <c r="Q104" s="156"/>
      <c r="R104" s="612"/>
      <c r="S104" s="121" t="s">
        <v>697</v>
      </c>
      <c r="T104" s="156"/>
      <c r="U104" s="156"/>
      <c r="V104" s="612"/>
      <c r="W104" s="1724" t="s">
        <v>579</v>
      </c>
      <c r="X104" s="624"/>
      <c r="Y104" s="624"/>
      <c r="Z104" s="625"/>
      <c r="AA104" s="611"/>
      <c r="AB104" s="156"/>
      <c r="AC104" s="156"/>
      <c r="AD104" s="613"/>
      <c r="AE104" s="128"/>
      <c r="AF104" s="156"/>
      <c r="AG104" s="156" t="s">
        <v>28</v>
      </c>
      <c r="AH104" s="613"/>
      <c r="AI104" s="489"/>
    </row>
    <row r="105" spans="1:35" ht="21.95" customHeight="1" x14ac:dyDescent="0.2">
      <c r="A105" s="1"/>
      <c r="B105" s="129" t="s">
        <v>325</v>
      </c>
      <c r="C105" s="121" t="s">
        <v>711</v>
      </c>
      <c r="D105" s="156"/>
      <c r="E105" s="156"/>
      <c r="F105" s="612"/>
      <c r="G105" s="121" t="s">
        <v>711</v>
      </c>
      <c r="H105" s="156"/>
      <c r="I105" s="156"/>
      <c r="J105" s="612"/>
      <c r="K105" s="121" t="s">
        <v>711</v>
      </c>
      <c r="L105" s="156"/>
      <c r="M105" s="156"/>
      <c r="N105" s="612"/>
      <c r="O105" s="612" t="s">
        <v>711</v>
      </c>
      <c r="P105" s="156"/>
      <c r="Q105" s="156"/>
      <c r="R105" s="612"/>
      <c r="S105" s="121" t="s">
        <v>167</v>
      </c>
      <c r="T105" s="156"/>
      <c r="U105" s="156"/>
      <c r="V105" s="612"/>
      <c r="W105" s="121"/>
      <c r="X105" s="156"/>
      <c r="Y105" s="156"/>
      <c r="Z105" s="612"/>
      <c r="AA105" s="156"/>
      <c r="AB105" s="156"/>
      <c r="AC105" s="156"/>
      <c r="AD105" s="613"/>
      <c r="AE105" s="128"/>
      <c r="AF105" s="156"/>
      <c r="AG105" s="156"/>
      <c r="AH105" s="613"/>
      <c r="AI105" s="489"/>
    </row>
    <row r="106" spans="1:35" ht="21.95" customHeight="1" x14ac:dyDescent="0.2">
      <c r="A106" s="1"/>
      <c r="B106" s="129" t="s">
        <v>326</v>
      </c>
      <c r="C106" s="121" t="s">
        <v>575</v>
      </c>
      <c r="D106" s="156"/>
      <c r="E106" s="156"/>
      <c r="F106" s="612"/>
      <c r="G106" s="121" t="s">
        <v>712</v>
      </c>
      <c r="H106" s="156"/>
      <c r="I106" s="156"/>
      <c r="J106" s="612"/>
      <c r="K106" s="121" t="s">
        <v>712</v>
      </c>
      <c r="L106" s="156"/>
      <c r="M106" s="156"/>
      <c r="N106" s="612"/>
      <c r="O106" s="612" t="s">
        <v>712</v>
      </c>
      <c r="P106" s="156"/>
      <c r="Q106" s="156"/>
      <c r="R106" s="612"/>
      <c r="S106" s="121" t="s">
        <v>712</v>
      </c>
      <c r="T106" s="156"/>
      <c r="U106" s="156"/>
      <c r="V106" s="612"/>
      <c r="W106" s="631" t="s">
        <v>579</v>
      </c>
      <c r="X106" s="134"/>
      <c r="Y106" s="134"/>
      <c r="Z106" s="627"/>
      <c r="AA106" s="626"/>
      <c r="AB106" s="134"/>
      <c r="AC106" s="134"/>
      <c r="AD106" s="628"/>
      <c r="AE106" s="128"/>
      <c r="AF106" s="156"/>
      <c r="AG106" s="156"/>
      <c r="AH106" s="613"/>
      <c r="AI106" s="489"/>
    </row>
    <row r="107" spans="1:35" ht="21.95" customHeight="1" thickBot="1" x14ac:dyDescent="0.25">
      <c r="A107" s="1"/>
      <c r="B107" s="16" t="s">
        <v>236</v>
      </c>
      <c r="C107" s="57" t="s">
        <v>714</v>
      </c>
      <c r="D107" s="53"/>
      <c r="E107" s="53"/>
      <c r="F107" s="619"/>
      <c r="G107" s="57" t="s">
        <v>714</v>
      </c>
      <c r="H107" s="53"/>
      <c r="I107" s="53"/>
      <c r="J107" s="619"/>
      <c r="K107" s="57" t="s">
        <v>714</v>
      </c>
      <c r="L107" s="53"/>
      <c r="M107" s="53"/>
      <c r="N107" s="619"/>
      <c r="O107" s="619" t="s">
        <v>740</v>
      </c>
      <c r="P107" s="53"/>
      <c r="Q107" s="53"/>
      <c r="R107" s="619"/>
      <c r="S107" s="57" t="s">
        <v>714</v>
      </c>
      <c r="T107" s="53"/>
      <c r="U107" s="53"/>
      <c r="V107" s="620"/>
      <c r="W107" s="57"/>
      <c r="X107" s="620"/>
      <c r="Y107" s="53"/>
      <c r="Z107" s="619"/>
      <c r="AA107" s="57"/>
      <c r="AB107" s="620"/>
      <c r="AC107" s="53"/>
      <c r="AD107" s="619"/>
      <c r="AE107" s="629"/>
      <c r="AF107" s="53"/>
      <c r="AG107" s="53"/>
      <c r="AH107" s="620"/>
      <c r="AI107" s="544"/>
    </row>
    <row r="108" spans="1:35" ht="21.95" customHeight="1" x14ac:dyDescent="0.2">
      <c r="A108" s="621"/>
      <c r="B108" s="1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585"/>
      <c r="B109" s="296" t="s">
        <v>469</v>
      </c>
      <c r="C109" s="497">
        <v>1</v>
      </c>
      <c r="D109" s="497">
        <v>2</v>
      </c>
      <c r="E109" s="177">
        <v>3</v>
      </c>
      <c r="F109" s="177">
        <v>4</v>
      </c>
      <c r="G109" s="177">
        <v>5</v>
      </c>
      <c r="H109" s="177">
        <v>6</v>
      </c>
      <c r="I109" s="177">
        <v>7</v>
      </c>
      <c r="J109" s="497">
        <v>8</v>
      </c>
      <c r="K109" s="497">
        <v>9</v>
      </c>
      <c r="L109" s="177">
        <v>10</v>
      </c>
      <c r="M109" s="177">
        <v>11</v>
      </c>
      <c r="N109" s="177">
        <v>12</v>
      </c>
      <c r="O109" s="177">
        <v>13</v>
      </c>
      <c r="P109" s="177">
        <v>14</v>
      </c>
      <c r="Q109" s="497">
        <v>15</v>
      </c>
      <c r="R109" s="497">
        <v>16</v>
      </c>
      <c r="S109" s="177">
        <v>17</v>
      </c>
      <c r="T109" s="177">
        <v>18</v>
      </c>
      <c r="U109" s="177">
        <v>19</v>
      </c>
      <c r="V109" s="177">
        <v>20</v>
      </c>
      <c r="W109" s="177">
        <v>21</v>
      </c>
      <c r="X109" s="497">
        <v>22</v>
      </c>
      <c r="Y109" s="497">
        <v>23</v>
      </c>
      <c r="Z109" s="177">
        <v>24</v>
      </c>
      <c r="AA109" s="177">
        <v>25</v>
      </c>
      <c r="AB109" s="177">
        <v>26</v>
      </c>
      <c r="AC109" s="177">
        <v>27</v>
      </c>
      <c r="AD109" s="177">
        <v>28</v>
      </c>
      <c r="AE109" s="497">
        <v>29</v>
      </c>
      <c r="AF109" s="497">
        <v>30</v>
      </c>
      <c r="AG109" s="177">
        <v>31</v>
      </c>
      <c r="AH109" s="499" t="s">
        <v>470</v>
      </c>
      <c r="AI109" s="500" t="s">
        <v>471</v>
      </c>
    </row>
    <row r="110" spans="1:35" ht="21.95" customHeight="1" x14ac:dyDescent="0.2">
      <c r="A110" s="622">
        <v>1</v>
      </c>
      <c r="B110" s="552" t="s">
        <v>530</v>
      </c>
      <c r="C110" s="553"/>
      <c r="D110" s="587"/>
      <c r="E110" s="587" t="s">
        <v>475</v>
      </c>
      <c r="F110" s="1084">
        <v>1</v>
      </c>
      <c r="G110" s="553">
        <v>1</v>
      </c>
      <c r="H110" s="553">
        <v>1</v>
      </c>
      <c r="I110" s="553">
        <v>1</v>
      </c>
      <c r="J110" s="553">
        <v>1</v>
      </c>
      <c r="K110" s="553"/>
      <c r="L110" s="553">
        <v>2</v>
      </c>
      <c r="M110" s="553">
        <v>2</v>
      </c>
      <c r="N110" s="553">
        <v>2</v>
      </c>
      <c r="O110" s="521">
        <v>2</v>
      </c>
      <c r="P110" s="553" t="s">
        <v>475</v>
      </c>
      <c r="Q110" s="553"/>
      <c r="R110" s="587"/>
      <c r="S110" s="553">
        <v>3</v>
      </c>
      <c r="T110" s="553">
        <v>1</v>
      </c>
      <c r="U110" s="553">
        <v>1</v>
      </c>
      <c r="V110" s="553">
        <v>1</v>
      </c>
      <c r="W110" s="553">
        <v>1</v>
      </c>
      <c r="X110" s="553">
        <v>3</v>
      </c>
      <c r="Y110" s="553"/>
      <c r="Z110" s="1504" t="s">
        <v>531</v>
      </c>
      <c r="AA110" s="553">
        <v>4</v>
      </c>
      <c r="AB110" s="553">
        <v>4</v>
      </c>
      <c r="AC110" s="553">
        <v>4</v>
      </c>
      <c r="AD110" s="553">
        <v>4</v>
      </c>
      <c r="AE110" s="553"/>
      <c r="AF110" s="587"/>
      <c r="AG110" s="587" t="s">
        <v>475</v>
      </c>
      <c r="AH110" s="505">
        <v>74</v>
      </c>
      <c r="AI110" s="506">
        <v>37</v>
      </c>
    </row>
    <row r="111" spans="1:35" ht="21.95" customHeight="1" x14ac:dyDescent="0.2">
      <c r="A111" s="622">
        <v>2</v>
      </c>
      <c r="B111" s="318" t="s">
        <v>583</v>
      </c>
      <c r="C111" s="1116">
        <v>1</v>
      </c>
      <c r="D111" s="1116"/>
      <c r="E111" s="1116">
        <v>2</v>
      </c>
      <c r="F111" s="1116">
        <v>2</v>
      </c>
      <c r="G111" s="1116">
        <v>2</v>
      </c>
      <c r="H111" s="1116">
        <v>2</v>
      </c>
      <c r="I111" s="1116" t="s">
        <v>741</v>
      </c>
      <c r="J111" s="553"/>
      <c r="K111" s="587"/>
      <c r="L111" s="1064">
        <v>3</v>
      </c>
      <c r="M111" s="1064">
        <v>3</v>
      </c>
      <c r="N111" s="1064">
        <v>3</v>
      </c>
      <c r="O111" s="1064">
        <v>3</v>
      </c>
      <c r="P111" s="1064">
        <v>3</v>
      </c>
      <c r="Q111" s="1064">
        <v>3</v>
      </c>
      <c r="R111" s="1064"/>
      <c r="S111" s="1064">
        <v>4</v>
      </c>
      <c r="T111" s="1064">
        <v>4</v>
      </c>
      <c r="U111" s="1064">
        <v>4</v>
      </c>
      <c r="V111" s="1064">
        <v>4</v>
      </c>
      <c r="W111" s="1064">
        <v>4</v>
      </c>
      <c r="X111" s="1064"/>
      <c r="Y111" s="1060"/>
      <c r="Z111" s="587" t="s">
        <v>475</v>
      </c>
      <c r="AA111" s="1064">
        <v>1</v>
      </c>
      <c r="AB111" s="1064">
        <v>1</v>
      </c>
      <c r="AC111" s="553">
        <v>1</v>
      </c>
      <c r="AD111" s="553">
        <v>1</v>
      </c>
      <c r="AE111" s="553">
        <v>1</v>
      </c>
      <c r="AF111" s="553"/>
      <c r="AG111" s="553">
        <v>2</v>
      </c>
      <c r="AH111" s="505">
        <v>56</v>
      </c>
      <c r="AI111" s="506">
        <v>37</v>
      </c>
    </row>
    <row r="112" spans="1:35" ht="21.95" customHeight="1" thickBot="1" x14ac:dyDescent="0.25">
      <c r="A112" s="622">
        <v>3</v>
      </c>
      <c r="B112" s="552" t="s">
        <v>584</v>
      </c>
      <c r="C112" s="587"/>
      <c r="D112" s="587"/>
      <c r="E112" s="553">
        <v>3</v>
      </c>
      <c r="F112" s="553">
        <v>3</v>
      </c>
      <c r="G112" s="553">
        <v>3</v>
      </c>
      <c r="H112" s="553">
        <v>3</v>
      </c>
      <c r="I112" s="553">
        <v>3</v>
      </c>
      <c r="J112" s="553">
        <v>3</v>
      </c>
      <c r="K112" s="587"/>
      <c r="L112" s="553">
        <v>4</v>
      </c>
      <c r="M112" s="1483">
        <v>4</v>
      </c>
      <c r="N112" s="553">
        <v>4</v>
      </c>
      <c r="O112" s="553">
        <v>4</v>
      </c>
      <c r="P112" s="553">
        <v>4</v>
      </c>
      <c r="Q112" s="587"/>
      <c r="R112" s="587"/>
      <c r="S112" s="1060" t="s">
        <v>475</v>
      </c>
      <c r="T112" s="1064">
        <v>1</v>
      </c>
      <c r="U112" s="1064">
        <v>1</v>
      </c>
      <c r="V112" s="1064">
        <v>1</v>
      </c>
      <c r="W112" s="1064">
        <v>1</v>
      </c>
      <c r="X112" s="1064">
        <v>1</v>
      </c>
      <c r="Y112" s="1060"/>
      <c r="Z112" s="553">
        <v>2</v>
      </c>
      <c r="AA112" s="553">
        <v>2</v>
      </c>
      <c r="AB112" s="553">
        <v>2</v>
      </c>
      <c r="AC112" s="553">
        <v>2</v>
      </c>
      <c r="AD112" s="587" t="s">
        <v>475</v>
      </c>
      <c r="AE112" s="587"/>
      <c r="AF112" s="587"/>
      <c r="AG112" s="553">
        <v>3</v>
      </c>
      <c r="AH112" s="651">
        <v>56</v>
      </c>
      <c r="AI112" s="523">
        <v>37</v>
      </c>
    </row>
    <row r="113" spans="1:36" ht="21.95" customHeight="1" thickBot="1" x14ac:dyDescent="0.25">
      <c r="A113" s="622">
        <v>4</v>
      </c>
      <c r="B113" s="552" t="s">
        <v>289</v>
      </c>
      <c r="C113" s="553">
        <v>3</v>
      </c>
      <c r="D113" s="587"/>
      <c r="E113" s="553">
        <v>4</v>
      </c>
      <c r="F113" s="553">
        <v>4</v>
      </c>
      <c r="G113" s="553">
        <v>4</v>
      </c>
      <c r="H113" s="553">
        <v>4</v>
      </c>
      <c r="I113" s="553">
        <v>4</v>
      </c>
      <c r="J113" s="587"/>
      <c r="K113" s="587"/>
      <c r="L113" s="587" t="s">
        <v>475</v>
      </c>
      <c r="M113" s="553">
        <v>1</v>
      </c>
      <c r="N113" s="553">
        <v>1</v>
      </c>
      <c r="O113" s="553">
        <v>1</v>
      </c>
      <c r="P113" s="553">
        <v>1</v>
      </c>
      <c r="Q113" s="553">
        <v>1</v>
      </c>
      <c r="R113" s="587"/>
      <c r="S113" s="553">
        <v>2</v>
      </c>
      <c r="T113" s="553">
        <v>2</v>
      </c>
      <c r="U113" s="553">
        <v>2</v>
      </c>
      <c r="V113" s="553">
        <v>2</v>
      </c>
      <c r="W113" s="553" t="s">
        <v>475</v>
      </c>
      <c r="X113" s="553"/>
      <c r="Y113" s="553"/>
      <c r="Z113" s="553">
        <v>3</v>
      </c>
      <c r="AA113" s="553">
        <v>3</v>
      </c>
      <c r="AB113" s="553">
        <v>3</v>
      </c>
      <c r="AC113" s="553">
        <v>3</v>
      </c>
      <c r="AD113" s="553">
        <v>3</v>
      </c>
      <c r="AE113" s="553">
        <v>3</v>
      </c>
      <c r="AF113" s="587"/>
      <c r="AG113" s="553">
        <v>4</v>
      </c>
      <c r="AH113" s="651">
        <v>74</v>
      </c>
      <c r="AI113" s="523">
        <v>37</v>
      </c>
    </row>
    <row r="114" spans="1:36" ht="21.95" customHeight="1" x14ac:dyDescent="0.2">
      <c r="A114" s="311" t="s">
        <v>585</v>
      </c>
      <c r="C114" s="590"/>
      <c r="D114" s="590"/>
      <c r="E114" s="590"/>
      <c r="F114" s="590"/>
      <c r="G114" s="590"/>
      <c r="H114" s="590"/>
      <c r="I114" s="590"/>
      <c r="J114" s="590"/>
      <c r="K114" s="590"/>
      <c r="L114" s="590"/>
      <c r="M114" s="590"/>
      <c r="N114" s="590"/>
      <c r="O114" s="590"/>
      <c r="P114" s="590"/>
      <c r="Q114" s="590"/>
      <c r="R114" s="590"/>
      <c r="S114" s="590"/>
      <c r="T114" s="590"/>
      <c r="U114" s="590"/>
      <c r="V114" s="590"/>
      <c r="W114" s="590"/>
      <c r="X114" s="590"/>
      <c r="Y114" s="590"/>
      <c r="Z114" s="590"/>
      <c r="AA114" s="590"/>
      <c r="AB114" s="590"/>
      <c r="AC114" s="590"/>
      <c r="AD114" s="590"/>
      <c r="AE114" s="590"/>
      <c r="AF114" s="590"/>
      <c r="AG114" s="590"/>
      <c r="AH114" s="591"/>
      <c r="AI114" s="591"/>
      <c r="AJ114" s="360"/>
    </row>
    <row r="115" spans="1:36" ht="21.95" customHeight="1" x14ac:dyDescent="0.2">
      <c r="A115" s="298" t="s">
        <v>468</v>
      </c>
      <c r="B115" s="298"/>
      <c r="C115" s="152"/>
      <c r="D115" s="298" t="s">
        <v>2</v>
      </c>
      <c r="E115" s="185"/>
      <c r="F115" s="152"/>
      <c r="G115" s="298" t="s">
        <v>3</v>
      </c>
      <c r="H115" s="185"/>
      <c r="I115" s="152"/>
      <c r="J115" s="298" t="s">
        <v>4</v>
      </c>
      <c r="K115" s="185"/>
      <c r="L115" s="152"/>
      <c r="M115" s="298" t="s">
        <v>5</v>
      </c>
      <c r="N115" s="185"/>
      <c r="O115" s="152"/>
      <c r="P115" s="298" t="s">
        <v>6</v>
      </c>
      <c r="Q115" s="185"/>
      <c r="R115" s="133"/>
      <c r="S115" s="198" t="s">
        <v>7</v>
      </c>
      <c r="T115" s="185"/>
      <c r="U115" s="152"/>
      <c r="V115" s="298" t="s">
        <v>8</v>
      </c>
      <c r="W115" s="185"/>
      <c r="X115" s="632" t="s">
        <v>10</v>
      </c>
      <c r="Y115" s="185"/>
      <c r="Z115" s="185"/>
      <c r="AA115" s="598"/>
      <c r="AB115" s="482"/>
      <c r="AC115" s="482"/>
      <c r="AD115" s="482"/>
      <c r="AE115" s="482"/>
      <c r="AF115" s="482"/>
      <c r="AG115" s="483"/>
      <c r="AH115" s="360"/>
      <c r="AI115" s="360"/>
      <c r="AJ115" s="360"/>
    </row>
    <row r="116" spans="1:36" ht="21.95" customHeight="1" x14ac:dyDescent="0.2">
      <c r="A116" s="1786">
        <v>8517</v>
      </c>
      <c r="B116" s="501" t="s">
        <v>586</v>
      </c>
      <c r="C116" s="631" t="s">
        <v>124</v>
      </c>
      <c r="D116" s="628"/>
      <c r="E116" s="633"/>
      <c r="F116" s="631" t="s">
        <v>124</v>
      </c>
      <c r="G116" s="634"/>
      <c r="H116" s="633"/>
      <c r="I116" s="121" t="s">
        <v>124</v>
      </c>
      <c r="J116" s="613"/>
      <c r="K116" s="635"/>
      <c r="L116" s="121" t="s">
        <v>124</v>
      </c>
      <c r="M116" s="613"/>
      <c r="N116" s="635"/>
      <c r="O116" s="631" t="s">
        <v>124</v>
      </c>
      <c r="P116" s="613"/>
      <c r="Q116" s="476"/>
      <c r="R116" s="636" t="s">
        <v>28</v>
      </c>
      <c r="S116" s="613"/>
      <c r="T116" s="635"/>
      <c r="U116" s="613" t="s">
        <v>28</v>
      </c>
      <c r="V116" s="613"/>
      <c r="W116" s="476"/>
      <c r="X116" s="144" t="s">
        <v>28</v>
      </c>
      <c r="Y116" s="360"/>
      <c r="Z116" s="360"/>
      <c r="AA116" s="360"/>
      <c r="AB116" s="360"/>
      <c r="AC116" s="360"/>
      <c r="AD116" s="360"/>
      <c r="AE116" s="360"/>
      <c r="AF116" s="360"/>
      <c r="AG116" s="637"/>
      <c r="AH116" s="360"/>
      <c r="AI116" s="360"/>
      <c r="AJ116" s="360"/>
    </row>
    <row r="117" spans="1:36" ht="21.95" customHeight="1" x14ac:dyDescent="0.2">
      <c r="A117" s="638">
        <v>8502</v>
      </c>
      <c r="B117" s="639" t="s">
        <v>587</v>
      </c>
      <c r="C117" s="121" t="s">
        <v>11</v>
      </c>
      <c r="D117" s="613"/>
      <c r="E117" s="476"/>
      <c r="F117" s="121" t="s">
        <v>11</v>
      </c>
      <c r="G117" s="613"/>
      <c r="H117" s="635"/>
      <c r="I117" s="121" t="s">
        <v>11</v>
      </c>
      <c r="J117" s="613"/>
      <c r="K117" s="635"/>
      <c r="L117" s="121" t="s">
        <v>11</v>
      </c>
      <c r="M117" s="613"/>
      <c r="N117" s="635"/>
      <c r="O117" s="121" t="s">
        <v>11</v>
      </c>
      <c r="P117" s="613"/>
      <c r="Q117" s="476"/>
      <c r="R117" s="640"/>
      <c r="S117" s="641"/>
      <c r="T117" s="635"/>
      <c r="U117" s="613"/>
      <c r="V117" s="613"/>
      <c r="W117" s="476"/>
      <c r="X117" s="475"/>
      <c r="Y117" s="482"/>
      <c r="Z117" s="482"/>
      <c r="AA117" s="482"/>
      <c r="AB117" s="482"/>
      <c r="AC117" s="482"/>
      <c r="AD117" s="482"/>
      <c r="AE117" s="482"/>
      <c r="AF117" s="482"/>
      <c r="AG117" s="483"/>
      <c r="AH117" s="360"/>
      <c r="AI117" s="360"/>
      <c r="AJ117" s="360"/>
    </row>
    <row r="118" spans="1:36" ht="21.95" customHeight="1" x14ac:dyDescent="0.2">
      <c r="A118" s="273"/>
      <c r="B118" s="524"/>
      <c r="C118" s="353"/>
      <c r="D118" s="353"/>
      <c r="E118" s="73"/>
      <c r="F118" s="353"/>
      <c r="G118" s="353"/>
      <c r="H118" s="73"/>
      <c r="I118" s="353"/>
      <c r="J118" s="353"/>
      <c r="K118" s="73"/>
      <c r="L118" s="353"/>
      <c r="M118" s="353"/>
      <c r="N118" s="73"/>
      <c r="O118" s="353"/>
      <c r="P118" s="353"/>
      <c r="Q118" s="73"/>
      <c r="R118" s="167"/>
      <c r="S118" s="353"/>
      <c r="T118" s="73"/>
      <c r="U118" s="353"/>
      <c r="V118" s="353"/>
      <c r="W118" s="73"/>
      <c r="X118" s="73"/>
      <c r="Y118" s="360"/>
      <c r="Z118" s="360"/>
      <c r="AA118" s="360"/>
      <c r="AB118" s="360"/>
      <c r="AC118" s="360"/>
      <c r="AD118" s="360"/>
      <c r="AE118" s="360"/>
      <c r="AF118" s="360"/>
      <c r="AG118" s="360"/>
      <c r="AH118" s="360"/>
      <c r="AI118" s="360"/>
    </row>
    <row r="119" spans="1:36" ht="21.95" customHeight="1" x14ac:dyDescent="0.2">
      <c r="A119" s="642"/>
      <c r="B119" s="181" t="s">
        <v>469</v>
      </c>
      <c r="C119" s="497">
        <v>1</v>
      </c>
      <c r="D119" s="497">
        <v>2</v>
      </c>
      <c r="E119" s="177">
        <v>3</v>
      </c>
      <c r="F119" s="177">
        <v>4</v>
      </c>
      <c r="G119" s="177">
        <v>5</v>
      </c>
      <c r="H119" s="177">
        <v>6</v>
      </c>
      <c r="I119" s="177">
        <v>7</v>
      </c>
      <c r="J119" s="497">
        <v>8</v>
      </c>
      <c r="K119" s="497">
        <v>9</v>
      </c>
      <c r="L119" s="177">
        <v>10</v>
      </c>
      <c r="M119" s="177">
        <v>11</v>
      </c>
      <c r="N119" s="177">
        <v>12</v>
      </c>
      <c r="O119" s="177">
        <v>13</v>
      </c>
      <c r="P119" s="177">
        <v>14</v>
      </c>
      <c r="Q119" s="497">
        <v>15</v>
      </c>
      <c r="R119" s="497">
        <v>16</v>
      </c>
      <c r="S119" s="177">
        <v>17</v>
      </c>
      <c r="T119" s="177">
        <v>18</v>
      </c>
      <c r="U119" s="177">
        <v>19</v>
      </c>
      <c r="V119" s="177">
        <v>20</v>
      </c>
      <c r="W119" s="177">
        <v>21</v>
      </c>
      <c r="X119" s="497">
        <v>22</v>
      </c>
      <c r="Y119" s="497">
        <v>23</v>
      </c>
      <c r="Z119" s="177">
        <v>24</v>
      </c>
      <c r="AA119" s="177">
        <v>25</v>
      </c>
      <c r="AB119" s="177">
        <v>26</v>
      </c>
      <c r="AC119" s="177">
        <v>27</v>
      </c>
      <c r="AD119" s="177">
        <v>28</v>
      </c>
      <c r="AE119" s="497">
        <v>29</v>
      </c>
      <c r="AF119" s="497">
        <v>30</v>
      </c>
      <c r="AG119" s="177">
        <v>31</v>
      </c>
      <c r="AH119" s="643" t="s">
        <v>470</v>
      </c>
      <c r="AI119" s="644" t="s">
        <v>471</v>
      </c>
    </row>
    <row r="120" spans="1:36" ht="21.95" customHeight="1" x14ac:dyDescent="0.2">
      <c r="A120" s="645">
        <v>1</v>
      </c>
      <c r="B120" s="552" t="s">
        <v>588</v>
      </c>
      <c r="C120" s="1088"/>
      <c r="D120" s="1088"/>
      <c r="E120" s="1088" t="s">
        <v>482</v>
      </c>
      <c r="F120" s="1088" t="s">
        <v>482</v>
      </c>
      <c r="G120" s="1088" t="s">
        <v>482</v>
      </c>
      <c r="H120" s="1088" t="s">
        <v>482</v>
      </c>
      <c r="I120" s="1088" t="s">
        <v>482</v>
      </c>
      <c r="J120" s="1088"/>
      <c r="K120" s="1088"/>
      <c r="L120" s="1088" t="s">
        <v>482</v>
      </c>
      <c r="M120" s="1088" t="s">
        <v>482</v>
      </c>
      <c r="N120" s="1088" t="s">
        <v>482</v>
      </c>
      <c r="O120" s="1088" t="s">
        <v>482</v>
      </c>
      <c r="P120" s="1088" t="s">
        <v>482</v>
      </c>
      <c r="Q120" s="1088"/>
      <c r="R120" s="1088"/>
      <c r="S120" s="1088" t="s">
        <v>482</v>
      </c>
      <c r="T120" s="1088" t="s">
        <v>482</v>
      </c>
      <c r="U120" s="1088" t="s">
        <v>482</v>
      </c>
      <c r="V120" s="1088" t="s">
        <v>482</v>
      </c>
      <c r="W120" s="1088" t="s">
        <v>482</v>
      </c>
      <c r="X120" s="1088"/>
      <c r="Y120" s="1088"/>
      <c r="Z120" s="1088" t="s">
        <v>482</v>
      </c>
      <c r="AA120" s="1088" t="s">
        <v>482</v>
      </c>
      <c r="AB120" s="1088" t="s">
        <v>482</v>
      </c>
      <c r="AC120" s="1088" t="s">
        <v>482</v>
      </c>
      <c r="AD120" s="1088" t="s">
        <v>482</v>
      </c>
      <c r="AE120" s="1088"/>
      <c r="AF120" s="1088"/>
      <c r="AG120" s="1088" t="s">
        <v>482</v>
      </c>
      <c r="AH120" s="646">
        <v>185</v>
      </c>
      <c r="AI120" s="647">
        <v>37</v>
      </c>
    </row>
    <row r="121" spans="1:36" ht="21.95" customHeight="1" x14ac:dyDescent="0.2">
      <c r="A121" s="645">
        <v>2</v>
      </c>
      <c r="B121" s="552" t="s">
        <v>589</v>
      </c>
      <c r="C121" s="503" t="s">
        <v>484</v>
      </c>
      <c r="D121" s="503"/>
      <c r="E121" s="503">
        <v>10</v>
      </c>
      <c r="F121" s="503">
        <v>10</v>
      </c>
      <c r="G121" s="503">
        <v>10</v>
      </c>
      <c r="H121" s="503">
        <v>10</v>
      </c>
      <c r="I121" s="503">
        <v>10</v>
      </c>
      <c r="J121" s="503" t="s">
        <v>507</v>
      </c>
      <c r="K121" s="503" t="s">
        <v>507</v>
      </c>
      <c r="L121" s="503" t="s">
        <v>475</v>
      </c>
      <c r="M121" s="503" t="s">
        <v>475</v>
      </c>
      <c r="N121" s="503" t="s">
        <v>475</v>
      </c>
      <c r="O121" s="503" t="s">
        <v>475</v>
      </c>
      <c r="P121" s="503" t="s">
        <v>475</v>
      </c>
      <c r="Q121" s="503" t="s">
        <v>505</v>
      </c>
      <c r="R121" s="503" t="s">
        <v>505</v>
      </c>
      <c r="S121" s="503">
        <v>7</v>
      </c>
      <c r="T121" s="503">
        <v>7</v>
      </c>
      <c r="U121" s="503">
        <v>7</v>
      </c>
      <c r="V121" s="503">
        <v>7</v>
      </c>
      <c r="W121" s="503">
        <v>7</v>
      </c>
      <c r="X121" s="503"/>
      <c r="Y121" s="503"/>
      <c r="Z121" s="503">
        <v>4</v>
      </c>
      <c r="AA121" s="503">
        <v>4</v>
      </c>
      <c r="AB121" s="503">
        <v>4</v>
      </c>
      <c r="AC121" s="503">
        <v>4</v>
      </c>
      <c r="AD121" s="503">
        <v>4</v>
      </c>
      <c r="AE121" s="503"/>
      <c r="AF121" s="503"/>
      <c r="AG121" s="1059">
        <v>3</v>
      </c>
      <c r="AH121" s="505">
        <v>89</v>
      </c>
      <c r="AI121" s="506">
        <v>37</v>
      </c>
    </row>
    <row r="122" spans="1:36" ht="21.95" customHeight="1" x14ac:dyDescent="0.2">
      <c r="A122" s="645">
        <v>3</v>
      </c>
      <c r="B122" s="552" t="s">
        <v>590</v>
      </c>
      <c r="C122" s="503" t="s">
        <v>504</v>
      </c>
      <c r="D122" s="503" t="s">
        <v>504</v>
      </c>
      <c r="E122" s="503" t="s">
        <v>475</v>
      </c>
      <c r="F122" s="503" t="s">
        <v>540</v>
      </c>
      <c r="G122" s="503" t="s">
        <v>475</v>
      </c>
      <c r="H122" s="503" t="s">
        <v>475</v>
      </c>
      <c r="I122" s="503" t="s">
        <v>475</v>
      </c>
      <c r="J122" s="503"/>
      <c r="K122" s="503"/>
      <c r="L122" s="503" t="s">
        <v>551</v>
      </c>
      <c r="M122" s="503" t="s">
        <v>551</v>
      </c>
      <c r="N122" s="503" t="s">
        <v>551</v>
      </c>
      <c r="O122" s="503" t="s">
        <v>551</v>
      </c>
      <c r="P122" s="503" t="s">
        <v>551</v>
      </c>
      <c r="Q122" s="503"/>
      <c r="R122" s="503"/>
      <c r="S122" s="503">
        <v>9</v>
      </c>
      <c r="T122" s="503">
        <v>9</v>
      </c>
      <c r="U122" s="503">
        <v>9</v>
      </c>
      <c r="V122" s="503">
        <v>9</v>
      </c>
      <c r="W122" s="503">
        <v>9</v>
      </c>
      <c r="X122" s="503" t="s">
        <v>511</v>
      </c>
      <c r="Y122" s="503" t="s">
        <v>511</v>
      </c>
      <c r="Z122" s="503" t="s">
        <v>475</v>
      </c>
      <c r="AA122" s="503" t="s">
        <v>475</v>
      </c>
      <c r="AB122" s="503" t="s">
        <v>475</v>
      </c>
      <c r="AC122" s="503" t="s">
        <v>475</v>
      </c>
      <c r="AD122" s="503" t="s">
        <v>475</v>
      </c>
      <c r="AE122" s="503"/>
      <c r="AF122" s="503"/>
      <c r="AG122" s="503">
        <v>6</v>
      </c>
      <c r="AH122" s="505">
        <v>114</v>
      </c>
      <c r="AI122" s="506">
        <v>35</v>
      </c>
    </row>
    <row r="123" spans="1:36" ht="21.95" customHeight="1" x14ac:dyDescent="0.2">
      <c r="A123" s="645">
        <v>4</v>
      </c>
      <c r="B123" s="152" t="s">
        <v>591</v>
      </c>
      <c r="C123" s="503"/>
      <c r="D123" s="503"/>
      <c r="E123" s="1093" t="s">
        <v>482</v>
      </c>
      <c r="F123" s="1093" t="s">
        <v>482</v>
      </c>
      <c r="G123" s="1093" t="s">
        <v>482</v>
      </c>
      <c r="H123" s="1093" t="s">
        <v>482</v>
      </c>
      <c r="I123" s="1093" t="s">
        <v>482</v>
      </c>
      <c r="J123" s="1093"/>
      <c r="K123" s="1093"/>
      <c r="L123" s="1093" t="s">
        <v>482</v>
      </c>
      <c r="M123" s="1093" t="s">
        <v>482</v>
      </c>
      <c r="N123" s="1093" t="s">
        <v>482</v>
      </c>
      <c r="O123" s="1093" t="s">
        <v>482</v>
      </c>
      <c r="P123" s="1093" t="s">
        <v>482</v>
      </c>
      <c r="Q123" s="1093"/>
      <c r="R123" s="1093"/>
      <c r="S123" s="1093" t="s">
        <v>482</v>
      </c>
      <c r="T123" s="1093" t="s">
        <v>482</v>
      </c>
      <c r="U123" s="1093" t="s">
        <v>482</v>
      </c>
      <c r="V123" s="1093" t="s">
        <v>482</v>
      </c>
      <c r="W123" s="1093" t="s">
        <v>482</v>
      </c>
      <c r="X123" s="1093"/>
      <c r="Y123" s="1093"/>
      <c r="Z123" s="1093" t="s">
        <v>482</v>
      </c>
      <c r="AA123" s="1093" t="s">
        <v>482</v>
      </c>
      <c r="AB123" s="1093" t="s">
        <v>482</v>
      </c>
      <c r="AC123" s="1093" t="s">
        <v>482</v>
      </c>
      <c r="AD123" s="1093" t="s">
        <v>482</v>
      </c>
      <c r="AE123" s="1093"/>
      <c r="AF123" s="1093"/>
      <c r="AG123" s="1093" t="s">
        <v>482</v>
      </c>
      <c r="AH123" s="505">
        <v>74</v>
      </c>
      <c r="AI123" s="506">
        <v>37</v>
      </c>
    </row>
    <row r="124" spans="1:36" ht="21.95" customHeight="1" x14ac:dyDescent="0.2">
      <c r="A124" s="645">
        <v>5</v>
      </c>
      <c r="B124" s="152" t="s">
        <v>592</v>
      </c>
      <c r="C124" s="503" t="s">
        <v>484</v>
      </c>
      <c r="D124" s="503" t="s">
        <v>484</v>
      </c>
      <c r="E124" s="503" t="s">
        <v>482</v>
      </c>
      <c r="F124" s="503" t="s">
        <v>538</v>
      </c>
      <c r="G124" s="503">
        <v>4</v>
      </c>
      <c r="H124" s="503">
        <v>4</v>
      </c>
      <c r="I124" s="503" t="s">
        <v>540</v>
      </c>
      <c r="J124" s="503"/>
      <c r="K124" s="503"/>
      <c r="L124" s="503" t="s">
        <v>482</v>
      </c>
      <c r="M124" s="503" t="s">
        <v>482</v>
      </c>
      <c r="N124" s="503" t="s">
        <v>482</v>
      </c>
      <c r="O124" s="503" t="s">
        <v>482</v>
      </c>
      <c r="P124" s="503" t="s">
        <v>482</v>
      </c>
      <c r="Q124" s="503"/>
      <c r="R124" s="503"/>
      <c r="S124" s="503" t="s">
        <v>513</v>
      </c>
      <c r="T124" s="503" t="s">
        <v>513</v>
      </c>
      <c r="U124" s="503" t="s">
        <v>513</v>
      </c>
      <c r="V124" s="503" t="s">
        <v>513</v>
      </c>
      <c r="W124" s="503" t="s">
        <v>513</v>
      </c>
      <c r="X124" s="503" t="s">
        <v>550</v>
      </c>
      <c r="Y124" s="503" t="s">
        <v>550</v>
      </c>
      <c r="Z124" s="503" t="s">
        <v>475</v>
      </c>
      <c r="AA124" s="503" t="s">
        <v>475</v>
      </c>
      <c r="AB124" s="503" t="s">
        <v>475</v>
      </c>
      <c r="AC124" s="503" t="s">
        <v>475</v>
      </c>
      <c r="AD124" s="503" t="s">
        <v>475</v>
      </c>
      <c r="AE124" s="503" t="s">
        <v>28</v>
      </c>
      <c r="AF124" s="503" t="s">
        <v>28</v>
      </c>
      <c r="AG124" s="503">
        <v>3</v>
      </c>
      <c r="AH124" s="505">
        <v>72</v>
      </c>
      <c r="AI124" s="506">
        <v>37</v>
      </c>
    </row>
    <row r="125" spans="1:36" ht="21.95" customHeight="1" x14ac:dyDescent="0.2">
      <c r="A125" s="645">
        <v>6</v>
      </c>
      <c r="B125" s="552" t="s">
        <v>690</v>
      </c>
      <c r="C125" s="503"/>
      <c r="D125" s="503"/>
      <c r="E125" s="503">
        <v>4</v>
      </c>
      <c r="F125" s="503">
        <v>4</v>
      </c>
      <c r="G125" s="1058" t="s">
        <v>552</v>
      </c>
      <c r="H125" s="1058" t="s">
        <v>552</v>
      </c>
      <c r="I125" s="503">
        <v>4</v>
      </c>
      <c r="J125" s="503"/>
      <c r="K125" s="503"/>
      <c r="L125" s="1104">
        <v>1</v>
      </c>
      <c r="M125" s="1104">
        <v>1</v>
      </c>
      <c r="N125" s="1104">
        <v>1</v>
      </c>
      <c r="O125" s="1100">
        <v>1</v>
      </c>
      <c r="P125" s="1100">
        <v>1</v>
      </c>
      <c r="Q125" s="503"/>
      <c r="R125" s="503"/>
      <c r="S125" s="503">
        <v>10</v>
      </c>
      <c r="T125" s="503">
        <v>10</v>
      </c>
      <c r="U125" s="503">
        <v>10</v>
      </c>
      <c r="V125" s="503">
        <v>10</v>
      </c>
      <c r="W125" s="503">
        <v>10</v>
      </c>
      <c r="X125" s="503" t="s">
        <v>507</v>
      </c>
      <c r="Y125" s="503" t="s">
        <v>507</v>
      </c>
      <c r="Z125" s="503" t="s">
        <v>475</v>
      </c>
      <c r="AA125" s="503" t="s">
        <v>475</v>
      </c>
      <c r="AB125" s="503" t="s">
        <v>475</v>
      </c>
      <c r="AC125" s="503" t="s">
        <v>475</v>
      </c>
      <c r="AD125" s="503" t="s">
        <v>475</v>
      </c>
      <c r="AE125" s="503"/>
      <c r="AF125" s="503" t="s">
        <v>28</v>
      </c>
      <c r="AG125" s="503" t="s">
        <v>513</v>
      </c>
      <c r="AH125" s="505">
        <v>185</v>
      </c>
      <c r="AI125" s="506">
        <v>37</v>
      </c>
    </row>
    <row r="126" spans="1:36" ht="21.95" customHeight="1" x14ac:dyDescent="0.2">
      <c r="A126" s="645">
        <v>7</v>
      </c>
      <c r="B126" s="152" t="s">
        <v>692</v>
      </c>
      <c r="C126" s="1078"/>
      <c r="D126" s="1078"/>
      <c r="E126" s="1078" t="s">
        <v>552</v>
      </c>
      <c r="F126" s="1078" t="s">
        <v>552</v>
      </c>
      <c r="G126" s="1078" t="s">
        <v>552</v>
      </c>
      <c r="H126" s="1078" t="s">
        <v>552</v>
      </c>
      <c r="I126" s="1078" t="s">
        <v>552</v>
      </c>
      <c r="J126" s="1078"/>
      <c r="K126" s="1078"/>
      <c r="L126" s="1078" t="s">
        <v>482</v>
      </c>
      <c r="M126" s="1078" t="s">
        <v>482</v>
      </c>
      <c r="N126" s="1078" t="s">
        <v>482</v>
      </c>
      <c r="O126" s="1092" t="s">
        <v>681</v>
      </c>
      <c r="P126" s="503">
        <v>4</v>
      </c>
      <c r="Q126" s="503"/>
      <c r="R126" s="503"/>
      <c r="S126" s="503" t="s">
        <v>475</v>
      </c>
      <c r="T126" s="503" t="s">
        <v>482</v>
      </c>
      <c r="U126" s="503" t="s">
        <v>482</v>
      </c>
      <c r="V126" s="503" t="s">
        <v>482</v>
      </c>
      <c r="W126" s="503" t="s">
        <v>482</v>
      </c>
      <c r="X126" s="503" t="s">
        <v>482</v>
      </c>
      <c r="Y126" s="503"/>
      <c r="Z126" s="503">
        <v>8</v>
      </c>
      <c r="AA126" s="503">
        <v>8</v>
      </c>
      <c r="AB126" s="503">
        <v>8</v>
      </c>
      <c r="AC126" s="503">
        <v>8</v>
      </c>
      <c r="AD126" s="503">
        <v>8</v>
      </c>
      <c r="AE126" s="503" t="s">
        <v>504</v>
      </c>
      <c r="AF126" s="503" t="s">
        <v>504</v>
      </c>
      <c r="AG126" s="503" t="s">
        <v>475</v>
      </c>
      <c r="AH126" s="505">
        <v>185</v>
      </c>
      <c r="AI126" s="506">
        <v>37</v>
      </c>
    </row>
    <row r="127" spans="1:36" ht="21.95" customHeight="1" x14ac:dyDescent="0.2">
      <c r="A127" s="645">
        <v>8</v>
      </c>
      <c r="B127" s="133" t="s">
        <v>689</v>
      </c>
      <c r="C127" s="503" t="s">
        <v>484</v>
      </c>
      <c r="D127" s="503" t="s">
        <v>484</v>
      </c>
      <c r="E127" s="1059" t="s">
        <v>734</v>
      </c>
      <c r="F127" s="1059" t="s">
        <v>482</v>
      </c>
      <c r="G127" s="1059" t="s">
        <v>482</v>
      </c>
      <c r="H127" s="1059" t="s">
        <v>482</v>
      </c>
      <c r="I127" s="1059" t="s">
        <v>482</v>
      </c>
      <c r="J127" s="1059"/>
      <c r="K127" s="1059"/>
      <c r="L127" s="503">
        <v>4</v>
      </c>
      <c r="M127" s="503">
        <v>4</v>
      </c>
      <c r="N127" s="503">
        <v>4</v>
      </c>
      <c r="O127" s="503">
        <v>4</v>
      </c>
      <c r="P127" s="503" t="s">
        <v>475</v>
      </c>
      <c r="Q127" s="503"/>
      <c r="R127" s="503"/>
      <c r="S127" s="1078" t="s">
        <v>482</v>
      </c>
      <c r="T127" s="1078" t="s">
        <v>482</v>
      </c>
      <c r="U127" s="1078" t="s">
        <v>482</v>
      </c>
      <c r="V127" s="1078" t="s">
        <v>482</v>
      </c>
      <c r="W127" s="1078" t="s">
        <v>482</v>
      </c>
      <c r="X127" s="1078"/>
      <c r="Y127" s="1078"/>
      <c r="Z127" s="1078" t="s">
        <v>482</v>
      </c>
      <c r="AA127" s="1078" t="s">
        <v>482</v>
      </c>
      <c r="AB127" s="1078" t="s">
        <v>482</v>
      </c>
      <c r="AC127" s="1078" t="s">
        <v>482</v>
      </c>
      <c r="AD127" s="1078" t="s">
        <v>482</v>
      </c>
      <c r="AE127" s="1078"/>
      <c r="AF127" s="1078"/>
      <c r="AG127" s="1078" t="s">
        <v>482</v>
      </c>
      <c r="AH127" s="648">
        <v>185</v>
      </c>
      <c r="AI127" s="649">
        <v>37</v>
      </c>
    </row>
    <row r="128" spans="1:36" ht="21.95" customHeight="1" x14ac:dyDescent="0.2">
      <c r="A128" s="645">
        <v>9</v>
      </c>
      <c r="B128" s="1719" t="s">
        <v>677</v>
      </c>
      <c r="C128" s="503"/>
      <c r="D128" s="503"/>
      <c r="E128" s="503" t="s">
        <v>475</v>
      </c>
      <c r="F128" s="503">
        <v>9</v>
      </c>
      <c r="G128" s="503">
        <v>9</v>
      </c>
      <c r="H128" s="503">
        <v>9</v>
      </c>
      <c r="I128" s="503">
        <v>9</v>
      </c>
      <c r="J128" s="503"/>
      <c r="K128" s="503"/>
      <c r="L128" s="503">
        <v>8</v>
      </c>
      <c r="M128" s="503">
        <v>8</v>
      </c>
      <c r="N128" s="503">
        <v>8</v>
      </c>
      <c r="O128" s="503">
        <v>8</v>
      </c>
      <c r="P128" s="503">
        <v>8</v>
      </c>
      <c r="Q128" s="503" t="s">
        <v>504</v>
      </c>
      <c r="R128" s="503" t="s">
        <v>504</v>
      </c>
      <c r="S128" s="503" t="s">
        <v>475</v>
      </c>
      <c r="T128" s="503" t="s">
        <v>475</v>
      </c>
      <c r="U128" s="503" t="s">
        <v>475</v>
      </c>
      <c r="V128" s="503" t="s">
        <v>475</v>
      </c>
      <c r="W128" s="503" t="s">
        <v>475</v>
      </c>
      <c r="X128" s="503"/>
      <c r="Y128" s="503"/>
      <c r="Z128" s="503">
        <v>9</v>
      </c>
      <c r="AA128" s="503">
        <v>9</v>
      </c>
      <c r="AB128" s="503">
        <v>9</v>
      </c>
      <c r="AC128" s="503">
        <v>9</v>
      </c>
      <c r="AD128" s="503">
        <v>9</v>
      </c>
      <c r="AE128" s="503" t="s">
        <v>511</v>
      </c>
      <c r="AF128" s="503" t="s">
        <v>507</v>
      </c>
      <c r="AG128" s="503" t="s">
        <v>475</v>
      </c>
      <c r="AH128" s="651">
        <v>185</v>
      </c>
      <c r="AI128" s="523">
        <v>37</v>
      </c>
    </row>
    <row r="129" spans="1:35" ht="21.95" customHeight="1" x14ac:dyDescent="0.2">
      <c r="A129" s="645">
        <v>10</v>
      </c>
      <c r="B129" s="552" t="s">
        <v>696</v>
      </c>
      <c r="C129" s="503"/>
      <c r="D129" s="503"/>
      <c r="E129" s="553">
        <v>11</v>
      </c>
      <c r="F129" s="553">
        <v>11</v>
      </c>
      <c r="G129" s="553">
        <v>11</v>
      </c>
      <c r="H129" s="553">
        <v>11</v>
      </c>
      <c r="I129" s="553">
        <v>11</v>
      </c>
      <c r="J129" s="553"/>
      <c r="K129" s="553"/>
      <c r="L129" s="553" t="s">
        <v>475</v>
      </c>
      <c r="M129" s="553" t="s">
        <v>475</v>
      </c>
      <c r="N129" s="553" t="s">
        <v>475</v>
      </c>
      <c r="O129" s="553" t="s">
        <v>475</v>
      </c>
      <c r="P129" s="553" t="s">
        <v>475</v>
      </c>
      <c r="Q129" s="565"/>
      <c r="R129" s="553"/>
      <c r="S129" s="566">
        <v>8</v>
      </c>
      <c r="T129" s="553">
        <v>8</v>
      </c>
      <c r="U129" s="553">
        <v>8</v>
      </c>
      <c r="V129" s="553">
        <v>8</v>
      </c>
      <c r="W129" s="553">
        <v>8</v>
      </c>
      <c r="X129" s="553" t="s">
        <v>504</v>
      </c>
      <c r="Y129" s="553" t="s">
        <v>504</v>
      </c>
      <c r="Z129" s="553" t="s">
        <v>475</v>
      </c>
      <c r="AA129" s="553" t="s">
        <v>475</v>
      </c>
      <c r="AB129" s="553" t="s">
        <v>475</v>
      </c>
      <c r="AC129" s="553" t="s">
        <v>475</v>
      </c>
      <c r="AD129" s="553" t="s">
        <v>475</v>
      </c>
      <c r="AE129" s="503"/>
      <c r="AF129" s="503"/>
      <c r="AG129" s="503">
        <v>1</v>
      </c>
      <c r="AH129" s="610"/>
      <c r="AI129" s="610"/>
    </row>
    <row r="130" spans="1:35" ht="21" customHeight="1" x14ac:dyDescent="0.25">
      <c r="A130" s="653" t="s">
        <v>598</v>
      </c>
    </row>
    <row r="131" spans="1:35" ht="21" customHeight="1" x14ac:dyDescent="0.25">
      <c r="A131" s="654" t="s">
        <v>599</v>
      </c>
    </row>
    <row r="132" spans="1:35" ht="21" customHeight="1" x14ac:dyDescent="0.2">
      <c r="A132" t="s">
        <v>600</v>
      </c>
    </row>
    <row r="133" spans="1:35" ht="21" customHeight="1" x14ac:dyDescent="0.2">
      <c r="A133" s="585"/>
      <c r="B133" s="296" t="s">
        <v>469</v>
      </c>
      <c r="C133" s="497">
        <v>1</v>
      </c>
      <c r="D133" s="497">
        <v>2</v>
      </c>
      <c r="E133" s="177">
        <v>3</v>
      </c>
      <c r="F133" s="177">
        <v>4</v>
      </c>
      <c r="G133" s="177">
        <v>5</v>
      </c>
      <c r="H133" s="177">
        <v>6</v>
      </c>
      <c r="I133" s="177">
        <v>7</v>
      </c>
      <c r="J133" s="497">
        <v>8</v>
      </c>
      <c r="K133" s="497">
        <v>9</v>
      </c>
      <c r="L133" s="177">
        <v>10</v>
      </c>
      <c r="M133" s="177">
        <v>11</v>
      </c>
      <c r="N133" s="177">
        <v>12</v>
      </c>
      <c r="O133" s="177">
        <v>4</v>
      </c>
      <c r="P133" s="177">
        <v>14</v>
      </c>
      <c r="Q133" s="497">
        <v>15</v>
      </c>
      <c r="R133" s="497">
        <v>16</v>
      </c>
      <c r="S133" s="177">
        <v>17</v>
      </c>
      <c r="T133" s="177">
        <v>18</v>
      </c>
      <c r="U133" s="177">
        <v>19</v>
      </c>
      <c r="V133" s="177">
        <v>20</v>
      </c>
      <c r="W133" s="177">
        <v>21</v>
      </c>
      <c r="X133" s="497">
        <v>22</v>
      </c>
      <c r="Y133" s="497">
        <v>23</v>
      </c>
      <c r="Z133" s="177">
        <v>24</v>
      </c>
      <c r="AA133" s="177">
        <v>25</v>
      </c>
      <c r="AB133" s="177">
        <v>26</v>
      </c>
      <c r="AC133" s="177">
        <v>27</v>
      </c>
      <c r="AD133" s="177">
        <v>28</v>
      </c>
      <c r="AE133" s="497">
        <v>29</v>
      </c>
      <c r="AF133" s="497">
        <v>30</v>
      </c>
      <c r="AG133" s="177">
        <v>31</v>
      </c>
      <c r="AH133" s="655"/>
    </row>
    <row r="134" spans="1:35" ht="21" customHeight="1" x14ac:dyDescent="0.2">
      <c r="A134" s="585">
        <v>1</v>
      </c>
      <c r="B134" s="318" t="s">
        <v>35</v>
      </c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656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655"/>
    </row>
    <row r="135" spans="1:35" ht="21" customHeight="1" x14ac:dyDescent="0.2">
      <c r="A135" s="585">
        <v>2</v>
      </c>
      <c r="B135" s="657" t="s">
        <v>601</v>
      </c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655"/>
    </row>
    <row r="136" spans="1:35" ht="21" customHeight="1" x14ac:dyDescent="0.2">
      <c r="A136" s="585">
        <v>3</v>
      </c>
      <c r="B136" s="552" t="s">
        <v>602</v>
      </c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656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655"/>
    </row>
    <row r="137" spans="1:35" ht="21" customHeight="1" x14ac:dyDescent="0.2">
      <c r="A137" s="585">
        <v>4</v>
      </c>
      <c r="B137" s="552" t="s">
        <v>554</v>
      </c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656"/>
      <c r="AC137" s="171"/>
      <c r="AD137" s="171"/>
      <c r="AE137" s="171"/>
      <c r="AF137" s="171"/>
      <c r="AG137" s="171"/>
      <c r="AH137" s="655"/>
    </row>
    <row r="138" spans="1:35" ht="21" customHeight="1" x14ac:dyDescent="0.2">
      <c r="A138" s="585">
        <v>5</v>
      </c>
      <c r="B138" s="552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655"/>
    </row>
    <row r="139" spans="1:35" ht="21" customHeight="1" x14ac:dyDescent="0.2">
      <c r="A139" s="585"/>
      <c r="B139" s="318" t="s">
        <v>742</v>
      </c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656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655"/>
    </row>
    <row r="140" spans="1:35" ht="21.95" customHeight="1" thickBot="1" x14ac:dyDescent="0.25">
      <c r="A140" s="1" t="s">
        <v>603</v>
      </c>
      <c r="B140" s="273"/>
      <c r="C140" s="138"/>
      <c r="D140" s="138"/>
      <c r="E140" s="138"/>
      <c r="F140" s="138"/>
      <c r="G140" s="138"/>
      <c r="H140" s="138"/>
      <c r="I140" s="138"/>
      <c r="J140" s="138"/>
      <c r="K140" s="138"/>
      <c r="L140" s="138"/>
      <c r="M140" s="138"/>
      <c r="N140" s="138"/>
      <c r="O140" s="138"/>
      <c r="P140" s="138"/>
      <c r="Q140" s="138"/>
      <c r="R140" s="138"/>
      <c r="S140" s="138"/>
      <c r="T140" s="138"/>
      <c r="U140" s="138"/>
      <c r="V140" s="138"/>
      <c r="W140" s="138"/>
      <c r="X140" s="138"/>
      <c r="Y140" s="138"/>
      <c r="Z140" s="138"/>
      <c r="AA140" s="138"/>
      <c r="AB140" s="138"/>
      <c r="AC140" s="138"/>
      <c r="AD140" s="138"/>
      <c r="AE140" s="138"/>
      <c r="AF140" s="138"/>
      <c r="AG140" s="138"/>
    </row>
    <row r="141" spans="1:35" ht="21.95" customHeight="1" x14ac:dyDescent="0.2">
      <c r="A141" s="1"/>
      <c r="B141" s="200" t="s">
        <v>604</v>
      </c>
      <c r="C141" s="7"/>
      <c r="D141" s="530" t="s">
        <v>2</v>
      </c>
      <c r="E141" s="51"/>
      <c r="F141" s="573"/>
      <c r="G141" s="7"/>
      <c r="H141" s="530" t="s">
        <v>3</v>
      </c>
      <c r="I141" s="51"/>
      <c r="J141" s="573"/>
      <c r="K141" s="7"/>
      <c r="L141" s="530" t="s">
        <v>4</v>
      </c>
      <c r="M141" s="51"/>
      <c r="N141" s="573"/>
      <c r="O141" s="7"/>
      <c r="P141" s="530" t="s">
        <v>5</v>
      </c>
      <c r="Q141" s="51"/>
      <c r="R141" s="573"/>
      <c r="S141" s="7"/>
      <c r="T141" s="530" t="s">
        <v>6</v>
      </c>
      <c r="U141" s="51"/>
      <c r="V141" s="573"/>
      <c r="W141" s="7"/>
      <c r="X141" s="530" t="s">
        <v>7</v>
      </c>
      <c r="Y141" s="51"/>
      <c r="Z141" s="573"/>
      <c r="AA141" s="7"/>
      <c r="AB141" s="530" t="s">
        <v>8</v>
      </c>
      <c r="AC141" s="51"/>
      <c r="AD141" s="51"/>
      <c r="AE141" s="424" t="s">
        <v>10</v>
      </c>
      <c r="AF141" s="51"/>
      <c r="AG141" s="51"/>
      <c r="AH141" s="51"/>
      <c r="AI141" s="531"/>
    </row>
    <row r="142" spans="1:35" ht="21.95" customHeight="1" x14ac:dyDescent="0.2">
      <c r="A142" s="1"/>
      <c r="B142" s="305">
        <v>3701</v>
      </c>
      <c r="C142" s="641" t="s">
        <v>124</v>
      </c>
      <c r="D142" s="658"/>
      <c r="E142" s="55"/>
      <c r="F142" s="580"/>
      <c r="G142" s="641" t="s">
        <v>124</v>
      </c>
      <c r="H142" s="659"/>
      <c r="I142" s="55"/>
      <c r="J142" s="580"/>
      <c r="K142" s="641" t="s">
        <v>124</v>
      </c>
      <c r="L142" s="659"/>
      <c r="M142" s="55"/>
      <c r="N142" s="580"/>
      <c r="O142" s="641" t="s">
        <v>124</v>
      </c>
      <c r="P142" s="659"/>
      <c r="Q142" s="55"/>
      <c r="R142" s="580"/>
      <c r="S142" s="14" t="s">
        <v>125</v>
      </c>
      <c r="T142" s="659"/>
      <c r="U142" s="55"/>
      <c r="V142" s="580"/>
      <c r="W142" s="14"/>
      <c r="X142" s="659"/>
      <c r="Y142" s="55"/>
      <c r="Z142" s="580"/>
      <c r="AA142" s="14"/>
      <c r="AB142" s="659"/>
      <c r="AC142" s="55"/>
      <c r="AD142" s="55"/>
      <c r="AE142" s="660"/>
      <c r="AF142" s="55"/>
      <c r="AG142" s="55"/>
      <c r="AH142" s="55"/>
      <c r="AI142" s="661"/>
    </row>
    <row r="143" spans="1:35" ht="21.95" customHeight="1" x14ac:dyDescent="0.2">
      <c r="B143" s="662">
        <v>3700</v>
      </c>
      <c r="C143" s="121" t="s">
        <v>534</v>
      </c>
      <c r="D143" s="156"/>
      <c r="E143" s="156"/>
      <c r="F143" s="612"/>
      <c r="G143" s="121" t="s">
        <v>534</v>
      </c>
      <c r="H143" s="156"/>
      <c r="I143" s="156"/>
      <c r="J143" s="612"/>
      <c r="K143" s="121" t="s">
        <v>534</v>
      </c>
      <c r="L143" s="156"/>
      <c r="M143" s="156"/>
      <c r="N143" s="612"/>
      <c r="O143" s="121" t="s">
        <v>534</v>
      </c>
      <c r="P143" s="156"/>
      <c r="Q143" s="156"/>
      <c r="R143" s="612"/>
      <c r="S143" s="121" t="s">
        <v>116</v>
      </c>
      <c r="T143" s="156"/>
      <c r="U143" s="156"/>
      <c r="V143" s="612"/>
      <c r="W143" s="121"/>
      <c r="X143" s="156"/>
      <c r="Y143" s="156"/>
      <c r="Z143" s="612"/>
      <c r="AA143" s="611"/>
      <c r="AB143" s="156"/>
      <c r="AC143" s="156"/>
      <c r="AD143" s="613"/>
      <c r="AE143" s="663"/>
      <c r="AF143" s="156"/>
      <c r="AG143" s="156" t="s">
        <v>28</v>
      </c>
      <c r="AH143" s="613"/>
      <c r="AI143" s="489"/>
    </row>
    <row r="144" spans="1:35" ht="21.95" customHeight="1" x14ac:dyDescent="0.2">
      <c r="A144" s="1"/>
      <c r="B144" s="129" t="s">
        <v>605</v>
      </c>
      <c r="C144" s="611" t="s">
        <v>606</v>
      </c>
      <c r="D144" s="156"/>
      <c r="E144" s="156"/>
      <c r="F144" s="612"/>
      <c r="G144" s="611" t="s">
        <v>606</v>
      </c>
      <c r="H144" s="156"/>
      <c r="I144" s="156"/>
      <c r="J144" s="612"/>
      <c r="K144" s="611" t="s">
        <v>606</v>
      </c>
      <c r="L144" s="156"/>
      <c r="M144" s="156"/>
      <c r="N144" s="612"/>
      <c r="O144" s="611" t="s">
        <v>606</v>
      </c>
      <c r="P144" s="156"/>
      <c r="Q144" s="156"/>
      <c r="R144" s="612"/>
      <c r="S144" s="611" t="s">
        <v>607</v>
      </c>
      <c r="T144" s="156"/>
      <c r="U144" s="156"/>
      <c r="V144" s="612"/>
      <c r="W144" s="121"/>
      <c r="X144" s="156"/>
      <c r="Y144" s="156"/>
      <c r="Z144" s="612"/>
      <c r="AA144" s="121"/>
      <c r="AB144" s="156"/>
      <c r="AC144" s="156"/>
      <c r="AD144" s="613"/>
      <c r="AE144" s="121"/>
      <c r="AF144" s="156"/>
      <c r="AG144" s="156"/>
      <c r="AH144" s="613"/>
      <c r="AI144" s="489"/>
    </row>
    <row r="145" spans="1:35" ht="21.95" customHeight="1" x14ac:dyDescent="0.2">
      <c r="A145" s="1"/>
      <c r="B145" s="664">
        <v>8500</v>
      </c>
      <c r="C145" s="665" t="s">
        <v>264</v>
      </c>
      <c r="D145" s="55"/>
      <c r="E145" s="55"/>
      <c r="F145" s="666"/>
      <c r="G145" s="665" t="s">
        <v>264</v>
      </c>
      <c r="H145" s="55"/>
      <c r="I145" s="55"/>
      <c r="J145" s="666"/>
      <c r="K145" s="665" t="s">
        <v>264</v>
      </c>
      <c r="L145" s="55"/>
      <c r="M145" s="55"/>
      <c r="N145" s="666"/>
      <c r="O145" s="665" t="s">
        <v>264</v>
      </c>
      <c r="P145" s="55"/>
      <c r="Q145" s="55"/>
      <c r="R145" s="666"/>
      <c r="S145" s="665" t="s">
        <v>265</v>
      </c>
      <c r="T145" s="55"/>
      <c r="U145" s="55"/>
      <c r="V145" s="666"/>
      <c r="W145" s="665"/>
      <c r="X145" s="55"/>
      <c r="Y145" s="55"/>
      <c r="Z145" s="666"/>
      <c r="AA145" s="665"/>
      <c r="AB145" s="55"/>
      <c r="AC145" s="55"/>
      <c r="AD145" s="666"/>
      <c r="AE145" s="665"/>
      <c r="AF145" s="55"/>
      <c r="AG145" s="55"/>
      <c r="AH145" s="641"/>
      <c r="AI145" s="661"/>
    </row>
    <row r="146" spans="1:35" ht="21.95" customHeight="1" x14ac:dyDescent="0.2">
      <c r="A146" s="1"/>
      <c r="B146" s="9">
        <v>8514</v>
      </c>
      <c r="C146" s="667" t="s">
        <v>264</v>
      </c>
      <c r="D146" s="668"/>
      <c r="E146" s="669"/>
      <c r="F146" s="670"/>
      <c r="G146" s="667" t="s">
        <v>264</v>
      </c>
      <c r="H146" s="668"/>
      <c r="I146" s="669"/>
      <c r="J146" s="670"/>
      <c r="K146" s="667" t="s">
        <v>264</v>
      </c>
      <c r="L146" s="668"/>
      <c r="M146" s="669"/>
      <c r="N146" s="670"/>
      <c r="O146" s="667" t="s">
        <v>682</v>
      </c>
      <c r="P146" s="668"/>
      <c r="Q146" s="669"/>
      <c r="R146" s="670"/>
      <c r="S146" s="667" t="s">
        <v>265</v>
      </c>
      <c r="T146" s="668"/>
      <c r="U146" s="669"/>
      <c r="V146" s="670"/>
      <c r="W146" s="14"/>
      <c r="X146" s="659"/>
      <c r="Y146" s="55"/>
      <c r="Z146" s="580"/>
      <c r="AA146" s="14"/>
      <c r="AB146" s="659"/>
      <c r="AC146" s="55"/>
      <c r="AD146" s="55"/>
      <c r="AE146" s="660"/>
      <c r="AF146" s="55"/>
      <c r="AG146" s="55"/>
      <c r="AH146" s="55"/>
      <c r="AI146" s="661"/>
    </row>
    <row r="147" spans="1:35" ht="21.95" customHeight="1" thickBot="1" x14ac:dyDescent="0.25">
      <c r="A147" s="1"/>
      <c r="B147" s="671">
        <v>8521</v>
      </c>
      <c r="C147" s="57" t="s">
        <v>534</v>
      </c>
      <c r="D147" s="53"/>
      <c r="E147" s="53"/>
      <c r="F147" s="619"/>
      <c r="G147" s="57" t="s">
        <v>534</v>
      </c>
      <c r="H147" s="53"/>
      <c r="I147" s="53"/>
      <c r="J147" s="619"/>
      <c r="K147" s="57" t="s">
        <v>534</v>
      </c>
      <c r="L147" s="53"/>
      <c r="M147" s="53"/>
      <c r="N147" s="619"/>
      <c r="O147" s="57" t="s">
        <v>534</v>
      </c>
      <c r="P147" s="53"/>
      <c r="Q147" s="53"/>
      <c r="R147" s="619"/>
      <c r="S147" s="57" t="s">
        <v>116</v>
      </c>
      <c r="T147" s="53"/>
      <c r="U147" s="53"/>
      <c r="V147" s="619"/>
      <c r="W147" s="57"/>
      <c r="X147" s="53"/>
      <c r="Y147" s="53"/>
      <c r="Z147" s="619"/>
      <c r="AA147" s="618"/>
      <c r="AB147" s="53"/>
      <c r="AC147" s="53"/>
      <c r="AD147" s="620"/>
      <c r="AE147" s="672"/>
      <c r="AF147" s="53"/>
      <c r="AG147" s="53" t="s">
        <v>28</v>
      </c>
      <c r="AH147" s="620"/>
      <c r="AI147" s="544"/>
    </row>
    <row r="148" spans="1:35" ht="21.95" customHeight="1" x14ac:dyDescent="0.2">
      <c r="A148" s="1"/>
      <c r="B148" s="72"/>
      <c r="C148" s="311"/>
      <c r="F148" s="353"/>
      <c r="G148" s="311"/>
      <c r="J148" s="353"/>
      <c r="K148" s="311"/>
      <c r="N148" s="353"/>
      <c r="O148" s="353"/>
      <c r="R148" s="353"/>
      <c r="S148" s="311"/>
      <c r="V148" s="353"/>
      <c r="W148" s="353"/>
      <c r="Z148" s="353"/>
      <c r="AA148" s="353"/>
      <c r="AD148" s="353"/>
      <c r="AE148" s="353"/>
      <c r="AH148" s="353"/>
    </row>
    <row r="149" spans="1:35" ht="21.95" customHeight="1" x14ac:dyDescent="0.2">
      <c r="A149" s="1" t="s">
        <v>683</v>
      </c>
      <c r="B149" s="72"/>
      <c r="C149" s="311"/>
      <c r="F149" s="353"/>
      <c r="G149" s="311"/>
      <c r="J149" s="353"/>
      <c r="K149" s="311"/>
      <c r="N149" s="353"/>
      <c r="O149" s="353"/>
      <c r="R149" s="353"/>
      <c r="S149" s="311"/>
      <c r="V149" s="353"/>
      <c r="W149" s="353"/>
      <c r="Z149" s="353"/>
      <c r="AA149" s="353"/>
      <c r="AD149" s="353"/>
      <c r="AE149" s="353"/>
      <c r="AH149" s="353"/>
    </row>
    <row r="150" spans="1:35" ht="21.95" customHeight="1" x14ac:dyDescent="0.2">
      <c r="A150" s="585"/>
      <c r="B150" s="296" t="s">
        <v>469</v>
      </c>
      <c r="C150" s="497">
        <v>1</v>
      </c>
      <c r="D150" s="497">
        <v>2</v>
      </c>
      <c r="E150" s="177">
        <v>3</v>
      </c>
      <c r="F150" s="177">
        <v>4</v>
      </c>
      <c r="G150" s="177">
        <v>5</v>
      </c>
      <c r="H150" s="177">
        <v>6</v>
      </c>
      <c r="I150" s="177">
        <v>7</v>
      </c>
      <c r="J150" s="497">
        <v>8</v>
      </c>
      <c r="K150" s="497">
        <v>9</v>
      </c>
      <c r="L150" s="177">
        <v>10</v>
      </c>
      <c r="M150" s="177">
        <v>11</v>
      </c>
      <c r="N150" s="177">
        <v>12</v>
      </c>
      <c r="O150" s="177">
        <v>13</v>
      </c>
      <c r="P150" s="177">
        <v>14</v>
      </c>
      <c r="Q150" s="497">
        <v>15</v>
      </c>
      <c r="R150" s="497">
        <v>16</v>
      </c>
      <c r="S150" s="177">
        <v>17</v>
      </c>
      <c r="T150" s="177">
        <v>18</v>
      </c>
      <c r="U150" s="177">
        <v>19</v>
      </c>
      <c r="V150" s="177">
        <v>20</v>
      </c>
      <c r="W150" s="177">
        <v>21</v>
      </c>
      <c r="X150" s="497">
        <v>22</v>
      </c>
      <c r="Y150" s="497">
        <v>23</v>
      </c>
      <c r="Z150" s="177">
        <v>24</v>
      </c>
      <c r="AA150" s="177">
        <v>25</v>
      </c>
      <c r="AB150" s="177">
        <v>26</v>
      </c>
      <c r="AC150" s="177">
        <v>27</v>
      </c>
      <c r="AD150" s="177">
        <v>28</v>
      </c>
      <c r="AE150" s="497">
        <v>29</v>
      </c>
      <c r="AF150" s="497">
        <v>30</v>
      </c>
      <c r="AG150" s="177">
        <v>31</v>
      </c>
      <c r="AH150" s="499" t="s">
        <v>470</v>
      </c>
      <c r="AI150" s="500" t="s">
        <v>471</v>
      </c>
    </row>
    <row r="151" spans="1:35" ht="21.95" customHeight="1" x14ac:dyDescent="0.2">
      <c r="A151" s="585"/>
      <c r="B151" s="673" t="s">
        <v>610</v>
      </c>
      <c r="C151" s="503"/>
      <c r="D151" s="503"/>
      <c r="E151" s="503" t="s">
        <v>482</v>
      </c>
      <c r="F151" s="503" t="s">
        <v>482</v>
      </c>
      <c r="G151" s="503" t="s">
        <v>482</v>
      </c>
      <c r="H151" s="503" t="s">
        <v>482</v>
      </c>
      <c r="I151" s="503" t="s">
        <v>482</v>
      </c>
      <c r="J151" s="503"/>
      <c r="K151" s="503"/>
      <c r="L151" s="503" t="s">
        <v>482</v>
      </c>
      <c r="M151" s="503" t="s">
        <v>482</v>
      </c>
      <c r="N151" s="503" t="s">
        <v>482</v>
      </c>
      <c r="O151" s="1078" t="s">
        <v>482</v>
      </c>
      <c r="P151" s="503" t="s">
        <v>482</v>
      </c>
      <c r="Q151" s="503"/>
      <c r="R151" s="503"/>
      <c r="S151" s="1059" t="s">
        <v>482</v>
      </c>
      <c r="T151" s="503" t="s">
        <v>482</v>
      </c>
      <c r="U151" s="503" t="s">
        <v>482</v>
      </c>
      <c r="V151" s="503" t="s">
        <v>482</v>
      </c>
      <c r="W151" s="1059" t="s">
        <v>482</v>
      </c>
      <c r="X151" s="503"/>
      <c r="Y151" s="503"/>
      <c r="Z151" s="503" t="s">
        <v>482</v>
      </c>
      <c r="AA151" s="503" t="s">
        <v>482</v>
      </c>
      <c r="AB151" s="503" t="s">
        <v>482</v>
      </c>
      <c r="AC151" s="1059" t="s">
        <v>482</v>
      </c>
      <c r="AD151" s="503" t="s">
        <v>482</v>
      </c>
      <c r="AE151" s="503"/>
      <c r="AF151" s="503"/>
      <c r="AG151" s="503" t="s">
        <v>482</v>
      </c>
      <c r="AH151" s="703">
        <v>44</v>
      </c>
      <c r="AI151" s="704">
        <v>37</v>
      </c>
    </row>
    <row r="152" spans="1:35" ht="21.95" customHeight="1" x14ac:dyDescent="0.2">
      <c r="A152" s="674">
        <v>8500</v>
      </c>
      <c r="B152" s="675" t="s">
        <v>156</v>
      </c>
      <c r="C152" s="503"/>
      <c r="D152" s="503"/>
      <c r="E152" s="503" t="s">
        <v>482</v>
      </c>
      <c r="F152" s="503" t="s">
        <v>482</v>
      </c>
      <c r="G152" s="503" t="s">
        <v>482</v>
      </c>
      <c r="H152" s="503" t="s">
        <v>482</v>
      </c>
      <c r="I152" s="503" t="s">
        <v>482</v>
      </c>
      <c r="J152" s="503"/>
      <c r="K152" s="503"/>
      <c r="L152" s="503" t="s">
        <v>482</v>
      </c>
      <c r="M152" s="503" t="s">
        <v>482</v>
      </c>
      <c r="N152" s="503" t="s">
        <v>482</v>
      </c>
      <c r="O152" s="1078" t="s">
        <v>482</v>
      </c>
      <c r="P152" s="503" t="s">
        <v>482</v>
      </c>
      <c r="Q152" s="503"/>
      <c r="R152" s="503"/>
      <c r="S152" s="1058" t="s">
        <v>482</v>
      </c>
      <c r="T152" s="1058" t="s">
        <v>482</v>
      </c>
      <c r="U152" s="503" t="s">
        <v>482</v>
      </c>
      <c r="V152" s="503" t="s">
        <v>482</v>
      </c>
      <c r="W152" s="503" t="s">
        <v>482</v>
      </c>
      <c r="X152" s="503"/>
      <c r="Y152" s="503"/>
      <c r="Z152" s="503" t="s">
        <v>482</v>
      </c>
      <c r="AA152" s="503" t="s">
        <v>482</v>
      </c>
      <c r="AB152" s="503" t="s">
        <v>482</v>
      </c>
      <c r="AC152" s="503" t="s">
        <v>482</v>
      </c>
      <c r="AD152" s="503" t="s">
        <v>482</v>
      </c>
      <c r="AE152" s="503"/>
      <c r="AF152" s="503"/>
      <c r="AG152" s="503" t="s">
        <v>482</v>
      </c>
      <c r="AH152" s="648">
        <v>37</v>
      </c>
      <c r="AI152" s="649">
        <v>37</v>
      </c>
    </row>
    <row r="153" spans="1:35" ht="21" customHeight="1" x14ac:dyDescent="0.2">
      <c r="A153" s="441"/>
      <c r="B153" s="673" t="s">
        <v>611</v>
      </c>
      <c r="C153" s="503"/>
      <c r="D153" s="503"/>
      <c r="E153" s="503" t="s">
        <v>482</v>
      </c>
      <c r="F153" s="503" t="s">
        <v>482</v>
      </c>
      <c r="G153" s="503" t="s">
        <v>482</v>
      </c>
      <c r="H153" s="503" t="s">
        <v>482</v>
      </c>
      <c r="I153" s="1078" t="s">
        <v>482</v>
      </c>
      <c r="J153" s="503"/>
      <c r="K153" s="503"/>
      <c r="L153" s="503" t="s">
        <v>482</v>
      </c>
      <c r="M153" s="503" t="s">
        <v>482</v>
      </c>
      <c r="N153" s="503" t="s">
        <v>482</v>
      </c>
      <c r="O153" s="503" t="s">
        <v>482</v>
      </c>
      <c r="P153" s="503" t="s">
        <v>482</v>
      </c>
      <c r="Q153" s="503"/>
      <c r="R153" s="503"/>
      <c r="S153" s="503" t="s">
        <v>482</v>
      </c>
      <c r="T153" s="503" t="s">
        <v>482</v>
      </c>
      <c r="U153" s="503" t="s">
        <v>482</v>
      </c>
      <c r="V153" s="503" t="s">
        <v>482</v>
      </c>
      <c r="W153" s="503" t="s">
        <v>482</v>
      </c>
      <c r="X153" s="503"/>
      <c r="Y153" s="503"/>
      <c r="Z153" s="503" t="s">
        <v>482</v>
      </c>
      <c r="AA153" s="503" t="s">
        <v>482</v>
      </c>
      <c r="AB153" s="503" t="s">
        <v>482</v>
      </c>
      <c r="AC153" s="503" t="s">
        <v>482</v>
      </c>
      <c r="AD153" s="503" t="s">
        <v>482</v>
      </c>
      <c r="AE153" s="503"/>
      <c r="AF153" s="503"/>
      <c r="AG153" s="503" t="s">
        <v>482</v>
      </c>
      <c r="AH153" s="648">
        <v>67</v>
      </c>
      <c r="AI153" s="649">
        <v>37</v>
      </c>
    </row>
    <row r="154" spans="1:35" ht="21" customHeight="1" x14ac:dyDescent="0.2">
      <c r="A154" s="441"/>
      <c r="B154" s="673" t="s">
        <v>613</v>
      </c>
      <c r="C154" s="503"/>
      <c r="D154" s="503"/>
      <c r="E154" s="503" t="s">
        <v>482</v>
      </c>
      <c r="F154" s="503" t="s">
        <v>482</v>
      </c>
      <c r="G154" s="503" t="s">
        <v>482</v>
      </c>
      <c r="H154" s="503" t="s">
        <v>482</v>
      </c>
      <c r="I154" s="503" t="s">
        <v>482</v>
      </c>
      <c r="J154" s="503"/>
      <c r="K154" s="503"/>
      <c r="L154" s="503" t="s">
        <v>482</v>
      </c>
      <c r="M154" s="503" t="s">
        <v>482</v>
      </c>
      <c r="N154" s="503" t="s">
        <v>482</v>
      </c>
      <c r="O154" s="503" t="s">
        <v>482</v>
      </c>
      <c r="P154" s="503" t="s">
        <v>482</v>
      </c>
      <c r="Q154" s="503"/>
      <c r="R154" s="503"/>
      <c r="S154" s="503" t="s">
        <v>482</v>
      </c>
      <c r="T154" s="503" t="s">
        <v>482</v>
      </c>
      <c r="U154" s="1059" t="s">
        <v>482</v>
      </c>
      <c r="V154" s="1059" t="s">
        <v>482</v>
      </c>
      <c r="W154" s="1059" t="s">
        <v>482</v>
      </c>
      <c r="X154" s="503"/>
      <c r="Y154" s="503"/>
      <c r="Z154" s="503" t="s">
        <v>482</v>
      </c>
      <c r="AA154" s="503" t="s">
        <v>482</v>
      </c>
      <c r="AB154" s="503" t="s">
        <v>482</v>
      </c>
      <c r="AC154" s="503" t="s">
        <v>482</v>
      </c>
      <c r="AD154" s="503" t="s">
        <v>482</v>
      </c>
      <c r="AE154" s="503"/>
      <c r="AF154" s="503"/>
      <c r="AG154" s="503" t="s">
        <v>482</v>
      </c>
      <c r="AH154" s="648">
        <v>15</v>
      </c>
      <c r="AI154" s="649">
        <v>37</v>
      </c>
    </row>
    <row r="155" spans="1:35" ht="21" customHeight="1" x14ac:dyDescent="0.2">
      <c r="A155" s="441">
        <v>8521</v>
      </c>
      <c r="B155" s="673" t="s">
        <v>614</v>
      </c>
      <c r="C155" s="503"/>
      <c r="D155" s="503"/>
      <c r="E155" s="503" t="s">
        <v>482</v>
      </c>
      <c r="F155" s="503" t="s">
        <v>482</v>
      </c>
      <c r="G155" s="503" t="s">
        <v>482</v>
      </c>
      <c r="H155" s="503" t="s">
        <v>482</v>
      </c>
      <c r="I155" s="503" t="s">
        <v>482</v>
      </c>
      <c r="J155" s="503"/>
      <c r="K155" s="503"/>
      <c r="L155" s="503" t="s">
        <v>482</v>
      </c>
      <c r="M155" s="503" t="s">
        <v>482</v>
      </c>
      <c r="N155" s="503" t="s">
        <v>482</v>
      </c>
      <c r="O155" s="503" t="s">
        <v>482</v>
      </c>
      <c r="P155" s="503" t="s">
        <v>482</v>
      </c>
      <c r="Q155" s="503"/>
      <c r="R155" s="503"/>
      <c r="S155" s="503" t="s">
        <v>482</v>
      </c>
      <c r="T155" s="503" t="s">
        <v>482</v>
      </c>
      <c r="U155" s="503" t="s">
        <v>482</v>
      </c>
      <c r="V155" s="503" t="s">
        <v>482</v>
      </c>
      <c r="W155" s="503" t="s">
        <v>482</v>
      </c>
      <c r="X155" s="503"/>
      <c r="Y155" s="503"/>
      <c r="Z155" s="503" t="s">
        <v>482</v>
      </c>
      <c r="AA155" s="503" t="s">
        <v>482</v>
      </c>
      <c r="AB155" s="503" t="s">
        <v>482</v>
      </c>
      <c r="AC155" s="503" t="s">
        <v>482</v>
      </c>
      <c r="AD155" s="503" t="s">
        <v>482</v>
      </c>
      <c r="AE155" s="503"/>
      <c r="AF155" s="503"/>
      <c r="AG155" s="503" t="s">
        <v>482</v>
      </c>
      <c r="AH155" s="648">
        <v>88</v>
      </c>
      <c r="AI155" s="649">
        <v>37</v>
      </c>
    </row>
    <row r="156" spans="1:35" ht="21" customHeight="1" x14ac:dyDescent="0.2">
      <c r="A156" s="441"/>
      <c r="B156" s="676" t="s">
        <v>615</v>
      </c>
      <c r="C156" s="503"/>
      <c r="D156" s="503"/>
      <c r="E156" s="503" t="s">
        <v>482</v>
      </c>
      <c r="F156" s="1084">
        <v>2</v>
      </c>
      <c r="G156" s="503" t="s">
        <v>482</v>
      </c>
      <c r="H156" s="503" t="s">
        <v>482</v>
      </c>
      <c r="I156" s="503" t="s">
        <v>482</v>
      </c>
      <c r="J156" s="503"/>
      <c r="K156" s="503"/>
      <c r="L156" s="503" t="s">
        <v>482</v>
      </c>
      <c r="M156" s="503" t="s">
        <v>482</v>
      </c>
      <c r="N156" s="503" t="s">
        <v>482</v>
      </c>
      <c r="O156" s="521" t="s">
        <v>552</v>
      </c>
      <c r="P156" s="503" t="s">
        <v>482</v>
      </c>
      <c r="Q156" s="503"/>
      <c r="R156" s="503"/>
      <c r="S156" s="503" t="s">
        <v>482</v>
      </c>
      <c r="T156" s="503" t="s">
        <v>482</v>
      </c>
      <c r="U156" s="503" t="s">
        <v>482</v>
      </c>
      <c r="V156" s="1058" t="s">
        <v>482</v>
      </c>
      <c r="W156" s="1058" t="s">
        <v>482</v>
      </c>
      <c r="X156" s="503"/>
      <c r="Y156" s="503"/>
      <c r="Z156" s="503" t="s">
        <v>482</v>
      </c>
      <c r="AA156" s="503" t="s">
        <v>482</v>
      </c>
      <c r="AB156" s="503" t="s">
        <v>482</v>
      </c>
      <c r="AC156" s="503" t="s">
        <v>482</v>
      </c>
      <c r="AD156" s="1104" t="s">
        <v>617</v>
      </c>
      <c r="AE156" s="503"/>
      <c r="AF156" s="503"/>
      <c r="AG156" s="503" t="s">
        <v>482</v>
      </c>
      <c r="AH156" s="648">
        <v>59</v>
      </c>
      <c r="AI156" s="649">
        <v>37</v>
      </c>
    </row>
    <row r="157" spans="1:35" ht="21" customHeight="1" x14ac:dyDescent="0.2">
      <c r="A157" s="441">
        <v>8514</v>
      </c>
      <c r="B157" s="673" t="s">
        <v>433</v>
      </c>
      <c r="C157" s="503"/>
      <c r="D157" s="503"/>
      <c r="E157" s="503" t="s">
        <v>482</v>
      </c>
      <c r="F157" s="503" t="s">
        <v>482</v>
      </c>
      <c r="G157" s="503" t="s">
        <v>482</v>
      </c>
      <c r="H157" s="503" t="s">
        <v>482</v>
      </c>
      <c r="I157" s="503" t="s">
        <v>482</v>
      </c>
      <c r="J157" s="503"/>
      <c r="K157" s="503"/>
      <c r="L157" s="503" t="s">
        <v>482</v>
      </c>
      <c r="M157" s="503" t="s">
        <v>482</v>
      </c>
      <c r="N157" s="503" t="s">
        <v>482</v>
      </c>
      <c r="O157" s="503" t="s">
        <v>482</v>
      </c>
      <c r="P157" s="503" t="s">
        <v>482</v>
      </c>
      <c r="Q157" s="503"/>
      <c r="R157" s="503"/>
      <c r="S157" s="503" t="s">
        <v>482</v>
      </c>
      <c r="T157" s="503" t="s">
        <v>482</v>
      </c>
      <c r="U157" s="503" t="s">
        <v>482</v>
      </c>
      <c r="V157" s="503" t="s">
        <v>482</v>
      </c>
      <c r="W157" s="503" t="s">
        <v>482</v>
      </c>
      <c r="X157" s="503"/>
      <c r="Y157" s="503"/>
      <c r="Z157" s="503" t="s">
        <v>482</v>
      </c>
      <c r="AA157" s="503" t="s">
        <v>482</v>
      </c>
      <c r="AB157" s="503" t="s">
        <v>482</v>
      </c>
      <c r="AC157" s="503" t="s">
        <v>482</v>
      </c>
      <c r="AD157" s="503" t="s">
        <v>482</v>
      </c>
      <c r="AE157" s="503"/>
      <c r="AF157" s="503"/>
      <c r="AG157" s="503" t="s">
        <v>482</v>
      </c>
      <c r="AH157" s="648">
        <v>72</v>
      </c>
      <c r="AI157" s="649">
        <v>37</v>
      </c>
    </row>
    <row r="158" spans="1:35" ht="21.95" customHeight="1" x14ac:dyDescent="0.2">
      <c r="A158" s="441">
        <v>3701</v>
      </c>
      <c r="B158" s="673" t="s">
        <v>431</v>
      </c>
      <c r="C158" s="503"/>
      <c r="D158" s="503"/>
      <c r="E158" s="503" t="s">
        <v>482</v>
      </c>
      <c r="F158" s="503" t="s">
        <v>482</v>
      </c>
      <c r="G158" s="503" t="s">
        <v>482</v>
      </c>
      <c r="H158" s="503" t="s">
        <v>482</v>
      </c>
      <c r="I158" s="503" t="s">
        <v>482</v>
      </c>
      <c r="J158" s="503"/>
      <c r="K158" s="503"/>
      <c r="L158" s="1058" t="s">
        <v>482</v>
      </c>
      <c r="M158" s="503" t="s">
        <v>482</v>
      </c>
      <c r="N158" s="503" t="s">
        <v>482</v>
      </c>
      <c r="O158" s="503" t="s">
        <v>482</v>
      </c>
      <c r="P158" s="503" t="s">
        <v>482</v>
      </c>
      <c r="Q158" s="503"/>
      <c r="R158" s="503"/>
      <c r="S158" s="1058" t="s">
        <v>482</v>
      </c>
      <c r="T158" s="1058" t="s">
        <v>482</v>
      </c>
      <c r="U158" s="1058" t="s">
        <v>482</v>
      </c>
      <c r="V158" s="1058" t="s">
        <v>482</v>
      </c>
      <c r="W158" s="1058" t="s">
        <v>482</v>
      </c>
      <c r="X158" s="503"/>
      <c r="Y158" s="503"/>
      <c r="Z158" s="503" t="s">
        <v>482</v>
      </c>
      <c r="AA158" s="503" t="s">
        <v>482</v>
      </c>
      <c r="AB158" s="503" t="s">
        <v>482</v>
      </c>
      <c r="AC158" s="503" t="s">
        <v>482</v>
      </c>
      <c r="AD158" s="503" t="s">
        <v>482</v>
      </c>
      <c r="AE158" s="503"/>
      <c r="AF158" s="503"/>
      <c r="AG158" s="503" t="s">
        <v>482</v>
      </c>
      <c r="AH158" s="648">
        <v>82</v>
      </c>
      <c r="AI158" s="649">
        <v>37</v>
      </c>
    </row>
    <row r="159" spans="1:35" ht="21.95" customHeight="1" x14ac:dyDescent="0.2">
      <c r="A159" s="441">
        <v>3701</v>
      </c>
      <c r="B159" s="673" t="s">
        <v>434</v>
      </c>
      <c r="C159" s="503"/>
      <c r="D159" s="503"/>
      <c r="E159" s="503">
        <v>19</v>
      </c>
      <c r="F159" s="1440">
        <v>19</v>
      </c>
      <c r="G159" s="1440">
        <v>19</v>
      </c>
      <c r="H159" s="1440">
        <v>19</v>
      </c>
      <c r="I159" s="1497">
        <v>17</v>
      </c>
      <c r="J159" s="503"/>
      <c r="K159" s="503"/>
      <c r="L159" s="1059" t="s">
        <v>482</v>
      </c>
      <c r="M159" s="1059" t="s">
        <v>482</v>
      </c>
      <c r="N159" s="1081" t="s">
        <v>482</v>
      </c>
      <c r="O159" s="1081" t="s">
        <v>482</v>
      </c>
      <c r="P159" s="1081" t="s">
        <v>482</v>
      </c>
      <c r="Q159" s="503"/>
      <c r="R159" s="503"/>
      <c r="S159" s="503" t="s">
        <v>552</v>
      </c>
      <c r="T159" s="1440" t="s">
        <v>552</v>
      </c>
      <c r="U159" s="1440" t="s">
        <v>552</v>
      </c>
      <c r="V159" s="1497" t="s">
        <v>552</v>
      </c>
      <c r="W159" s="1440" t="s">
        <v>552</v>
      </c>
      <c r="X159" s="503"/>
      <c r="Y159" s="503"/>
      <c r="Z159" s="1104" t="s">
        <v>482</v>
      </c>
      <c r="AA159" s="1104" t="s">
        <v>482</v>
      </c>
      <c r="AB159" s="1104" t="s">
        <v>482</v>
      </c>
      <c r="AC159" s="1104" t="s">
        <v>482</v>
      </c>
      <c r="AD159" s="1104" t="s">
        <v>482</v>
      </c>
      <c r="AE159" s="1104"/>
      <c r="AF159" s="1104"/>
      <c r="AG159" s="1104" t="s">
        <v>482</v>
      </c>
      <c r="AH159" s="648">
        <v>22</v>
      </c>
      <c r="AI159" s="649">
        <v>0</v>
      </c>
    </row>
    <row r="160" spans="1:35" ht="21.95" customHeight="1" x14ac:dyDescent="0.2">
      <c r="A160" s="441">
        <v>3701</v>
      </c>
      <c r="B160" s="673" t="s">
        <v>436</v>
      </c>
      <c r="C160" s="503"/>
      <c r="D160" s="503"/>
      <c r="E160" s="503" t="s">
        <v>482</v>
      </c>
      <c r="F160" s="503" t="s">
        <v>482</v>
      </c>
      <c r="G160" s="503" t="s">
        <v>482</v>
      </c>
      <c r="H160" s="503" t="s">
        <v>482</v>
      </c>
      <c r="I160" s="503" t="s">
        <v>482</v>
      </c>
      <c r="J160" s="503"/>
      <c r="K160" s="503"/>
      <c r="L160" s="503" t="s">
        <v>482</v>
      </c>
      <c r="M160" s="503" t="s">
        <v>482</v>
      </c>
      <c r="N160" s="503" t="s">
        <v>482</v>
      </c>
      <c r="O160" s="503" t="s">
        <v>482</v>
      </c>
      <c r="P160" s="503" t="s">
        <v>482</v>
      </c>
      <c r="Q160" s="503"/>
      <c r="R160" s="503"/>
      <c r="S160" s="503" t="s">
        <v>482</v>
      </c>
      <c r="T160" s="503" t="s">
        <v>482</v>
      </c>
      <c r="U160" s="1058" t="s">
        <v>482</v>
      </c>
      <c r="V160" s="503" t="s">
        <v>482</v>
      </c>
      <c r="W160" s="503" t="s">
        <v>482</v>
      </c>
      <c r="X160" s="503"/>
      <c r="Y160" s="503"/>
      <c r="Z160" s="503">
        <v>19</v>
      </c>
      <c r="AA160" s="1440">
        <v>19</v>
      </c>
      <c r="AB160" s="1440">
        <v>19</v>
      </c>
      <c r="AC160" s="1440">
        <v>19</v>
      </c>
      <c r="AD160" s="1440">
        <v>17</v>
      </c>
      <c r="AE160" s="503"/>
      <c r="AF160" s="503"/>
      <c r="AG160" s="503" t="s">
        <v>482</v>
      </c>
      <c r="AH160" s="648">
        <v>74</v>
      </c>
      <c r="AI160" s="649">
        <v>37</v>
      </c>
    </row>
    <row r="161" spans="1:35" ht="21.95" customHeight="1" x14ac:dyDescent="0.2">
      <c r="A161" s="441">
        <v>3701</v>
      </c>
      <c r="B161" s="673" t="s">
        <v>437</v>
      </c>
      <c r="C161" s="503"/>
      <c r="D161" s="503"/>
      <c r="E161" s="503" t="s">
        <v>482</v>
      </c>
      <c r="F161" s="503" t="s">
        <v>482</v>
      </c>
      <c r="G161" s="503" t="s">
        <v>482</v>
      </c>
      <c r="H161" s="503" t="s">
        <v>482</v>
      </c>
      <c r="I161" s="503" t="s">
        <v>482</v>
      </c>
      <c r="J161" s="503"/>
      <c r="K161" s="503"/>
      <c r="L161" s="503" t="s">
        <v>552</v>
      </c>
      <c r="M161" s="1440" t="s">
        <v>552</v>
      </c>
      <c r="N161" s="1440" t="s">
        <v>552</v>
      </c>
      <c r="O161" s="1440" t="s">
        <v>552</v>
      </c>
      <c r="P161" s="1440" t="s">
        <v>552</v>
      </c>
      <c r="Q161" s="503"/>
      <c r="R161" s="503"/>
      <c r="S161" s="1058" t="s">
        <v>482</v>
      </c>
      <c r="T161" s="1058" t="s">
        <v>482</v>
      </c>
      <c r="U161" s="503" t="s">
        <v>482</v>
      </c>
      <c r="V161" s="503" t="s">
        <v>482</v>
      </c>
      <c r="W161" s="503" t="s">
        <v>482</v>
      </c>
      <c r="X161" s="503"/>
      <c r="Y161" s="503"/>
      <c r="Z161" s="503" t="s">
        <v>482</v>
      </c>
      <c r="AA161" s="503" t="s">
        <v>482</v>
      </c>
      <c r="AB161" s="503" t="s">
        <v>482</v>
      </c>
      <c r="AC161" s="503" t="s">
        <v>482</v>
      </c>
      <c r="AD161" s="503" t="s">
        <v>482</v>
      </c>
      <c r="AE161" s="503"/>
      <c r="AF161" s="503"/>
      <c r="AG161" s="503" t="s">
        <v>482</v>
      </c>
      <c r="AH161" s="648">
        <v>37</v>
      </c>
      <c r="AI161" s="649">
        <v>37</v>
      </c>
    </row>
    <row r="162" spans="1:35" ht="21.95" customHeight="1" x14ac:dyDescent="0.2">
      <c r="A162" s="441">
        <v>3701</v>
      </c>
      <c r="B162" s="673" t="s">
        <v>618</v>
      </c>
      <c r="C162" s="503"/>
      <c r="D162" s="503"/>
      <c r="E162" s="503" t="s">
        <v>482</v>
      </c>
      <c r="F162" s="1058" t="s">
        <v>482</v>
      </c>
      <c r="G162" s="503" t="s">
        <v>482</v>
      </c>
      <c r="H162" s="503" t="s">
        <v>482</v>
      </c>
      <c r="I162" s="503" t="s">
        <v>482</v>
      </c>
      <c r="J162" s="503"/>
      <c r="K162" s="503"/>
      <c r="L162" s="503">
        <v>19</v>
      </c>
      <c r="M162" s="1440">
        <v>19</v>
      </c>
      <c r="N162" s="1440">
        <v>19</v>
      </c>
      <c r="O162" s="1440">
        <v>19</v>
      </c>
      <c r="P162" s="1440">
        <v>17</v>
      </c>
      <c r="Q162" s="503"/>
      <c r="R162" s="503"/>
      <c r="S162" s="1058" t="s">
        <v>482</v>
      </c>
      <c r="T162" s="1058" t="s">
        <v>482</v>
      </c>
      <c r="U162" s="1058" t="s">
        <v>482</v>
      </c>
      <c r="V162" s="1539" t="s">
        <v>482</v>
      </c>
      <c r="W162" s="1058" t="s">
        <v>482</v>
      </c>
      <c r="X162" s="503"/>
      <c r="Y162" s="503"/>
      <c r="Z162" s="503" t="s">
        <v>552</v>
      </c>
      <c r="AA162" s="1440" t="s">
        <v>552</v>
      </c>
      <c r="AB162" s="1440" t="s">
        <v>552</v>
      </c>
      <c r="AC162" s="1440" t="s">
        <v>552</v>
      </c>
      <c r="AD162" s="1440" t="s">
        <v>552</v>
      </c>
      <c r="AE162" s="503"/>
      <c r="AF162" s="503"/>
      <c r="AG162" s="503" t="s">
        <v>482</v>
      </c>
      <c r="AH162" s="648">
        <v>50</v>
      </c>
      <c r="AI162" s="649">
        <v>37</v>
      </c>
    </row>
    <row r="163" spans="1:35" ht="21.95" customHeight="1" x14ac:dyDescent="0.2">
      <c r="A163" s="441">
        <v>3701</v>
      </c>
      <c r="B163" s="552" t="s">
        <v>619</v>
      </c>
      <c r="C163" s="503"/>
      <c r="D163" s="503"/>
      <c r="E163" s="503" t="s">
        <v>552</v>
      </c>
      <c r="F163" s="1440" t="s">
        <v>552</v>
      </c>
      <c r="G163" s="1440" t="s">
        <v>552</v>
      </c>
      <c r="H163" s="1440" t="s">
        <v>552</v>
      </c>
      <c r="I163" s="1440" t="s">
        <v>552</v>
      </c>
      <c r="J163" s="503"/>
      <c r="K163" s="503"/>
      <c r="L163" s="503" t="s">
        <v>482</v>
      </c>
      <c r="M163" s="503" t="s">
        <v>482</v>
      </c>
      <c r="N163" s="503" t="s">
        <v>482</v>
      </c>
      <c r="O163" s="503" t="s">
        <v>482</v>
      </c>
      <c r="P163" s="503" t="s">
        <v>482</v>
      </c>
      <c r="Q163" s="503"/>
      <c r="R163" s="503"/>
      <c r="S163" s="503" t="s">
        <v>482</v>
      </c>
      <c r="T163" s="1058" t="s">
        <v>482</v>
      </c>
      <c r="U163" s="503" t="s">
        <v>482</v>
      </c>
      <c r="V163" s="503" t="s">
        <v>482</v>
      </c>
      <c r="W163" s="503" t="s">
        <v>482</v>
      </c>
      <c r="X163" s="503"/>
      <c r="Y163" s="503"/>
      <c r="Z163" s="503" t="s">
        <v>482</v>
      </c>
      <c r="AA163" s="503" t="s">
        <v>482</v>
      </c>
      <c r="AB163" s="503" t="s">
        <v>482</v>
      </c>
      <c r="AC163" s="503" t="s">
        <v>482</v>
      </c>
      <c r="AD163" s="503" t="s">
        <v>482</v>
      </c>
      <c r="AE163" s="503"/>
      <c r="AF163" s="503"/>
      <c r="AG163" s="503">
        <v>19</v>
      </c>
      <c r="AH163" s="648">
        <v>37</v>
      </c>
      <c r="AI163" s="649">
        <v>37</v>
      </c>
    </row>
    <row r="164" spans="1:35" ht="21.95" customHeight="1" x14ac:dyDescent="0.2">
      <c r="A164" s="441">
        <v>3701</v>
      </c>
      <c r="B164" s="1434" t="s">
        <v>620</v>
      </c>
      <c r="C164" s="503"/>
      <c r="D164" s="503"/>
      <c r="E164" s="503" t="s">
        <v>482</v>
      </c>
      <c r="F164" s="503" t="s">
        <v>482</v>
      </c>
      <c r="G164" s="503" t="s">
        <v>482</v>
      </c>
      <c r="H164" s="503" t="s">
        <v>482</v>
      </c>
      <c r="I164" s="503" t="s">
        <v>482</v>
      </c>
      <c r="J164" s="503"/>
      <c r="K164" s="503"/>
      <c r="L164" s="1078" t="s">
        <v>482</v>
      </c>
      <c r="M164" s="1078" t="s">
        <v>482</v>
      </c>
      <c r="N164" s="1078" t="s">
        <v>482</v>
      </c>
      <c r="O164" s="503" t="s">
        <v>482</v>
      </c>
      <c r="P164" s="503" t="s">
        <v>482</v>
      </c>
      <c r="Q164" s="503"/>
      <c r="R164" s="503"/>
      <c r="S164" s="503">
        <v>19</v>
      </c>
      <c r="T164" s="1440">
        <v>19</v>
      </c>
      <c r="U164" s="1497">
        <v>19</v>
      </c>
      <c r="V164" s="1440">
        <v>19</v>
      </c>
      <c r="W164" s="1440">
        <v>17</v>
      </c>
      <c r="X164" s="503"/>
      <c r="Y164" s="503"/>
      <c r="Z164" s="503" t="s">
        <v>482</v>
      </c>
      <c r="AA164" s="503" t="s">
        <v>482</v>
      </c>
      <c r="AB164" s="503" t="s">
        <v>482</v>
      </c>
      <c r="AC164" s="503" t="s">
        <v>482</v>
      </c>
      <c r="AD164" s="503" t="s">
        <v>482</v>
      </c>
      <c r="AE164" s="503"/>
      <c r="AF164" s="503"/>
      <c r="AG164" s="503" t="s">
        <v>552</v>
      </c>
      <c r="AH164" s="648">
        <v>74</v>
      </c>
      <c r="AI164" s="649">
        <v>37</v>
      </c>
    </row>
    <row r="165" spans="1:35" ht="21.95" customHeight="1" x14ac:dyDescent="0.2">
      <c r="A165" s="1433">
        <v>3701</v>
      </c>
      <c r="B165" s="552" t="s">
        <v>621</v>
      </c>
      <c r="C165" s="503"/>
      <c r="D165" s="503"/>
      <c r="E165" s="503" t="s">
        <v>482</v>
      </c>
      <c r="F165" s="503" t="s">
        <v>482</v>
      </c>
      <c r="G165" s="503" t="s">
        <v>482</v>
      </c>
      <c r="H165" s="503" t="s">
        <v>482</v>
      </c>
      <c r="I165" s="503" t="s">
        <v>482</v>
      </c>
      <c r="J165" s="503"/>
      <c r="K165" s="503"/>
      <c r="L165" s="503" t="s">
        <v>482</v>
      </c>
      <c r="M165" s="503" t="s">
        <v>482</v>
      </c>
      <c r="N165" s="1081" t="s">
        <v>482</v>
      </c>
      <c r="O165" s="503" t="s">
        <v>482</v>
      </c>
      <c r="P165" s="503" t="s">
        <v>482</v>
      </c>
      <c r="Q165" s="503"/>
      <c r="R165" s="503"/>
      <c r="S165" s="1059" t="s">
        <v>482</v>
      </c>
      <c r="T165" s="1059" t="s">
        <v>482</v>
      </c>
      <c r="U165" s="1059" t="s">
        <v>482</v>
      </c>
      <c r="V165" s="1059" t="s">
        <v>482</v>
      </c>
      <c r="W165" s="1059" t="s">
        <v>482</v>
      </c>
      <c r="X165" s="1059"/>
      <c r="Y165" s="1059"/>
      <c r="Z165" s="503" t="s">
        <v>482</v>
      </c>
      <c r="AA165" s="503" t="s">
        <v>482</v>
      </c>
      <c r="AB165" s="503" t="s">
        <v>482</v>
      </c>
      <c r="AC165" s="503" t="s">
        <v>482</v>
      </c>
      <c r="AD165" s="503" t="s">
        <v>482</v>
      </c>
      <c r="AE165" s="503"/>
      <c r="AF165" s="503"/>
      <c r="AG165" s="503" t="s">
        <v>482</v>
      </c>
      <c r="AH165" s="648">
        <v>35</v>
      </c>
      <c r="AI165" s="649">
        <v>29</v>
      </c>
    </row>
    <row r="166" spans="1:35" ht="21.95" customHeight="1" x14ac:dyDescent="0.2">
      <c r="A166" s="441">
        <v>3701</v>
      </c>
      <c r="B166" s="673" t="s">
        <v>622</v>
      </c>
      <c r="C166" s="503"/>
      <c r="D166" s="503"/>
      <c r="E166" s="503" t="s">
        <v>482</v>
      </c>
      <c r="F166" s="1081" t="s">
        <v>482</v>
      </c>
      <c r="G166" s="503" t="s">
        <v>482</v>
      </c>
      <c r="H166" s="503" t="s">
        <v>482</v>
      </c>
      <c r="I166" s="503" t="s">
        <v>482</v>
      </c>
      <c r="J166" s="503"/>
      <c r="K166" s="503"/>
      <c r="L166" s="503" t="s">
        <v>482</v>
      </c>
      <c r="M166" s="503" t="s">
        <v>482</v>
      </c>
      <c r="N166" s="503" t="s">
        <v>482</v>
      </c>
      <c r="O166" s="503" t="s">
        <v>482</v>
      </c>
      <c r="P166" s="503" t="s">
        <v>482</v>
      </c>
      <c r="Q166" s="503"/>
      <c r="R166" s="503"/>
      <c r="S166" s="503" t="s">
        <v>482</v>
      </c>
      <c r="T166" s="503" t="s">
        <v>482</v>
      </c>
      <c r="U166" s="1059" t="s">
        <v>482</v>
      </c>
      <c r="V166" s="1059" t="s">
        <v>482</v>
      </c>
      <c r="W166" s="503" t="s">
        <v>482</v>
      </c>
      <c r="X166" s="503"/>
      <c r="Y166" s="503"/>
      <c r="Z166" s="503" t="s">
        <v>482</v>
      </c>
      <c r="AA166" s="503" t="s">
        <v>482</v>
      </c>
      <c r="AB166" s="503" t="s">
        <v>482</v>
      </c>
      <c r="AC166" s="503" t="s">
        <v>482</v>
      </c>
      <c r="AD166" s="503" t="s">
        <v>482</v>
      </c>
      <c r="AE166" s="503"/>
      <c r="AF166" s="503"/>
      <c r="AG166" s="503" t="s">
        <v>482</v>
      </c>
      <c r="AH166" s="648">
        <v>97</v>
      </c>
      <c r="AI166" s="649">
        <v>29</v>
      </c>
    </row>
    <row r="167" spans="1:35" ht="21.95" customHeight="1" x14ac:dyDescent="0.2">
      <c r="A167" s="441">
        <v>3701</v>
      </c>
      <c r="B167" s="1108" t="s">
        <v>623</v>
      </c>
      <c r="C167" s="1109"/>
      <c r="D167" s="1109"/>
      <c r="E167" s="1109" t="s">
        <v>482</v>
      </c>
      <c r="F167" s="1109" t="s">
        <v>482</v>
      </c>
      <c r="G167" s="1109" t="s">
        <v>482</v>
      </c>
      <c r="H167" s="1109" t="s">
        <v>482</v>
      </c>
      <c r="I167" s="1109" t="s">
        <v>482</v>
      </c>
      <c r="J167" s="1109"/>
      <c r="K167" s="1109"/>
      <c r="L167" s="1109" t="s">
        <v>482</v>
      </c>
      <c r="M167" s="1109" t="s">
        <v>482</v>
      </c>
      <c r="N167" s="1109" t="s">
        <v>482</v>
      </c>
      <c r="O167" s="1109" t="s">
        <v>482</v>
      </c>
      <c r="P167" s="1109" t="s">
        <v>482</v>
      </c>
      <c r="Q167" s="1109"/>
      <c r="R167" s="1109"/>
      <c r="S167" s="1109" t="s">
        <v>482</v>
      </c>
      <c r="T167" s="1109" t="s">
        <v>482</v>
      </c>
      <c r="U167" s="1503" t="s">
        <v>617</v>
      </c>
      <c r="V167" s="1109" t="s">
        <v>482</v>
      </c>
      <c r="W167" s="1109" t="s">
        <v>482</v>
      </c>
      <c r="X167" s="1109"/>
      <c r="Y167" s="1109"/>
      <c r="Z167" s="1491" t="s">
        <v>482</v>
      </c>
      <c r="AA167" s="1491" t="s">
        <v>482</v>
      </c>
      <c r="AB167" s="1491" t="s">
        <v>482</v>
      </c>
      <c r="AC167" s="1491" t="s">
        <v>482</v>
      </c>
      <c r="AD167" s="1491" t="s">
        <v>482</v>
      </c>
      <c r="AE167" s="1491"/>
      <c r="AF167" s="1491"/>
      <c r="AG167" s="1109" t="s">
        <v>482</v>
      </c>
      <c r="AH167" s="648">
        <v>37</v>
      </c>
      <c r="AI167" s="649">
        <v>31</v>
      </c>
    </row>
    <row r="168" spans="1:35" ht="21.95" customHeight="1" x14ac:dyDescent="0.2">
      <c r="A168" s="547">
        <v>3701</v>
      </c>
      <c r="B168" s="1111" t="s">
        <v>735</v>
      </c>
      <c r="C168" s="1112"/>
      <c r="D168" s="1112"/>
      <c r="E168" s="1112" t="s">
        <v>482</v>
      </c>
      <c r="F168" s="1112" t="s">
        <v>482</v>
      </c>
      <c r="G168" s="1112" t="s">
        <v>482</v>
      </c>
      <c r="H168" s="1112" t="s">
        <v>482</v>
      </c>
      <c r="I168" s="1112" t="s">
        <v>482</v>
      </c>
      <c r="J168" s="1112"/>
      <c r="K168" s="1112"/>
      <c r="L168" s="1112" t="s">
        <v>482</v>
      </c>
      <c r="M168" s="1112" t="s">
        <v>482</v>
      </c>
      <c r="N168" s="1112" t="s">
        <v>482</v>
      </c>
      <c r="O168" s="1112" t="s">
        <v>482</v>
      </c>
      <c r="P168" s="1112" t="s">
        <v>482</v>
      </c>
      <c r="Q168" s="1112"/>
      <c r="R168" s="1112"/>
      <c r="S168" s="1112" t="s">
        <v>482</v>
      </c>
      <c r="T168" s="1112" t="s">
        <v>482</v>
      </c>
      <c r="U168" s="1112" t="s">
        <v>482</v>
      </c>
      <c r="V168" s="1112" t="s">
        <v>482</v>
      </c>
      <c r="W168" s="1112" t="s">
        <v>482</v>
      </c>
      <c r="X168" s="1112"/>
      <c r="Y168" s="1112"/>
      <c r="Z168" s="1112" t="s">
        <v>482</v>
      </c>
      <c r="AA168" s="1112" t="s">
        <v>482</v>
      </c>
      <c r="AB168" s="1112" t="s">
        <v>482</v>
      </c>
      <c r="AC168" s="1112" t="s">
        <v>482</v>
      </c>
      <c r="AD168" s="1112" t="s">
        <v>482</v>
      </c>
      <c r="AE168" s="1112"/>
      <c r="AF168" s="1112"/>
      <c r="AG168" s="1112" t="s">
        <v>482</v>
      </c>
      <c r="AH168" s="1113"/>
      <c r="AI168" s="1113"/>
    </row>
    <row r="169" spans="1:35" ht="21.95" customHeight="1" x14ac:dyDescent="0.2">
      <c r="A169" s="1433"/>
      <c r="B169" s="1111"/>
      <c r="C169" s="1112"/>
      <c r="D169" s="1112"/>
      <c r="E169" s="1112"/>
      <c r="F169" s="1112"/>
      <c r="G169" s="1112"/>
      <c r="H169" s="1112"/>
      <c r="I169" s="1112"/>
      <c r="J169" s="1112"/>
      <c r="K169" s="1112"/>
      <c r="L169" s="1112"/>
      <c r="M169" s="1112"/>
      <c r="N169" s="1112"/>
      <c r="O169" s="1112"/>
      <c r="P169" s="1112"/>
      <c r="Q169" s="1112"/>
      <c r="R169" s="1112"/>
      <c r="S169" s="1112"/>
      <c r="T169" s="1112"/>
      <c r="U169" s="1112"/>
      <c r="V169" s="1112"/>
      <c r="W169" s="1112"/>
      <c r="X169" s="1112"/>
      <c r="Y169" s="1112"/>
      <c r="Z169" s="1112"/>
      <c r="AA169" s="1112"/>
      <c r="AB169" s="1112"/>
      <c r="AC169" s="1112"/>
      <c r="AD169" s="1112"/>
      <c r="AE169" s="1112"/>
      <c r="AF169" s="1112"/>
      <c r="AG169" s="1112"/>
      <c r="AH169" s="1113"/>
      <c r="AI169" s="1113"/>
    </row>
    <row r="170" spans="1:35" ht="21.95" customHeight="1" x14ac:dyDescent="0.2">
      <c r="A170" s="621"/>
      <c r="B170" s="677"/>
      <c r="C170" s="525"/>
      <c r="D170" s="525"/>
      <c r="E170" s="525"/>
      <c r="F170" s="525"/>
      <c r="G170" s="525"/>
      <c r="H170" s="525"/>
      <c r="I170" s="525"/>
      <c r="J170" s="525"/>
      <c r="K170" s="525"/>
      <c r="L170" s="525"/>
      <c r="M170" s="525"/>
      <c r="N170" s="525"/>
      <c r="O170" s="525"/>
      <c r="P170" s="525"/>
      <c r="Q170" s="525"/>
      <c r="R170" s="525"/>
      <c r="S170" s="525"/>
      <c r="T170" s="525"/>
      <c r="U170" s="525"/>
      <c r="V170" s="525"/>
      <c r="W170" s="525"/>
      <c r="X170" s="525"/>
      <c r="Y170" s="525"/>
      <c r="Z170" s="525"/>
      <c r="AA170" s="525"/>
      <c r="AB170" s="525"/>
      <c r="AC170" s="525"/>
      <c r="AD170" s="525"/>
      <c r="AE170" s="525"/>
      <c r="AF170" s="590"/>
      <c r="AG170" s="590"/>
      <c r="AH170" s="591"/>
      <c r="AI170" s="591"/>
    </row>
    <row r="171" spans="1:35" ht="21" customHeight="1" x14ac:dyDescent="0.2">
      <c r="A171" s="1" t="s">
        <v>624</v>
      </c>
    </row>
    <row r="172" spans="1:35" ht="21" customHeight="1" x14ac:dyDescent="0.2">
      <c r="B172" s="200" t="s">
        <v>604</v>
      </c>
      <c r="C172" s="7"/>
      <c r="D172" s="530" t="s">
        <v>2</v>
      </c>
      <c r="E172" s="51"/>
      <c r="F172" s="573"/>
      <c r="G172" s="7"/>
      <c r="H172" s="530" t="s">
        <v>3</v>
      </c>
      <c r="I172" s="51"/>
      <c r="J172" s="573"/>
      <c r="K172" s="7"/>
      <c r="L172" s="530" t="s">
        <v>4</v>
      </c>
      <c r="M172" s="51"/>
      <c r="N172" s="573"/>
      <c r="O172" s="7"/>
      <c r="P172" s="530" t="s">
        <v>5</v>
      </c>
      <c r="Q172" s="51"/>
      <c r="R172" s="573"/>
      <c r="S172" s="7"/>
      <c r="T172" s="530" t="s">
        <v>6</v>
      </c>
      <c r="U172" s="51"/>
      <c r="V172" s="573"/>
      <c r="W172" s="7"/>
      <c r="X172" s="530" t="s">
        <v>7</v>
      </c>
      <c r="Y172" s="51"/>
      <c r="Z172" s="573"/>
      <c r="AA172" s="7"/>
      <c r="AB172" s="530" t="s">
        <v>8</v>
      </c>
      <c r="AC172" s="51"/>
      <c r="AD172" s="51"/>
      <c r="AE172" s="424" t="s">
        <v>10</v>
      </c>
      <c r="AF172" s="51"/>
      <c r="AG172" s="51"/>
      <c r="AH172" s="51"/>
      <c r="AI172" s="531"/>
    </row>
    <row r="173" spans="1:35" ht="21" customHeight="1" x14ac:dyDescent="0.2">
      <c r="B173" s="9">
        <v>8502</v>
      </c>
      <c r="C173" s="14" t="s">
        <v>11</v>
      </c>
      <c r="D173" s="659"/>
      <c r="E173" s="55"/>
      <c r="F173" s="580"/>
      <c r="G173" s="14" t="s">
        <v>11</v>
      </c>
      <c r="H173" s="659"/>
      <c r="I173" s="55"/>
      <c r="J173" s="580"/>
      <c r="K173" s="14" t="s">
        <v>11</v>
      </c>
      <c r="L173" s="659"/>
      <c r="M173" s="55"/>
      <c r="N173" s="580"/>
      <c r="O173" s="14" t="s">
        <v>11</v>
      </c>
      <c r="P173" s="659"/>
      <c r="Q173" s="55"/>
      <c r="R173" s="580"/>
      <c r="S173" s="14" t="s">
        <v>12</v>
      </c>
      <c r="T173" s="659"/>
      <c r="U173" s="55"/>
      <c r="V173" s="580"/>
      <c r="W173" s="14"/>
      <c r="X173" s="659"/>
      <c r="Y173" s="55"/>
      <c r="Z173" s="580"/>
      <c r="AA173" s="14"/>
      <c r="AB173" s="659"/>
      <c r="AC173" s="55"/>
      <c r="AD173" s="55"/>
      <c r="AE173" s="660"/>
      <c r="AF173" s="55"/>
      <c r="AG173" s="55"/>
      <c r="AH173" s="55"/>
      <c r="AI173" s="661"/>
    </row>
    <row r="174" spans="1:35" ht="21" customHeight="1" x14ac:dyDescent="0.2">
      <c r="B174" s="662">
        <v>3701</v>
      </c>
      <c r="C174" s="121" t="s">
        <v>11</v>
      </c>
      <c r="D174" s="130"/>
      <c r="E174" s="55"/>
      <c r="F174" s="580"/>
      <c r="G174" s="121" t="s">
        <v>11</v>
      </c>
      <c r="H174" s="659"/>
      <c r="I174" s="55"/>
      <c r="J174" s="580"/>
      <c r="K174" s="121" t="s">
        <v>11</v>
      </c>
      <c r="L174" s="659"/>
      <c r="M174" s="55"/>
      <c r="N174" s="580"/>
      <c r="O174" s="121" t="s">
        <v>11</v>
      </c>
      <c r="P174" s="659"/>
      <c r="Q174" s="55"/>
      <c r="R174" s="580"/>
      <c r="S174" s="14" t="s">
        <v>12</v>
      </c>
      <c r="T174" s="659"/>
      <c r="U174" s="55"/>
      <c r="V174" s="580"/>
      <c r="W174" s="14"/>
      <c r="X174" s="659"/>
      <c r="Y174" s="55"/>
      <c r="Z174" s="580"/>
      <c r="AA174" s="14"/>
      <c r="AB174" s="659"/>
      <c r="AC174" s="55"/>
      <c r="AD174" s="55"/>
      <c r="AE174" s="660"/>
      <c r="AF174" s="55"/>
      <c r="AG174" s="55"/>
      <c r="AH174" s="55"/>
      <c r="AI174" s="661"/>
    </row>
    <row r="175" spans="1:35" ht="21" customHeight="1" x14ac:dyDescent="0.2">
      <c r="B175" s="662">
        <v>3705</v>
      </c>
      <c r="C175" s="121" t="s">
        <v>147</v>
      </c>
      <c r="D175" s="130"/>
      <c r="E175" s="55"/>
      <c r="F175" s="580"/>
      <c r="G175" s="121" t="s">
        <v>147</v>
      </c>
      <c r="H175" s="659"/>
      <c r="I175" s="55"/>
      <c r="J175" s="580"/>
      <c r="K175" s="121" t="s">
        <v>147</v>
      </c>
      <c r="L175" s="659"/>
      <c r="M175" s="55"/>
      <c r="N175" s="580"/>
      <c r="O175" s="121" t="s">
        <v>147</v>
      </c>
      <c r="P175" s="659"/>
      <c r="Q175" s="55"/>
      <c r="R175" s="580"/>
      <c r="S175" s="121" t="s">
        <v>536</v>
      </c>
      <c r="T175" s="659"/>
      <c r="U175" s="55"/>
      <c r="V175" s="580"/>
      <c r="W175" s="14"/>
      <c r="X175" s="659"/>
      <c r="Y175" s="55"/>
      <c r="Z175" s="580"/>
      <c r="AA175" s="14"/>
      <c r="AB175" s="659"/>
      <c r="AC175" s="55"/>
      <c r="AD175" s="55"/>
      <c r="AE175" s="660"/>
      <c r="AF175" s="55"/>
      <c r="AG175" s="55"/>
      <c r="AH175" s="55"/>
      <c r="AI175" s="661"/>
    </row>
    <row r="176" spans="1:35" ht="21" customHeight="1" x14ac:dyDescent="0.2">
      <c r="B176" s="662" t="s">
        <v>625</v>
      </c>
      <c r="C176" s="611" t="s">
        <v>626</v>
      </c>
      <c r="D176" s="130"/>
      <c r="E176" s="55"/>
      <c r="F176" s="580"/>
      <c r="G176" s="611" t="s">
        <v>626</v>
      </c>
      <c r="H176" s="659"/>
      <c r="I176" s="55"/>
      <c r="J176" s="580"/>
      <c r="K176" s="611" t="s">
        <v>626</v>
      </c>
      <c r="L176" s="659"/>
      <c r="M176" s="55"/>
      <c r="N176" s="580"/>
      <c r="O176" s="611" t="s">
        <v>626</v>
      </c>
      <c r="P176" s="659"/>
      <c r="Q176" s="55"/>
      <c r="R176" s="580"/>
      <c r="S176" s="611" t="s">
        <v>626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5" ht="21" customHeight="1" x14ac:dyDescent="0.2">
      <c r="B177" s="662" t="s">
        <v>627</v>
      </c>
      <c r="C177" s="611" t="s">
        <v>628</v>
      </c>
      <c r="D177" s="130"/>
      <c r="E177" s="55"/>
      <c r="F177" s="580"/>
      <c r="G177" s="659" t="s">
        <v>629</v>
      </c>
      <c r="H177" s="659"/>
      <c r="I177" s="55"/>
      <c r="J177" s="580"/>
      <c r="K177" s="659" t="s">
        <v>630</v>
      </c>
      <c r="L177" s="659"/>
      <c r="M177" s="55"/>
      <c r="N177" s="580"/>
      <c r="O177" s="659" t="s">
        <v>630</v>
      </c>
      <c r="P177" s="659"/>
      <c r="Q177" s="55"/>
      <c r="R177" s="580"/>
      <c r="S177" s="659" t="s">
        <v>631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5" ht="21" customHeight="1" x14ac:dyDescent="0.2">
      <c r="B178" s="662" t="s">
        <v>324</v>
      </c>
      <c r="C178" s="611" t="s">
        <v>632</v>
      </c>
      <c r="D178" s="130"/>
      <c r="E178" s="55"/>
      <c r="F178" s="580"/>
      <c r="G178" s="611" t="s">
        <v>632</v>
      </c>
      <c r="H178" s="130"/>
      <c r="I178" s="55"/>
      <c r="J178" s="580"/>
      <c r="K178" s="611" t="s">
        <v>632</v>
      </c>
      <c r="L178" s="130"/>
      <c r="M178" s="55"/>
      <c r="N178" s="580"/>
      <c r="O178" s="611" t="s">
        <v>632</v>
      </c>
      <c r="P178" s="130"/>
      <c r="Q178" s="55"/>
      <c r="R178" s="580"/>
      <c r="S178" s="659" t="s">
        <v>633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5" ht="21" customHeight="1" x14ac:dyDescent="0.2">
      <c r="B179" s="662" t="s">
        <v>325</v>
      </c>
      <c r="C179" s="611" t="s">
        <v>634</v>
      </c>
      <c r="D179" s="130"/>
      <c r="E179" s="55"/>
      <c r="F179" s="580"/>
      <c r="G179" s="611" t="s">
        <v>634</v>
      </c>
      <c r="H179" s="130"/>
      <c r="I179" s="55"/>
      <c r="J179" s="580"/>
      <c r="K179" s="611" t="s">
        <v>634</v>
      </c>
      <c r="L179" s="130"/>
      <c r="M179" s="55"/>
      <c r="N179" s="580"/>
      <c r="O179" s="611" t="s">
        <v>634</v>
      </c>
      <c r="P179" s="130"/>
      <c r="Q179" s="55"/>
      <c r="R179" s="580"/>
      <c r="S179" s="659" t="s">
        <v>635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5" ht="21" customHeight="1" x14ac:dyDescent="0.2">
      <c r="B180" s="671" t="s">
        <v>326</v>
      </c>
      <c r="C180" s="618" t="s">
        <v>736</v>
      </c>
      <c r="D180" s="48"/>
      <c r="E180" s="678"/>
      <c r="F180" s="239"/>
      <c r="G180" s="618" t="s">
        <v>743</v>
      </c>
      <c r="H180" s="48"/>
      <c r="I180" s="678"/>
      <c r="J180" s="239"/>
      <c r="K180" s="618" t="s">
        <v>743</v>
      </c>
      <c r="L180" s="48"/>
      <c r="M180" s="678"/>
      <c r="N180" s="239"/>
      <c r="O180" s="618" t="s">
        <v>736</v>
      </c>
      <c r="P180" s="48"/>
      <c r="Q180" s="678"/>
      <c r="R180" s="239"/>
      <c r="S180" s="148" t="s">
        <v>744</v>
      </c>
      <c r="T180" s="148"/>
      <c r="U180" s="678"/>
      <c r="V180" s="239"/>
      <c r="W180" s="679"/>
      <c r="X180" s="148"/>
      <c r="Y180" s="678"/>
      <c r="Z180" s="239"/>
      <c r="AA180" s="679"/>
      <c r="AB180" s="148"/>
      <c r="AC180" s="678"/>
      <c r="AD180" s="678"/>
      <c r="AE180" s="680"/>
      <c r="AF180" s="678"/>
      <c r="AG180" s="678"/>
      <c r="AH180" s="678"/>
      <c r="AI180" s="681"/>
    </row>
    <row r="181" spans="1:35" ht="21" customHeight="1" x14ac:dyDescent="0.2">
      <c r="B181" s="273"/>
      <c r="C181" s="311"/>
      <c r="D181" s="72"/>
      <c r="G181" s="311"/>
      <c r="H181" s="72"/>
      <c r="K181" s="311"/>
      <c r="L181" s="72"/>
      <c r="O181" s="311"/>
      <c r="P181" s="72"/>
      <c r="S181" s="311"/>
      <c r="T181" s="311"/>
      <c r="X181" s="311"/>
      <c r="AB181" s="311"/>
      <c r="AE181" s="311"/>
    </row>
    <row r="182" spans="1:35" ht="21" customHeight="1" x14ac:dyDescent="0.2">
      <c r="A182" s="682" t="s">
        <v>638</v>
      </c>
    </row>
    <row r="183" spans="1:35" ht="21" customHeight="1" x14ac:dyDescent="0.2">
      <c r="A183" s="585"/>
      <c r="B183" s="296" t="s">
        <v>469</v>
      </c>
      <c r="C183" s="497">
        <v>1</v>
      </c>
      <c r="D183" s="497">
        <v>2</v>
      </c>
      <c r="E183" s="177">
        <v>3</v>
      </c>
      <c r="F183" s="177">
        <v>4</v>
      </c>
      <c r="G183" s="177">
        <v>5</v>
      </c>
      <c r="H183" s="177">
        <v>6</v>
      </c>
      <c r="I183" s="177">
        <v>7</v>
      </c>
      <c r="J183" s="497">
        <v>8</v>
      </c>
      <c r="K183" s="497">
        <v>9</v>
      </c>
      <c r="L183" s="177">
        <v>10</v>
      </c>
      <c r="M183" s="177">
        <v>11</v>
      </c>
      <c r="N183" s="177">
        <v>12</v>
      </c>
      <c r="O183" s="177">
        <v>13</v>
      </c>
      <c r="P183" s="177">
        <v>14</v>
      </c>
      <c r="Q183" s="497">
        <v>15</v>
      </c>
      <c r="R183" s="497">
        <v>16</v>
      </c>
      <c r="S183" s="177">
        <v>17</v>
      </c>
      <c r="T183" s="177">
        <v>18</v>
      </c>
      <c r="U183" s="177">
        <v>19</v>
      </c>
      <c r="V183" s="177">
        <v>20</v>
      </c>
      <c r="W183" s="177">
        <v>21</v>
      </c>
      <c r="X183" s="497">
        <v>22</v>
      </c>
      <c r="Y183" s="497">
        <v>23</v>
      </c>
      <c r="Z183" s="177">
        <v>24</v>
      </c>
      <c r="AA183" s="177">
        <v>25</v>
      </c>
      <c r="AB183" s="177">
        <v>26</v>
      </c>
      <c r="AC183" s="177">
        <v>27</v>
      </c>
      <c r="AD183" s="177">
        <v>28</v>
      </c>
      <c r="AE183" s="497">
        <v>29</v>
      </c>
      <c r="AF183" s="497">
        <v>30</v>
      </c>
      <c r="AG183" s="177">
        <v>31</v>
      </c>
      <c r="AH183" s="499" t="s">
        <v>470</v>
      </c>
      <c r="AI183" s="500" t="s">
        <v>471</v>
      </c>
    </row>
    <row r="184" spans="1:35" ht="21" customHeight="1" x14ac:dyDescent="0.2">
      <c r="A184" s="441">
        <v>3702</v>
      </c>
      <c r="B184" s="152" t="s">
        <v>639</v>
      </c>
      <c r="C184" s="503"/>
      <c r="D184" s="503"/>
      <c r="E184" s="1085">
        <v>1</v>
      </c>
      <c r="F184" s="1085">
        <v>1</v>
      </c>
      <c r="G184" s="1085">
        <v>1</v>
      </c>
      <c r="H184" s="1085">
        <v>1</v>
      </c>
      <c r="I184" s="1085">
        <v>1</v>
      </c>
      <c r="J184" s="587"/>
      <c r="K184" s="587"/>
      <c r="L184" s="587">
        <v>2</v>
      </c>
      <c r="M184" s="587">
        <v>2</v>
      </c>
      <c r="N184" s="587">
        <v>2</v>
      </c>
      <c r="O184" s="587">
        <v>2</v>
      </c>
      <c r="P184" s="587">
        <v>2</v>
      </c>
      <c r="Q184" s="587"/>
      <c r="R184" s="587"/>
      <c r="S184" s="1060">
        <v>1</v>
      </c>
      <c r="T184" s="1060">
        <v>1</v>
      </c>
      <c r="U184" s="1060">
        <v>1</v>
      </c>
      <c r="V184" s="1060">
        <v>1</v>
      </c>
      <c r="W184" s="1060">
        <v>1</v>
      </c>
      <c r="X184" s="1060"/>
      <c r="Y184" s="1060"/>
      <c r="Z184" s="587">
        <v>2</v>
      </c>
      <c r="AA184" s="587">
        <v>2</v>
      </c>
      <c r="AB184" s="587">
        <v>2</v>
      </c>
      <c r="AC184" s="587">
        <v>2</v>
      </c>
      <c r="AD184" s="587">
        <v>2</v>
      </c>
      <c r="AE184" s="503"/>
      <c r="AF184" s="503"/>
      <c r="AG184" s="587">
        <v>1</v>
      </c>
      <c r="AH184" s="505">
        <v>37</v>
      </c>
      <c r="AI184" s="506">
        <v>37</v>
      </c>
    </row>
    <row r="185" spans="1:35" ht="21" customHeight="1" x14ac:dyDescent="0.2">
      <c r="A185" s="441">
        <v>3701</v>
      </c>
      <c r="B185" s="152" t="s">
        <v>640</v>
      </c>
      <c r="C185" s="503"/>
      <c r="D185" s="503"/>
      <c r="E185" s="587" t="s">
        <v>482</v>
      </c>
      <c r="F185" s="587" t="s">
        <v>482</v>
      </c>
      <c r="G185" s="587" t="s">
        <v>482</v>
      </c>
      <c r="H185" s="587" t="s">
        <v>482</v>
      </c>
      <c r="I185" s="587" t="s">
        <v>482</v>
      </c>
      <c r="J185" s="587"/>
      <c r="K185" s="587"/>
      <c r="L185" s="587" t="s">
        <v>482</v>
      </c>
      <c r="M185" s="587" t="s">
        <v>482</v>
      </c>
      <c r="N185" s="587" t="s">
        <v>482</v>
      </c>
      <c r="O185" s="587" t="s">
        <v>482</v>
      </c>
      <c r="P185" s="587" t="s">
        <v>482</v>
      </c>
      <c r="Q185" s="587"/>
      <c r="R185" s="587"/>
      <c r="S185" s="587" t="s">
        <v>482</v>
      </c>
      <c r="T185" s="587" t="s">
        <v>482</v>
      </c>
      <c r="U185" s="587" t="s">
        <v>482</v>
      </c>
      <c r="V185" s="587" t="s">
        <v>482</v>
      </c>
      <c r="W185" s="587" t="s">
        <v>482</v>
      </c>
      <c r="X185" s="587"/>
      <c r="Y185" s="587"/>
      <c r="Z185" s="587" t="s">
        <v>482</v>
      </c>
      <c r="AA185" s="587" t="s">
        <v>482</v>
      </c>
      <c r="AB185" s="587" t="s">
        <v>482</v>
      </c>
      <c r="AC185" s="587" t="s">
        <v>482</v>
      </c>
      <c r="AD185" s="587" t="s">
        <v>482</v>
      </c>
      <c r="AE185" s="503"/>
      <c r="AF185" s="503"/>
      <c r="AG185" s="587" t="s">
        <v>482</v>
      </c>
      <c r="AH185" s="505">
        <v>74</v>
      </c>
      <c r="AI185" s="506">
        <v>37</v>
      </c>
    </row>
    <row r="186" spans="1:35" ht="21" customHeight="1" x14ac:dyDescent="0.2">
      <c r="A186" s="441">
        <v>3702</v>
      </c>
      <c r="B186" s="152" t="s">
        <v>641</v>
      </c>
      <c r="C186" s="503"/>
      <c r="D186" s="503"/>
      <c r="E186" s="587">
        <v>2</v>
      </c>
      <c r="F186" s="587">
        <v>2</v>
      </c>
      <c r="G186" s="587">
        <v>2</v>
      </c>
      <c r="H186" s="587">
        <v>2</v>
      </c>
      <c r="I186" s="587">
        <v>2</v>
      </c>
      <c r="J186" s="587"/>
      <c r="K186" s="587"/>
      <c r="L186" s="587">
        <v>1</v>
      </c>
      <c r="M186" s="587">
        <v>1</v>
      </c>
      <c r="N186" s="587">
        <v>1</v>
      </c>
      <c r="O186" s="587">
        <v>1</v>
      </c>
      <c r="P186" s="587">
        <v>1</v>
      </c>
      <c r="Q186" s="587"/>
      <c r="R186" s="587"/>
      <c r="S186" s="587">
        <v>2</v>
      </c>
      <c r="T186" s="587">
        <v>2</v>
      </c>
      <c r="U186" s="587">
        <v>2</v>
      </c>
      <c r="V186" s="587">
        <v>2</v>
      </c>
      <c r="W186" s="587">
        <v>2</v>
      </c>
      <c r="X186" s="587"/>
      <c r="Y186" s="587"/>
      <c r="Z186" s="587">
        <v>1</v>
      </c>
      <c r="AA186" s="587">
        <v>1</v>
      </c>
      <c r="AB186" s="587">
        <v>1</v>
      </c>
      <c r="AC186" s="587">
        <v>1</v>
      </c>
      <c r="AD186" s="587">
        <v>1</v>
      </c>
      <c r="AE186" s="503"/>
      <c r="AF186" s="503"/>
      <c r="AG186" s="587">
        <v>2</v>
      </c>
      <c r="AH186" s="505">
        <v>76</v>
      </c>
      <c r="AI186" s="506">
        <v>37</v>
      </c>
    </row>
    <row r="187" spans="1:35" ht="21" customHeight="1" x14ac:dyDescent="0.2">
      <c r="A187" s="683">
        <v>3706</v>
      </c>
      <c r="B187" s="552"/>
      <c r="C187" s="503"/>
      <c r="D187" s="503"/>
      <c r="E187" s="503"/>
      <c r="F187" s="503"/>
      <c r="G187" s="503"/>
      <c r="H187" s="503"/>
      <c r="I187" s="503"/>
      <c r="J187" s="503"/>
      <c r="K187" s="503"/>
      <c r="L187" s="503"/>
      <c r="M187" s="503"/>
      <c r="N187" s="503"/>
      <c r="O187" s="503"/>
      <c r="P187" s="503"/>
      <c r="Q187" s="503"/>
      <c r="R187" s="503"/>
      <c r="S187" s="503"/>
      <c r="T187" s="503"/>
      <c r="U187" s="503"/>
      <c r="V187" s="503"/>
      <c r="W187" s="503"/>
      <c r="X187" s="503"/>
      <c r="Y187" s="503"/>
      <c r="Z187" s="503"/>
      <c r="AA187" s="503"/>
      <c r="AB187" s="503"/>
      <c r="AC187" s="503"/>
      <c r="AD187" s="503"/>
      <c r="AE187" s="503"/>
      <c r="AF187" s="503"/>
      <c r="AG187" s="503"/>
      <c r="AH187" s="505"/>
      <c r="AI187" s="506"/>
    </row>
    <row r="188" spans="1:35" ht="21" customHeight="1" x14ac:dyDescent="0.2">
      <c r="A188" s="684"/>
      <c r="B188" s="685" t="s">
        <v>642</v>
      </c>
      <c r="C188" s="686"/>
      <c r="D188" s="686"/>
      <c r="E188" s="686"/>
      <c r="F188" s="686"/>
      <c r="G188" s="686"/>
      <c r="H188" s="686"/>
      <c r="I188" s="686"/>
      <c r="J188" s="686"/>
      <c r="K188" s="686"/>
      <c r="L188" s="686"/>
      <c r="M188" s="686"/>
      <c r="N188" s="686"/>
      <c r="O188" s="686"/>
      <c r="P188" s="686"/>
      <c r="Q188" s="686"/>
      <c r="R188" s="686"/>
      <c r="S188" s="686"/>
      <c r="T188" s="686"/>
      <c r="U188" s="686"/>
      <c r="V188" s="686"/>
      <c r="W188" s="686"/>
      <c r="X188" s="686"/>
      <c r="Y188" s="686"/>
      <c r="Z188" s="686"/>
      <c r="AA188" s="686"/>
      <c r="AB188" s="686"/>
      <c r="AC188" s="686"/>
      <c r="AD188" s="686"/>
      <c r="AE188" s="686"/>
      <c r="AF188" s="686"/>
      <c r="AG188" s="687"/>
      <c r="AH188" s="688"/>
      <c r="AI188" s="689"/>
    </row>
    <row r="189" spans="1:35" ht="21" customHeight="1" x14ac:dyDescent="0.2">
      <c r="A189" s="441">
        <v>3702</v>
      </c>
      <c r="B189" s="133" t="s">
        <v>724</v>
      </c>
      <c r="C189" s="587"/>
      <c r="D189" s="587"/>
      <c r="E189" s="587" t="s">
        <v>596</v>
      </c>
      <c r="F189" s="587" t="s">
        <v>596</v>
      </c>
      <c r="G189" s="587" t="s">
        <v>596</v>
      </c>
      <c r="H189" s="587" t="s">
        <v>596</v>
      </c>
      <c r="I189" s="587" t="s">
        <v>596</v>
      </c>
      <c r="J189" s="587"/>
      <c r="K189" s="587"/>
      <c r="L189" s="587" t="s">
        <v>644</v>
      </c>
      <c r="M189" s="587" t="s">
        <v>644</v>
      </c>
      <c r="N189" s="587" t="s">
        <v>644</v>
      </c>
      <c r="O189" s="587" t="s">
        <v>644</v>
      </c>
      <c r="P189" s="587" t="s">
        <v>644</v>
      </c>
      <c r="Q189" s="587"/>
      <c r="R189" s="587"/>
      <c r="S189" s="587" t="s">
        <v>643</v>
      </c>
      <c r="T189" s="587" t="s">
        <v>643</v>
      </c>
      <c r="U189" s="587" t="s">
        <v>643</v>
      </c>
      <c r="V189" s="587" t="s">
        <v>643</v>
      </c>
      <c r="W189" s="587" t="s">
        <v>643</v>
      </c>
      <c r="X189" s="587"/>
      <c r="Y189" s="587"/>
      <c r="Z189" s="587" t="s">
        <v>596</v>
      </c>
      <c r="AA189" s="587" t="s">
        <v>596</v>
      </c>
      <c r="AB189" s="587" t="s">
        <v>596</v>
      </c>
      <c r="AC189" s="587" t="s">
        <v>596</v>
      </c>
      <c r="AD189" s="587" t="s">
        <v>596</v>
      </c>
      <c r="AE189" s="587"/>
      <c r="AF189" s="587"/>
      <c r="AG189" s="587" t="s">
        <v>644</v>
      </c>
      <c r="AH189" s="505">
        <v>74</v>
      </c>
      <c r="AI189" s="506">
        <v>37</v>
      </c>
    </row>
    <row r="190" spans="1:35" ht="21" customHeight="1" x14ac:dyDescent="0.2">
      <c r="A190" s="441"/>
      <c r="B190" s="152" t="s">
        <v>645</v>
      </c>
      <c r="C190" s="587"/>
      <c r="D190" s="587"/>
      <c r="E190" s="1085" t="s">
        <v>644</v>
      </c>
      <c r="F190" s="1496" t="s">
        <v>644</v>
      </c>
      <c r="G190" s="1496" t="s">
        <v>644</v>
      </c>
      <c r="H190" s="587" t="s">
        <v>644</v>
      </c>
      <c r="I190" s="587" t="s">
        <v>644</v>
      </c>
      <c r="J190" s="587"/>
      <c r="K190" s="587"/>
      <c r="L190" s="587" t="s">
        <v>643</v>
      </c>
      <c r="M190" s="587" t="s">
        <v>643</v>
      </c>
      <c r="N190" s="587" t="s">
        <v>643</v>
      </c>
      <c r="O190" s="587" t="s">
        <v>643</v>
      </c>
      <c r="P190" s="587" t="s">
        <v>643</v>
      </c>
      <c r="Q190" s="587"/>
      <c r="R190" s="587"/>
      <c r="S190" s="587" t="s">
        <v>596</v>
      </c>
      <c r="T190" s="587" t="s">
        <v>596</v>
      </c>
      <c r="U190" s="587" t="s">
        <v>596</v>
      </c>
      <c r="V190" s="587" t="s">
        <v>596</v>
      </c>
      <c r="W190" s="587" t="s">
        <v>596</v>
      </c>
      <c r="X190" s="587"/>
      <c r="Y190" s="587"/>
      <c r="Z190" s="587" t="s">
        <v>644</v>
      </c>
      <c r="AA190" s="587" t="s">
        <v>644</v>
      </c>
      <c r="AB190" s="587" t="s">
        <v>644</v>
      </c>
      <c r="AC190" s="587" t="s">
        <v>644</v>
      </c>
      <c r="AD190" s="587" t="s">
        <v>644</v>
      </c>
      <c r="AE190" s="587"/>
      <c r="AF190" s="587"/>
      <c r="AG190" s="587" t="s">
        <v>643</v>
      </c>
      <c r="AH190" s="505">
        <v>81</v>
      </c>
      <c r="AI190" s="506">
        <v>37</v>
      </c>
    </row>
    <row r="191" spans="1:35" ht="21" customHeight="1" x14ac:dyDescent="0.2">
      <c r="A191" s="441"/>
      <c r="B191" s="152" t="s">
        <v>646</v>
      </c>
      <c r="C191" s="587"/>
      <c r="D191" s="587"/>
      <c r="E191" s="587" t="s">
        <v>643</v>
      </c>
      <c r="F191" s="587" t="s">
        <v>643</v>
      </c>
      <c r="G191" s="587" t="s">
        <v>643</v>
      </c>
      <c r="H191" s="587" t="s">
        <v>643</v>
      </c>
      <c r="I191" s="587" t="s">
        <v>643</v>
      </c>
      <c r="J191" s="587"/>
      <c r="K191" s="587"/>
      <c r="L191" s="587" t="s">
        <v>596</v>
      </c>
      <c r="M191" s="587" t="s">
        <v>596</v>
      </c>
      <c r="N191" s="1482" t="s">
        <v>596</v>
      </c>
      <c r="O191" s="587" t="s">
        <v>596</v>
      </c>
      <c r="P191" s="587" t="s">
        <v>596</v>
      </c>
      <c r="Q191" s="587"/>
      <c r="R191" s="587"/>
      <c r="S191" s="587" t="s">
        <v>644</v>
      </c>
      <c r="T191" s="587" t="s">
        <v>644</v>
      </c>
      <c r="U191" s="587" t="s">
        <v>644</v>
      </c>
      <c r="V191" s="587" t="s">
        <v>644</v>
      </c>
      <c r="W191" s="587" t="s">
        <v>644</v>
      </c>
      <c r="X191" s="587"/>
      <c r="Y191" s="587"/>
      <c r="Z191" s="587" t="s">
        <v>643</v>
      </c>
      <c r="AA191" s="587" t="s">
        <v>643</v>
      </c>
      <c r="AB191" s="587" t="s">
        <v>643</v>
      </c>
      <c r="AC191" s="587" t="s">
        <v>643</v>
      </c>
      <c r="AD191" s="587" t="s">
        <v>643</v>
      </c>
      <c r="AE191" s="587"/>
      <c r="AF191" s="587"/>
      <c r="AG191" s="587" t="s">
        <v>596</v>
      </c>
      <c r="AH191" s="505">
        <v>74</v>
      </c>
      <c r="AI191" s="506">
        <v>37</v>
      </c>
    </row>
    <row r="192" spans="1:35" ht="21" customHeight="1" x14ac:dyDescent="0.2"/>
    <row r="193" spans="1:35" ht="21" customHeight="1" x14ac:dyDescent="0.2"/>
    <row r="194" spans="1:35" ht="21" customHeight="1" x14ac:dyDescent="0.2">
      <c r="A194" s="1" t="s">
        <v>647</v>
      </c>
    </row>
    <row r="195" spans="1:35" ht="21" customHeight="1" x14ac:dyDescent="0.2">
      <c r="B195" s="200" t="s">
        <v>604</v>
      </c>
      <c r="C195" s="7"/>
      <c r="D195" s="530" t="s">
        <v>2</v>
      </c>
      <c r="E195" s="51"/>
      <c r="F195" s="573"/>
      <c r="G195" s="7"/>
      <c r="H195" s="530" t="s">
        <v>3</v>
      </c>
      <c r="I195" s="51"/>
      <c r="J195" s="573"/>
      <c r="K195" s="7"/>
      <c r="L195" s="530" t="s">
        <v>4</v>
      </c>
      <c r="M195" s="51"/>
      <c r="N195" s="573"/>
      <c r="O195" s="7"/>
      <c r="P195" s="530" t="s">
        <v>5</v>
      </c>
      <c r="Q195" s="51"/>
      <c r="R195" s="573"/>
      <c r="S195" s="7"/>
      <c r="T195" s="530" t="s">
        <v>6</v>
      </c>
      <c r="U195" s="51"/>
      <c r="V195" s="573"/>
      <c r="W195" s="7"/>
      <c r="X195" s="530" t="s">
        <v>7</v>
      </c>
      <c r="Y195" s="51"/>
      <c r="Z195" s="573"/>
      <c r="AA195" s="7"/>
      <c r="AB195" s="530" t="s">
        <v>8</v>
      </c>
      <c r="AC195" s="51"/>
      <c r="AD195" s="51"/>
      <c r="AE195" s="424" t="s">
        <v>10</v>
      </c>
      <c r="AF195" s="51"/>
      <c r="AG195" s="51"/>
      <c r="AH195" s="51"/>
      <c r="AI195" s="531"/>
    </row>
    <row r="196" spans="1:35" ht="21" customHeight="1" x14ac:dyDescent="0.2">
      <c r="B196" s="9">
        <v>8500</v>
      </c>
      <c r="C196" s="121" t="s">
        <v>33</v>
      </c>
      <c r="D196" s="659"/>
      <c r="E196" s="55"/>
      <c r="F196" s="580"/>
      <c r="G196" s="121" t="s">
        <v>33</v>
      </c>
      <c r="H196" s="659"/>
      <c r="I196" s="55"/>
      <c r="J196" s="580"/>
      <c r="K196" s="121" t="s">
        <v>33</v>
      </c>
      <c r="L196" s="659"/>
      <c r="M196" s="55"/>
      <c r="N196" s="580"/>
      <c r="O196" s="121" t="s">
        <v>33</v>
      </c>
      <c r="P196" s="659"/>
      <c r="Q196" s="55"/>
      <c r="R196" s="580"/>
      <c r="S196" s="121" t="s">
        <v>34</v>
      </c>
      <c r="T196" s="659"/>
      <c r="U196" s="55"/>
      <c r="V196" s="580"/>
      <c r="W196" s="14"/>
      <c r="X196" s="659"/>
      <c r="Y196" s="55"/>
      <c r="Z196" s="580"/>
      <c r="AA196" s="14"/>
      <c r="AB196" s="659"/>
      <c r="AC196" s="55"/>
      <c r="AD196" s="55"/>
      <c r="AE196" s="660"/>
      <c r="AF196" s="55"/>
      <c r="AG196" s="55"/>
      <c r="AH196" s="55"/>
      <c r="AI196" s="661"/>
    </row>
    <row r="197" spans="1:35" ht="21" customHeight="1" x14ac:dyDescent="0.2">
      <c r="B197" s="162" t="s">
        <v>648</v>
      </c>
      <c r="C197" s="690" t="s">
        <v>649</v>
      </c>
      <c r="D197" s="607"/>
      <c r="E197" s="678"/>
      <c r="F197" s="239"/>
      <c r="G197" s="690" t="s">
        <v>649</v>
      </c>
      <c r="H197" s="148"/>
      <c r="I197" s="678"/>
      <c r="J197" s="239"/>
      <c r="K197" s="690" t="s">
        <v>649</v>
      </c>
      <c r="L197" s="148"/>
      <c r="M197" s="678"/>
      <c r="N197" s="239"/>
      <c r="O197" s="690" t="s">
        <v>650</v>
      </c>
      <c r="P197" s="148"/>
      <c r="Q197" s="678"/>
      <c r="R197" s="239"/>
      <c r="S197" s="690" t="s">
        <v>16</v>
      </c>
      <c r="T197" s="148"/>
      <c r="U197" s="678"/>
      <c r="V197" s="239"/>
      <c r="W197" s="679"/>
      <c r="X197" s="148"/>
      <c r="Y197" s="678"/>
      <c r="Z197" s="239"/>
      <c r="AA197" s="679"/>
      <c r="AB197" s="148"/>
      <c r="AC197" s="678"/>
      <c r="AD197" s="678"/>
      <c r="AE197" s="680"/>
      <c r="AF197" s="678"/>
      <c r="AG197" s="678"/>
      <c r="AH197" s="678"/>
      <c r="AI197" s="681"/>
    </row>
    <row r="198" spans="1:35" ht="21" customHeight="1" x14ac:dyDescent="0.2">
      <c r="A198" s="60" t="s">
        <v>651</v>
      </c>
    </row>
    <row r="199" spans="1:35" ht="21" customHeight="1" x14ac:dyDescent="0.2">
      <c r="A199" s="691"/>
      <c r="B199" s="296" t="s">
        <v>469</v>
      </c>
      <c r="C199" s="497">
        <v>1</v>
      </c>
      <c r="D199" s="497">
        <v>2</v>
      </c>
      <c r="E199" s="177">
        <v>3</v>
      </c>
      <c r="F199" s="177">
        <v>4</v>
      </c>
      <c r="G199" s="177">
        <v>5</v>
      </c>
      <c r="H199" s="177">
        <v>6</v>
      </c>
      <c r="I199" s="177">
        <v>7</v>
      </c>
      <c r="J199" s="497">
        <v>8</v>
      </c>
      <c r="K199" s="497">
        <v>9</v>
      </c>
      <c r="L199" s="177">
        <v>10</v>
      </c>
      <c r="M199" s="177">
        <v>11</v>
      </c>
      <c r="N199" s="177">
        <v>12</v>
      </c>
      <c r="O199" s="177">
        <v>13</v>
      </c>
      <c r="P199" s="177">
        <v>14</v>
      </c>
      <c r="Q199" s="497">
        <v>15</v>
      </c>
      <c r="R199" s="497">
        <v>16</v>
      </c>
      <c r="S199" s="177">
        <v>17</v>
      </c>
      <c r="T199" s="177">
        <v>18</v>
      </c>
      <c r="U199" s="177">
        <v>19</v>
      </c>
      <c r="V199" s="177">
        <v>20</v>
      </c>
      <c r="W199" s="177">
        <v>21</v>
      </c>
      <c r="X199" s="497">
        <v>22</v>
      </c>
      <c r="Y199" s="497">
        <v>23</v>
      </c>
      <c r="Z199" s="177">
        <v>24</v>
      </c>
      <c r="AA199" s="177">
        <v>25</v>
      </c>
      <c r="AB199" s="177">
        <v>26</v>
      </c>
      <c r="AC199" s="177">
        <v>27</v>
      </c>
      <c r="AD199" s="177">
        <v>28</v>
      </c>
      <c r="AE199" s="497">
        <v>29</v>
      </c>
      <c r="AF199" s="497">
        <v>30</v>
      </c>
      <c r="AG199" s="177">
        <v>31</v>
      </c>
      <c r="AH199" s="499" t="s">
        <v>470</v>
      </c>
      <c r="AI199" s="500" t="s">
        <v>471</v>
      </c>
    </row>
    <row r="200" spans="1:35" ht="21" customHeight="1" x14ac:dyDescent="0.2">
      <c r="A200" s="154">
        <v>8500</v>
      </c>
      <c r="B200" s="692" t="s">
        <v>652</v>
      </c>
      <c r="C200" s="503"/>
      <c r="D200" s="503"/>
      <c r="E200" s="503" t="s">
        <v>482</v>
      </c>
      <c r="F200" s="503" t="s">
        <v>482</v>
      </c>
      <c r="G200" s="503" t="s">
        <v>482</v>
      </c>
      <c r="H200" s="503" t="s">
        <v>482</v>
      </c>
      <c r="I200" s="503" t="s">
        <v>482</v>
      </c>
      <c r="J200" s="503"/>
      <c r="K200" s="503"/>
      <c r="L200" s="1059" t="s">
        <v>482</v>
      </c>
      <c r="M200" s="1059" t="s">
        <v>482</v>
      </c>
      <c r="N200" s="503" t="s">
        <v>482</v>
      </c>
      <c r="O200" s="1078" t="s">
        <v>482</v>
      </c>
      <c r="P200" s="503" t="s">
        <v>482</v>
      </c>
      <c r="Q200" s="503"/>
      <c r="R200" s="503"/>
      <c r="S200" s="503" t="s">
        <v>482</v>
      </c>
      <c r="T200" s="503" t="s">
        <v>482</v>
      </c>
      <c r="U200" s="503" t="s">
        <v>482</v>
      </c>
      <c r="V200" s="503" t="s">
        <v>482</v>
      </c>
      <c r="W200" s="503" t="s">
        <v>482</v>
      </c>
      <c r="X200" s="503"/>
      <c r="Y200" s="503"/>
      <c r="Z200" s="503" t="s">
        <v>482</v>
      </c>
      <c r="AA200" s="503" t="s">
        <v>482</v>
      </c>
      <c r="AB200" s="503" t="s">
        <v>482</v>
      </c>
      <c r="AC200" s="503" t="s">
        <v>482</v>
      </c>
      <c r="AD200" s="503" t="s">
        <v>482</v>
      </c>
      <c r="AE200" s="503"/>
      <c r="AF200" s="503"/>
      <c r="AG200" s="1510" t="s">
        <v>482</v>
      </c>
      <c r="AH200" s="693">
        <v>109</v>
      </c>
      <c r="AI200" s="694">
        <v>37</v>
      </c>
    </row>
    <row r="201" spans="1:35" ht="21" customHeight="1" x14ac:dyDescent="0.2">
      <c r="A201" s="501" t="s">
        <v>653</v>
      </c>
      <c r="B201" s="152" t="s">
        <v>654</v>
      </c>
      <c r="C201" s="503"/>
      <c r="D201" s="503"/>
      <c r="E201" s="503" t="s">
        <v>482</v>
      </c>
      <c r="F201" s="503" t="s">
        <v>482</v>
      </c>
      <c r="G201" s="503" t="s">
        <v>482</v>
      </c>
      <c r="H201" s="503" t="s">
        <v>482</v>
      </c>
      <c r="I201" s="503" t="s">
        <v>482</v>
      </c>
      <c r="J201" s="503"/>
      <c r="K201" s="503"/>
      <c r="L201" s="503" t="s">
        <v>482</v>
      </c>
      <c r="M201" s="503" t="s">
        <v>482</v>
      </c>
      <c r="N201" s="503" t="s">
        <v>482</v>
      </c>
      <c r="O201" s="503" t="s">
        <v>482</v>
      </c>
      <c r="P201" s="503" t="s">
        <v>482</v>
      </c>
      <c r="Q201" s="503"/>
      <c r="R201" s="503"/>
      <c r="S201" s="503" t="s">
        <v>482</v>
      </c>
      <c r="T201" s="503" t="s">
        <v>482</v>
      </c>
      <c r="U201" s="503" t="s">
        <v>482</v>
      </c>
      <c r="V201" s="503" t="s">
        <v>482</v>
      </c>
      <c r="W201" s="503" t="s">
        <v>482</v>
      </c>
      <c r="X201" s="503"/>
      <c r="Y201" s="503"/>
      <c r="Z201" s="503" t="s">
        <v>482</v>
      </c>
      <c r="AA201" s="503" t="s">
        <v>482</v>
      </c>
      <c r="AB201" s="503" t="s">
        <v>482</v>
      </c>
      <c r="AC201" s="503" t="s">
        <v>482</v>
      </c>
      <c r="AD201" s="503" t="s">
        <v>482</v>
      </c>
      <c r="AE201" s="503"/>
      <c r="AF201" s="503"/>
      <c r="AG201" s="503" t="s">
        <v>482</v>
      </c>
      <c r="AH201" s="693">
        <v>41</v>
      </c>
      <c r="AI201" s="694">
        <v>33</v>
      </c>
    </row>
    <row r="202" spans="1:35" ht="21" customHeight="1" x14ac:dyDescent="0.2">
      <c r="A202" s="152">
        <v>8500</v>
      </c>
      <c r="B202" s="152" t="s">
        <v>655</v>
      </c>
      <c r="C202" s="503"/>
      <c r="D202" s="503"/>
      <c r="E202" s="503" t="s">
        <v>482</v>
      </c>
      <c r="F202" s="503" t="s">
        <v>482</v>
      </c>
      <c r="G202" s="503" t="s">
        <v>482</v>
      </c>
      <c r="H202" s="503" t="s">
        <v>482</v>
      </c>
      <c r="I202" s="503" t="s">
        <v>482</v>
      </c>
      <c r="J202" s="503"/>
      <c r="K202" s="503"/>
      <c r="L202" s="503" t="s">
        <v>482</v>
      </c>
      <c r="M202" s="503" t="s">
        <v>482</v>
      </c>
      <c r="N202" s="503" t="s">
        <v>482</v>
      </c>
      <c r="O202" s="503" t="s">
        <v>482</v>
      </c>
      <c r="P202" s="503" t="s">
        <v>482</v>
      </c>
      <c r="Q202" s="503"/>
      <c r="R202" s="503"/>
      <c r="S202" s="1059" t="s">
        <v>482</v>
      </c>
      <c r="T202" s="1059" t="s">
        <v>482</v>
      </c>
      <c r="U202" s="1059" t="s">
        <v>482</v>
      </c>
      <c r="V202" s="1059" t="s">
        <v>482</v>
      </c>
      <c r="W202" s="1059" t="s">
        <v>482</v>
      </c>
      <c r="X202" s="1059"/>
      <c r="Y202" s="1059"/>
      <c r="Z202" s="503" t="s">
        <v>482</v>
      </c>
      <c r="AA202" s="503" t="s">
        <v>482</v>
      </c>
      <c r="AB202" s="503" t="s">
        <v>482</v>
      </c>
      <c r="AC202" s="503" t="s">
        <v>482</v>
      </c>
      <c r="AD202" s="503" t="s">
        <v>482</v>
      </c>
      <c r="AE202" s="503"/>
      <c r="AF202" s="503"/>
      <c r="AG202" s="503" t="s">
        <v>482</v>
      </c>
      <c r="AH202" s="693">
        <v>44</v>
      </c>
      <c r="AI202" s="694">
        <v>37</v>
      </c>
    </row>
    <row r="203" spans="1:35" ht="21.95" customHeight="1" x14ac:dyDescent="0.2">
      <c r="A203" s="441"/>
      <c r="B203" s="152" t="s">
        <v>656</v>
      </c>
      <c r="C203" s="503"/>
      <c r="D203" s="503"/>
      <c r="E203" s="503" t="s">
        <v>482</v>
      </c>
      <c r="F203" s="503" t="s">
        <v>482</v>
      </c>
      <c r="G203" s="503" t="s">
        <v>482</v>
      </c>
      <c r="H203" s="503" t="s">
        <v>482</v>
      </c>
      <c r="I203" s="503" t="s">
        <v>482</v>
      </c>
      <c r="J203" s="503"/>
      <c r="K203" s="503"/>
      <c r="L203" s="503" t="s">
        <v>482</v>
      </c>
      <c r="M203" s="503" t="s">
        <v>482</v>
      </c>
      <c r="N203" s="503" t="s">
        <v>482</v>
      </c>
      <c r="O203" s="503" t="s">
        <v>482</v>
      </c>
      <c r="P203" s="503" t="s">
        <v>482</v>
      </c>
      <c r="Q203" s="503"/>
      <c r="R203" s="503"/>
      <c r="S203" s="503" t="s">
        <v>482</v>
      </c>
      <c r="T203" s="503" t="s">
        <v>482</v>
      </c>
      <c r="U203" s="503" t="s">
        <v>482</v>
      </c>
      <c r="V203" s="503" t="s">
        <v>482</v>
      </c>
      <c r="W203" s="503" t="s">
        <v>482</v>
      </c>
      <c r="X203" s="503"/>
      <c r="Y203" s="503"/>
      <c r="Z203" s="503" t="s">
        <v>482</v>
      </c>
      <c r="AA203" s="503" t="s">
        <v>482</v>
      </c>
      <c r="AB203" s="503" t="s">
        <v>482</v>
      </c>
      <c r="AC203" s="503" t="s">
        <v>482</v>
      </c>
      <c r="AD203" s="503" t="s">
        <v>482</v>
      </c>
      <c r="AE203" s="503"/>
      <c r="AF203" s="503"/>
      <c r="AG203" s="503" t="s">
        <v>482</v>
      </c>
      <c r="AH203" s="693">
        <v>111</v>
      </c>
      <c r="AI203" s="694">
        <v>37</v>
      </c>
    </row>
    <row r="204" spans="1:35" ht="21.95" customHeight="1" x14ac:dyDescent="0.2">
      <c r="A204" s="512">
        <v>3350</v>
      </c>
      <c r="B204" s="54" t="s">
        <v>657</v>
      </c>
      <c r="C204" s="503"/>
      <c r="D204" s="503"/>
      <c r="E204" s="1059" t="s">
        <v>482</v>
      </c>
      <c r="F204" s="1059" t="s">
        <v>482</v>
      </c>
      <c r="G204" s="1059" t="s">
        <v>482</v>
      </c>
      <c r="H204" s="1059" t="s">
        <v>482</v>
      </c>
      <c r="I204" s="1059" t="s">
        <v>482</v>
      </c>
      <c r="J204" s="1059"/>
      <c r="K204" s="1059"/>
      <c r="L204" s="1337" t="s">
        <v>482</v>
      </c>
      <c r="M204" s="1104" t="s">
        <v>482</v>
      </c>
      <c r="N204" s="1104" t="s">
        <v>482</v>
      </c>
      <c r="O204" s="1104" t="s">
        <v>482</v>
      </c>
      <c r="P204" s="1104" t="s">
        <v>482</v>
      </c>
      <c r="Q204" s="1104"/>
      <c r="R204" s="1104"/>
      <c r="S204" s="1104" t="s">
        <v>482</v>
      </c>
      <c r="T204" s="1104" t="s">
        <v>482</v>
      </c>
      <c r="U204" s="1104" t="s">
        <v>617</v>
      </c>
      <c r="V204" s="503" t="s">
        <v>482</v>
      </c>
      <c r="W204" s="503" t="s">
        <v>482</v>
      </c>
      <c r="X204" s="503"/>
      <c r="Y204" s="503"/>
      <c r="Z204" s="503" t="s">
        <v>482</v>
      </c>
      <c r="AA204" s="503" t="s">
        <v>482</v>
      </c>
      <c r="AB204" s="503" t="s">
        <v>482</v>
      </c>
      <c r="AC204" s="503" t="s">
        <v>482</v>
      </c>
      <c r="AD204" s="503" t="s">
        <v>482</v>
      </c>
      <c r="AE204" s="503"/>
      <c r="AF204" s="503"/>
      <c r="AG204" s="503" t="s">
        <v>482</v>
      </c>
      <c r="AH204" s="693">
        <v>37</v>
      </c>
      <c r="AI204" s="694">
        <v>37</v>
      </c>
    </row>
    <row r="205" spans="1:35" ht="21.95" customHeight="1" x14ac:dyDescent="0.2">
      <c r="A205" s="524">
        <v>3701</v>
      </c>
      <c r="B205" s="152" t="s">
        <v>658</v>
      </c>
      <c r="C205" s="503"/>
      <c r="D205" s="503"/>
      <c r="E205" s="503" t="s">
        <v>482</v>
      </c>
      <c r="F205" s="503" t="s">
        <v>482</v>
      </c>
      <c r="G205" s="503" t="s">
        <v>482</v>
      </c>
      <c r="H205" s="503" t="s">
        <v>482</v>
      </c>
      <c r="I205" s="503" t="s">
        <v>482</v>
      </c>
      <c r="J205" s="503"/>
      <c r="K205" s="503"/>
      <c r="L205" s="503" t="s">
        <v>482</v>
      </c>
      <c r="M205" s="503" t="s">
        <v>482</v>
      </c>
      <c r="N205" s="503" t="s">
        <v>482</v>
      </c>
      <c r="O205" s="503" t="s">
        <v>482</v>
      </c>
      <c r="P205" s="503" t="s">
        <v>482</v>
      </c>
      <c r="Q205" s="503"/>
      <c r="R205" s="503"/>
      <c r="S205" s="503" t="s">
        <v>482</v>
      </c>
      <c r="T205" s="503" t="s">
        <v>482</v>
      </c>
      <c r="U205" s="503" t="s">
        <v>482</v>
      </c>
      <c r="V205" s="1059" t="s">
        <v>482</v>
      </c>
      <c r="W205" s="1059" t="s">
        <v>482</v>
      </c>
      <c r="X205" s="503"/>
      <c r="Y205" s="503"/>
      <c r="Z205" s="503" t="s">
        <v>482</v>
      </c>
      <c r="AA205" s="503" t="s">
        <v>482</v>
      </c>
      <c r="AB205" s="503" t="s">
        <v>482</v>
      </c>
      <c r="AC205" s="503" t="s">
        <v>482</v>
      </c>
      <c r="AD205" s="503" t="s">
        <v>482</v>
      </c>
      <c r="AE205" s="503"/>
      <c r="AF205" s="503"/>
      <c r="AG205" s="1058" t="s">
        <v>482</v>
      </c>
      <c r="AH205" s="705">
        <v>60</v>
      </c>
      <c r="AI205" s="706">
        <v>23</v>
      </c>
    </row>
    <row r="206" spans="1:35" ht="25.5" customHeight="1" x14ac:dyDescent="0.2">
      <c r="A206" s="1" t="s">
        <v>683</v>
      </c>
    </row>
    <row r="207" spans="1:35" ht="21" customHeight="1" x14ac:dyDescent="0.2">
      <c r="A207" s="1"/>
      <c r="B207" s="200" t="s">
        <v>604</v>
      </c>
      <c r="C207" s="7"/>
      <c r="D207" s="530" t="s">
        <v>2</v>
      </c>
      <c r="E207" s="51"/>
      <c r="F207" s="573"/>
      <c r="G207" s="7"/>
      <c r="H207" s="530" t="s">
        <v>3</v>
      </c>
      <c r="I207" s="51"/>
      <c r="J207" s="573"/>
      <c r="K207" s="7"/>
      <c r="L207" s="530" t="s">
        <v>4</v>
      </c>
      <c r="M207" s="51"/>
      <c r="N207" s="573"/>
      <c r="O207" s="7"/>
      <c r="P207" s="530" t="s">
        <v>5</v>
      </c>
      <c r="Q207" s="51"/>
      <c r="R207" s="573"/>
      <c r="S207" s="7"/>
      <c r="T207" s="530" t="s">
        <v>6</v>
      </c>
      <c r="U207" s="51"/>
      <c r="V207" s="573"/>
      <c r="W207" s="7"/>
      <c r="X207" s="530" t="s">
        <v>7</v>
      </c>
      <c r="Y207" s="51"/>
      <c r="Z207" s="573"/>
      <c r="AA207" s="7"/>
      <c r="AB207" s="530" t="s">
        <v>8</v>
      </c>
      <c r="AC207" s="51"/>
      <c r="AD207" s="51"/>
      <c r="AE207" s="424" t="s">
        <v>10</v>
      </c>
      <c r="AF207" s="51"/>
      <c r="AG207" s="51"/>
      <c r="AH207" s="51"/>
      <c r="AI207" s="531"/>
    </row>
    <row r="208" spans="1:35" ht="21" customHeight="1" x14ac:dyDescent="0.2">
      <c r="A208" s="1"/>
      <c r="B208" s="9"/>
      <c r="C208" s="14"/>
      <c r="D208" s="659"/>
      <c r="E208" s="55"/>
      <c r="F208" s="580"/>
      <c r="G208" s="14"/>
      <c r="H208" s="659"/>
      <c r="I208" s="55"/>
      <c r="J208" s="580"/>
      <c r="K208" s="14"/>
      <c r="L208" s="659"/>
      <c r="M208" s="55"/>
      <c r="N208" s="580"/>
      <c r="O208" s="14"/>
      <c r="P208" s="659"/>
      <c r="Q208" s="55"/>
      <c r="R208" s="580"/>
      <c r="S208" s="14"/>
      <c r="T208" s="659"/>
      <c r="U208" s="55"/>
      <c r="V208" s="580"/>
      <c r="W208" s="14"/>
      <c r="X208" s="659"/>
      <c r="Y208" s="55"/>
      <c r="Z208" s="580"/>
      <c r="AA208" s="14"/>
      <c r="AB208" s="659"/>
      <c r="AC208" s="55"/>
      <c r="AD208" s="55"/>
      <c r="AE208" s="660"/>
      <c r="AF208" s="55"/>
      <c r="AG208" s="55"/>
      <c r="AH208" s="55"/>
      <c r="AI208" s="661"/>
    </row>
    <row r="209" spans="1:35" ht="21" customHeight="1" x14ac:dyDescent="0.2">
      <c r="B209" s="662"/>
      <c r="C209" s="121"/>
      <c r="D209" s="156"/>
      <c r="E209" s="156"/>
      <c r="F209" s="612"/>
      <c r="G209" s="121"/>
      <c r="H209" s="156"/>
      <c r="I209" s="156"/>
      <c r="J209" s="612"/>
      <c r="K209" s="121"/>
      <c r="L209" s="156"/>
      <c r="M209" s="156"/>
      <c r="N209" s="612"/>
      <c r="O209" s="121"/>
      <c r="P209" s="156"/>
      <c r="Q209" s="156"/>
      <c r="R209" s="612"/>
      <c r="S209" s="121"/>
      <c r="T209" s="156"/>
      <c r="U209" s="156"/>
      <c r="V209" s="612"/>
      <c r="W209" s="121"/>
      <c r="X209" s="156"/>
      <c r="Y209" s="156"/>
      <c r="Z209" s="612"/>
      <c r="AA209" s="611"/>
      <c r="AB209" s="156"/>
      <c r="AC209" s="156"/>
      <c r="AD209" s="613"/>
      <c r="AE209" s="663"/>
      <c r="AF209" s="156"/>
      <c r="AG209" s="156" t="s">
        <v>28</v>
      </c>
      <c r="AH209" s="613"/>
      <c r="AI209" s="489"/>
    </row>
    <row r="210" spans="1:35" ht="21" customHeight="1" x14ac:dyDescent="0.2">
      <c r="A210" s="1"/>
      <c r="B210" s="47"/>
      <c r="C210" s="618"/>
      <c r="D210" s="53"/>
      <c r="E210" s="53"/>
      <c r="F210" s="619"/>
      <c r="G210" s="618"/>
      <c r="H210" s="53"/>
      <c r="I210" s="53"/>
      <c r="J210" s="619"/>
      <c r="K210" s="618"/>
      <c r="L210" s="53"/>
      <c r="M210" s="53"/>
      <c r="N210" s="619"/>
      <c r="O210" s="618"/>
      <c r="P210" s="53"/>
      <c r="Q210" s="53"/>
      <c r="R210" s="619"/>
      <c r="S210" s="618"/>
      <c r="T210" s="53"/>
      <c r="U210" s="53"/>
      <c r="V210" s="619"/>
      <c r="W210" s="57"/>
      <c r="X210" s="53"/>
      <c r="Y210" s="53"/>
      <c r="Z210" s="619"/>
      <c r="AA210" s="57"/>
      <c r="AB210" s="53"/>
      <c r="AC210" s="53"/>
      <c r="AD210" s="620"/>
      <c r="AE210" s="57"/>
      <c r="AF210" s="53"/>
      <c r="AG210" s="53"/>
      <c r="AH210" s="620"/>
      <c r="AI210" s="544"/>
    </row>
    <row r="211" spans="1:35" ht="33" customHeight="1" x14ac:dyDescent="0.2">
      <c r="A211" s="1"/>
      <c r="B211" s="72"/>
      <c r="C211" s="311"/>
      <c r="F211" s="353"/>
      <c r="G211" s="311"/>
      <c r="J211" s="353"/>
      <c r="K211" s="311"/>
      <c r="N211" s="353"/>
      <c r="O211" s="311"/>
      <c r="R211" s="353"/>
      <c r="S211" s="311"/>
      <c r="V211" s="353"/>
      <c r="W211" s="353"/>
      <c r="Z211" s="353"/>
      <c r="AA211" s="353"/>
      <c r="AD211" s="353"/>
      <c r="AE211" s="353"/>
      <c r="AH211" s="353"/>
    </row>
    <row r="212" spans="1:35" ht="21" customHeight="1" x14ac:dyDescent="0.2">
      <c r="A212" s="585" t="s">
        <v>468</v>
      </c>
      <c r="B212" s="296" t="s">
        <v>469</v>
      </c>
      <c r="C212" s="497">
        <v>1</v>
      </c>
      <c r="D212" s="497">
        <v>2</v>
      </c>
      <c r="E212" s="177">
        <v>3</v>
      </c>
      <c r="F212" s="177">
        <v>4</v>
      </c>
      <c r="G212" s="177">
        <v>5</v>
      </c>
      <c r="H212" s="177">
        <v>6</v>
      </c>
      <c r="I212" s="177">
        <v>7</v>
      </c>
      <c r="J212" s="497">
        <v>8</v>
      </c>
      <c r="K212" s="497">
        <v>9</v>
      </c>
      <c r="L212" s="177">
        <v>10</v>
      </c>
      <c r="M212" s="177">
        <v>11</v>
      </c>
      <c r="N212" s="177">
        <v>12</v>
      </c>
      <c r="O212" s="177">
        <v>13</v>
      </c>
      <c r="P212" s="177">
        <v>14</v>
      </c>
      <c r="Q212" s="497">
        <v>15</v>
      </c>
      <c r="R212" s="497">
        <v>16</v>
      </c>
      <c r="S212" s="177">
        <v>17</v>
      </c>
      <c r="T212" s="177">
        <v>18</v>
      </c>
      <c r="U212" s="177">
        <v>19</v>
      </c>
      <c r="V212" s="177">
        <v>20</v>
      </c>
      <c r="W212" s="177">
        <v>21</v>
      </c>
      <c r="X212" s="497">
        <v>22</v>
      </c>
      <c r="Y212" s="497">
        <v>23</v>
      </c>
      <c r="Z212" s="177">
        <v>24</v>
      </c>
      <c r="AA212" s="177">
        <v>25</v>
      </c>
      <c r="AB212" s="177">
        <v>26</v>
      </c>
      <c r="AC212" s="177">
        <v>27</v>
      </c>
      <c r="AD212" s="177">
        <v>28</v>
      </c>
      <c r="AE212" s="497">
        <v>29</v>
      </c>
      <c r="AF212" s="497">
        <v>30</v>
      </c>
      <c r="AG212" s="177">
        <v>31</v>
      </c>
      <c r="AH212" s="499" t="s">
        <v>470</v>
      </c>
      <c r="AI212" s="500" t="s">
        <v>471</v>
      </c>
    </row>
    <row r="213" spans="1:35" ht="21" customHeight="1" x14ac:dyDescent="0.2">
      <c r="A213" s="441"/>
      <c r="B213" s="673" t="s">
        <v>661</v>
      </c>
      <c r="C213" s="503"/>
      <c r="D213" s="503"/>
      <c r="E213" s="503" t="s">
        <v>482</v>
      </c>
      <c r="F213" s="503" t="s">
        <v>482</v>
      </c>
      <c r="G213" s="503" t="s">
        <v>482</v>
      </c>
      <c r="H213" s="503" t="s">
        <v>482</v>
      </c>
      <c r="I213" s="503" t="s">
        <v>482</v>
      </c>
      <c r="J213" s="503"/>
      <c r="K213" s="503"/>
      <c r="L213" s="503" t="s">
        <v>482</v>
      </c>
      <c r="M213" s="503" t="s">
        <v>482</v>
      </c>
      <c r="N213" s="503" t="s">
        <v>482</v>
      </c>
      <c r="O213" s="503" t="s">
        <v>482</v>
      </c>
      <c r="P213" s="503" t="s">
        <v>482</v>
      </c>
      <c r="Q213" s="503"/>
      <c r="R213" s="503"/>
      <c r="S213" s="503" t="s">
        <v>482</v>
      </c>
      <c r="T213" s="503" t="s">
        <v>482</v>
      </c>
      <c r="U213" s="503" t="s">
        <v>482</v>
      </c>
      <c r="V213" s="503" t="s">
        <v>482</v>
      </c>
      <c r="W213" s="503" t="s">
        <v>482</v>
      </c>
      <c r="X213" s="503"/>
      <c r="Y213" s="503"/>
      <c r="Z213" s="503" t="s">
        <v>482</v>
      </c>
      <c r="AA213" s="503" t="s">
        <v>482</v>
      </c>
      <c r="AB213" s="503" t="s">
        <v>482</v>
      </c>
      <c r="AC213" s="503" t="s">
        <v>482</v>
      </c>
      <c r="AD213" s="503" t="s">
        <v>482</v>
      </c>
      <c r="AE213" s="503"/>
      <c r="AF213" s="503"/>
      <c r="AG213" s="503" t="s">
        <v>482</v>
      </c>
      <c r="AH213" s="703">
        <v>88</v>
      </c>
      <c r="AI213" s="704">
        <v>37</v>
      </c>
    </row>
    <row r="214" spans="1:35" ht="21" customHeight="1" x14ac:dyDescent="0.2">
      <c r="A214" s="441"/>
      <c r="B214" s="673" t="s">
        <v>662</v>
      </c>
      <c r="C214" s="503"/>
      <c r="D214" s="503"/>
      <c r="E214" s="503" t="s">
        <v>482</v>
      </c>
      <c r="F214" s="503" t="s">
        <v>482</v>
      </c>
      <c r="G214" s="503" t="s">
        <v>482</v>
      </c>
      <c r="H214" s="503" t="s">
        <v>482</v>
      </c>
      <c r="I214" s="503" t="s">
        <v>482</v>
      </c>
      <c r="J214" s="503"/>
      <c r="K214" s="503"/>
      <c r="L214" s="503" t="s">
        <v>482</v>
      </c>
      <c r="M214" s="503" t="s">
        <v>482</v>
      </c>
      <c r="N214" s="503" t="s">
        <v>482</v>
      </c>
      <c r="O214" s="503" t="s">
        <v>482</v>
      </c>
      <c r="P214" s="503" t="s">
        <v>482</v>
      </c>
      <c r="Q214" s="503"/>
      <c r="R214" s="503"/>
      <c r="S214" s="1059" t="s">
        <v>482</v>
      </c>
      <c r="T214" s="1059" t="s">
        <v>482</v>
      </c>
      <c r="U214" s="1059" t="s">
        <v>482</v>
      </c>
      <c r="V214" s="1059" t="s">
        <v>482</v>
      </c>
      <c r="W214" s="1059" t="s">
        <v>482</v>
      </c>
      <c r="X214" s="503"/>
      <c r="Y214" s="503"/>
      <c r="Z214" s="503" t="s">
        <v>482</v>
      </c>
      <c r="AA214" s="503" t="s">
        <v>482</v>
      </c>
      <c r="AB214" s="503" t="s">
        <v>482</v>
      </c>
      <c r="AC214" s="503" t="s">
        <v>482</v>
      </c>
      <c r="AD214" s="503" t="s">
        <v>482</v>
      </c>
      <c r="AE214" s="503"/>
      <c r="AF214" s="503"/>
      <c r="AG214" s="503" t="s">
        <v>482</v>
      </c>
      <c r="AH214" s="648">
        <v>103</v>
      </c>
      <c r="AI214" s="649">
        <v>37</v>
      </c>
    </row>
    <row r="215" spans="1:35" ht="21" customHeight="1" x14ac:dyDescent="0.2">
      <c r="A215" s="441"/>
      <c r="B215" s="673" t="s">
        <v>663</v>
      </c>
      <c r="C215" s="503"/>
      <c r="D215" s="503"/>
      <c r="E215" s="1104" t="s">
        <v>617</v>
      </c>
      <c r="F215" s="503" t="s">
        <v>482</v>
      </c>
      <c r="G215" s="503" t="s">
        <v>482</v>
      </c>
      <c r="H215" s="503" t="s">
        <v>482</v>
      </c>
      <c r="I215" s="503" t="s">
        <v>482</v>
      </c>
      <c r="J215" s="503"/>
      <c r="K215" s="503"/>
      <c r="L215" s="503" t="s">
        <v>482</v>
      </c>
      <c r="M215" s="503" t="s">
        <v>482</v>
      </c>
      <c r="N215" s="503" t="s">
        <v>482</v>
      </c>
      <c r="O215" s="503" t="s">
        <v>482</v>
      </c>
      <c r="P215" s="503" t="s">
        <v>482</v>
      </c>
      <c r="Q215" s="503"/>
      <c r="R215" s="503"/>
      <c r="S215" s="503" t="s">
        <v>482</v>
      </c>
      <c r="T215" s="503" t="s">
        <v>482</v>
      </c>
      <c r="U215" s="503" t="s">
        <v>482</v>
      </c>
      <c r="V215" s="503" t="s">
        <v>482</v>
      </c>
      <c r="W215" s="503" t="s">
        <v>482</v>
      </c>
      <c r="X215" s="503"/>
      <c r="Y215" s="503"/>
      <c r="Z215" s="503" t="s">
        <v>482</v>
      </c>
      <c r="AA215" s="503" t="s">
        <v>482</v>
      </c>
      <c r="AB215" s="503" t="s">
        <v>482</v>
      </c>
      <c r="AC215" s="1059" t="s">
        <v>482</v>
      </c>
      <c r="AD215" s="1059" t="s">
        <v>482</v>
      </c>
      <c r="AE215" s="503"/>
      <c r="AF215" s="503"/>
      <c r="AG215" s="503" t="s">
        <v>482</v>
      </c>
      <c r="AH215" s="648">
        <v>56</v>
      </c>
      <c r="AI215" s="649">
        <v>23</v>
      </c>
    </row>
    <row r="216" spans="1:35" ht="21" customHeight="1" x14ac:dyDescent="0.2">
      <c r="A216" s="441"/>
      <c r="B216" s="673" t="s">
        <v>664</v>
      </c>
      <c r="C216" s="503"/>
      <c r="D216" s="503"/>
      <c r="E216" s="503" t="s">
        <v>482</v>
      </c>
      <c r="F216" s="503" t="s">
        <v>482</v>
      </c>
      <c r="G216" s="503" t="s">
        <v>482</v>
      </c>
      <c r="H216" s="503" t="s">
        <v>482</v>
      </c>
      <c r="I216" s="503" t="s">
        <v>482</v>
      </c>
      <c r="J216" s="503"/>
      <c r="K216" s="503"/>
      <c r="L216" s="503" t="s">
        <v>482</v>
      </c>
      <c r="M216" s="503" t="s">
        <v>482</v>
      </c>
      <c r="N216" s="503" t="s">
        <v>482</v>
      </c>
      <c r="O216" s="503" t="s">
        <v>482</v>
      </c>
      <c r="P216" s="503" t="s">
        <v>482</v>
      </c>
      <c r="Q216" s="503"/>
      <c r="R216" s="503"/>
      <c r="S216" s="503" t="s">
        <v>482</v>
      </c>
      <c r="T216" s="503" t="s">
        <v>482</v>
      </c>
      <c r="U216" s="503" t="s">
        <v>482</v>
      </c>
      <c r="V216" s="503" t="s">
        <v>482</v>
      </c>
      <c r="W216" s="503" t="s">
        <v>482</v>
      </c>
      <c r="X216" s="503"/>
      <c r="Y216" s="503"/>
      <c r="Z216" s="503" t="s">
        <v>482</v>
      </c>
      <c r="AA216" s="503" t="s">
        <v>482</v>
      </c>
      <c r="AB216" s="503" t="s">
        <v>482</v>
      </c>
      <c r="AC216" s="503" t="s">
        <v>482</v>
      </c>
      <c r="AD216" s="1081" t="s">
        <v>482</v>
      </c>
      <c r="AE216" s="503"/>
      <c r="AF216" s="503"/>
      <c r="AG216" s="503" t="s">
        <v>482</v>
      </c>
      <c r="AH216" s="648">
        <v>72</v>
      </c>
      <c r="AI216" s="649">
        <v>31</v>
      </c>
    </row>
    <row r="217" spans="1:35" ht="21" customHeight="1" x14ac:dyDescent="0.2">
      <c r="A217" s="441"/>
      <c r="B217" s="673" t="s">
        <v>665</v>
      </c>
      <c r="C217" s="503"/>
      <c r="D217" s="503"/>
      <c r="E217" s="503" t="s">
        <v>482</v>
      </c>
      <c r="F217" s="503" t="s">
        <v>482</v>
      </c>
      <c r="G217" s="503" t="s">
        <v>482</v>
      </c>
      <c r="H217" s="503" t="s">
        <v>482</v>
      </c>
      <c r="I217" s="503" t="s">
        <v>482</v>
      </c>
      <c r="J217" s="503"/>
      <c r="K217" s="503"/>
      <c r="L217" s="503" t="s">
        <v>482</v>
      </c>
      <c r="M217" s="503" t="s">
        <v>482</v>
      </c>
      <c r="N217" s="503" t="s">
        <v>482</v>
      </c>
      <c r="O217" s="503" t="s">
        <v>482</v>
      </c>
      <c r="P217" s="503" t="s">
        <v>482</v>
      </c>
      <c r="Q217" s="503"/>
      <c r="R217" s="503"/>
      <c r="S217" s="503" t="s">
        <v>482</v>
      </c>
      <c r="T217" s="503" t="s">
        <v>482</v>
      </c>
      <c r="U217" s="503" t="s">
        <v>482</v>
      </c>
      <c r="V217" s="503" t="s">
        <v>482</v>
      </c>
      <c r="W217" s="503" t="s">
        <v>482</v>
      </c>
      <c r="X217" s="503"/>
      <c r="Y217" s="503"/>
      <c r="Z217" s="503" t="s">
        <v>482</v>
      </c>
      <c r="AA217" s="503" t="s">
        <v>482</v>
      </c>
      <c r="AB217" s="503" t="s">
        <v>482</v>
      </c>
      <c r="AC217" s="503" t="s">
        <v>482</v>
      </c>
      <c r="AD217" s="503" t="s">
        <v>482</v>
      </c>
      <c r="AE217" s="503"/>
      <c r="AF217" s="503"/>
      <c r="AG217" s="503" t="s">
        <v>482</v>
      </c>
      <c r="AH217" s="648">
        <v>185</v>
      </c>
      <c r="AI217" s="649">
        <v>37</v>
      </c>
    </row>
    <row r="218" spans="1:35" ht="21" customHeight="1" x14ac:dyDescent="0.2">
      <c r="A218" s="441"/>
      <c r="B218" s="673" t="s">
        <v>666</v>
      </c>
      <c r="C218" s="503"/>
      <c r="D218" s="503"/>
      <c r="E218" s="503" t="s">
        <v>482</v>
      </c>
      <c r="F218" s="503" t="s">
        <v>482</v>
      </c>
      <c r="G218" s="503" t="s">
        <v>482</v>
      </c>
      <c r="H218" s="503" t="s">
        <v>482</v>
      </c>
      <c r="I218" s="503" t="s">
        <v>482</v>
      </c>
      <c r="J218" s="503"/>
      <c r="K218" s="503"/>
      <c r="L218" s="503" t="s">
        <v>482</v>
      </c>
      <c r="M218" s="503" t="s">
        <v>482</v>
      </c>
      <c r="N218" s="503" t="s">
        <v>482</v>
      </c>
      <c r="O218" s="503" t="s">
        <v>482</v>
      </c>
      <c r="P218" s="503" t="s">
        <v>482</v>
      </c>
      <c r="Q218" s="503"/>
      <c r="R218" s="503"/>
      <c r="S218" s="503" t="s">
        <v>482</v>
      </c>
      <c r="T218" s="503" t="s">
        <v>482</v>
      </c>
      <c r="U218" s="503" t="s">
        <v>482</v>
      </c>
      <c r="V218" s="503" t="s">
        <v>482</v>
      </c>
      <c r="W218" s="503" t="s">
        <v>482</v>
      </c>
      <c r="X218" s="503"/>
      <c r="Y218" s="503"/>
      <c r="Z218" s="503" t="s">
        <v>482</v>
      </c>
      <c r="AA218" s="503" t="s">
        <v>482</v>
      </c>
      <c r="AB218" s="503" t="s">
        <v>482</v>
      </c>
      <c r="AC218" s="503" t="s">
        <v>482</v>
      </c>
      <c r="AD218" s="503" t="s">
        <v>482</v>
      </c>
      <c r="AE218" s="503"/>
      <c r="AF218" s="503"/>
      <c r="AG218" s="503" t="s">
        <v>482</v>
      </c>
      <c r="AH218" s="648">
        <v>177</v>
      </c>
      <c r="AI218" s="649">
        <v>37</v>
      </c>
    </row>
    <row r="219" spans="1:35" ht="21" customHeight="1" x14ac:dyDescent="0.2">
      <c r="A219" s="441"/>
      <c r="B219" s="673" t="s">
        <v>667</v>
      </c>
      <c r="C219" s="503"/>
      <c r="D219" s="503"/>
      <c r="E219" s="503" t="s">
        <v>482</v>
      </c>
      <c r="F219" s="503" t="s">
        <v>482</v>
      </c>
      <c r="G219" s="503" t="s">
        <v>482</v>
      </c>
      <c r="H219" s="503" t="s">
        <v>482</v>
      </c>
      <c r="I219" s="503" t="s">
        <v>482</v>
      </c>
      <c r="J219" s="503"/>
      <c r="K219" s="503"/>
      <c r="L219" s="503" t="s">
        <v>482</v>
      </c>
      <c r="M219" s="503" t="s">
        <v>482</v>
      </c>
      <c r="N219" s="503" t="s">
        <v>482</v>
      </c>
      <c r="O219" s="503" t="s">
        <v>482</v>
      </c>
      <c r="P219" s="503" t="s">
        <v>482</v>
      </c>
      <c r="Q219" s="503"/>
      <c r="R219" s="503"/>
      <c r="S219" s="503" t="s">
        <v>482</v>
      </c>
      <c r="T219" s="503" t="s">
        <v>482</v>
      </c>
      <c r="U219" s="503" t="s">
        <v>482</v>
      </c>
      <c r="V219" s="503" t="s">
        <v>482</v>
      </c>
      <c r="W219" s="503" t="s">
        <v>482</v>
      </c>
      <c r="X219" s="503"/>
      <c r="Y219" s="503"/>
      <c r="Z219" s="503" t="s">
        <v>482</v>
      </c>
      <c r="AA219" s="503" t="s">
        <v>482</v>
      </c>
      <c r="AB219" s="503" t="s">
        <v>482</v>
      </c>
      <c r="AC219" s="503" t="s">
        <v>482</v>
      </c>
      <c r="AD219" s="503" t="s">
        <v>482</v>
      </c>
      <c r="AE219" s="503"/>
      <c r="AF219" s="503"/>
      <c r="AG219" s="503" t="s">
        <v>482</v>
      </c>
      <c r="AH219" s="648">
        <v>111</v>
      </c>
      <c r="AI219" s="649">
        <v>37</v>
      </c>
    </row>
    <row r="220" spans="1:35" ht="21" customHeight="1" x14ac:dyDescent="0.2">
      <c r="A220" s="441"/>
      <c r="B220" s="673" t="s">
        <v>668</v>
      </c>
      <c r="C220" s="503"/>
      <c r="D220" s="503"/>
      <c r="E220" s="503" t="s">
        <v>482</v>
      </c>
      <c r="F220" s="503" t="s">
        <v>482</v>
      </c>
      <c r="G220" s="503" t="s">
        <v>482</v>
      </c>
      <c r="H220" s="503" t="s">
        <v>482</v>
      </c>
      <c r="I220" s="503" t="s">
        <v>482</v>
      </c>
      <c r="J220" s="503"/>
      <c r="K220" s="503"/>
      <c r="L220" s="503" t="s">
        <v>482</v>
      </c>
      <c r="M220" s="503" t="s">
        <v>482</v>
      </c>
      <c r="N220" s="503" t="s">
        <v>482</v>
      </c>
      <c r="O220" s="503" t="s">
        <v>482</v>
      </c>
      <c r="P220" s="503" t="s">
        <v>482</v>
      </c>
      <c r="Q220" s="503"/>
      <c r="R220" s="503"/>
      <c r="S220" s="503" t="s">
        <v>482</v>
      </c>
      <c r="T220" s="503" t="s">
        <v>482</v>
      </c>
      <c r="U220" s="503" t="s">
        <v>482</v>
      </c>
      <c r="V220" s="503" t="s">
        <v>482</v>
      </c>
      <c r="W220" s="503" t="s">
        <v>482</v>
      </c>
      <c r="X220" s="503"/>
      <c r="Y220" s="503"/>
      <c r="Z220" s="503" t="s">
        <v>482</v>
      </c>
      <c r="AA220" s="503" t="s">
        <v>482</v>
      </c>
      <c r="AB220" s="503" t="s">
        <v>482</v>
      </c>
      <c r="AC220" s="503" t="s">
        <v>482</v>
      </c>
      <c r="AD220" s="503" t="s">
        <v>482</v>
      </c>
      <c r="AE220" s="503"/>
      <c r="AF220" s="503"/>
      <c r="AG220" s="503" t="s">
        <v>482</v>
      </c>
      <c r="AH220" s="648">
        <v>68</v>
      </c>
      <c r="AI220" s="649">
        <v>18</v>
      </c>
    </row>
    <row r="221" spans="1:35" ht="21" customHeight="1" x14ac:dyDescent="0.2">
      <c r="A221" s="441"/>
      <c r="B221" s="673" t="s">
        <v>669</v>
      </c>
      <c r="C221" s="1104"/>
      <c r="D221" s="1104"/>
      <c r="E221" s="1104" t="s">
        <v>482</v>
      </c>
      <c r="F221" s="1104" t="s">
        <v>482</v>
      </c>
      <c r="G221" s="1104" t="s">
        <v>482</v>
      </c>
      <c r="H221" s="1104" t="s">
        <v>482</v>
      </c>
      <c r="I221" s="1104" t="s">
        <v>482</v>
      </c>
      <c r="J221" s="1104"/>
      <c r="K221" s="1104"/>
      <c r="L221" s="1104" t="s">
        <v>482</v>
      </c>
      <c r="M221" s="1104" t="s">
        <v>482</v>
      </c>
      <c r="N221" s="1104" t="s">
        <v>482</v>
      </c>
      <c r="O221" s="1104" t="s">
        <v>482</v>
      </c>
      <c r="P221" s="1104" t="s">
        <v>482</v>
      </c>
      <c r="Q221" s="1104"/>
      <c r="R221" s="1104"/>
      <c r="S221" s="503" t="s">
        <v>482</v>
      </c>
      <c r="T221" s="503" t="s">
        <v>482</v>
      </c>
      <c r="U221" s="503" t="s">
        <v>482</v>
      </c>
      <c r="V221" s="503" t="s">
        <v>482</v>
      </c>
      <c r="W221" s="503" t="s">
        <v>482</v>
      </c>
      <c r="X221" s="503"/>
      <c r="Y221" s="503"/>
      <c r="Z221" s="503" t="s">
        <v>482</v>
      </c>
      <c r="AA221" s="503" t="s">
        <v>482</v>
      </c>
      <c r="AB221" s="503" t="s">
        <v>482</v>
      </c>
      <c r="AC221" s="503" t="s">
        <v>482</v>
      </c>
      <c r="AD221" s="503" t="s">
        <v>482</v>
      </c>
      <c r="AE221" s="503"/>
      <c r="AF221" s="503"/>
      <c r="AG221" s="503" t="s">
        <v>482</v>
      </c>
      <c r="AH221" s="648">
        <v>74</v>
      </c>
      <c r="AI221" s="649">
        <v>37</v>
      </c>
    </row>
    <row r="222" spans="1:35" ht="21" customHeight="1" x14ac:dyDescent="0.2">
      <c r="A222" s="441"/>
      <c r="B222" s="673" t="s">
        <v>670</v>
      </c>
      <c r="C222" s="503"/>
      <c r="D222" s="503"/>
      <c r="E222" s="503" t="s">
        <v>482</v>
      </c>
      <c r="F222" s="503" t="s">
        <v>482</v>
      </c>
      <c r="G222" s="503" t="s">
        <v>482</v>
      </c>
      <c r="H222" s="503" t="s">
        <v>482</v>
      </c>
      <c r="I222" s="503" t="s">
        <v>482</v>
      </c>
      <c r="J222" s="503"/>
      <c r="K222" s="503"/>
      <c r="L222" s="503" t="s">
        <v>482</v>
      </c>
      <c r="M222" s="503" t="s">
        <v>482</v>
      </c>
      <c r="N222" s="503" t="s">
        <v>482</v>
      </c>
      <c r="O222" s="503" t="s">
        <v>482</v>
      </c>
      <c r="P222" s="503" t="s">
        <v>482</v>
      </c>
      <c r="Q222" s="503"/>
      <c r="R222" s="503"/>
      <c r="S222" s="503" t="s">
        <v>482</v>
      </c>
      <c r="T222" s="503" t="s">
        <v>482</v>
      </c>
      <c r="U222" s="503" t="s">
        <v>482</v>
      </c>
      <c r="V222" s="503" t="s">
        <v>482</v>
      </c>
      <c r="W222" s="503" t="s">
        <v>482</v>
      </c>
      <c r="X222" s="503"/>
      <c r="Y222" s="503"/>
      <c r="Z222" s="503" t="s">
        <v>482</v>
      </c>
      <c r="AA222" s="503" t="s">
        <v>482</v>
      </c>
      <c r="AB222" s="503" t="s">
        <v>482</v>
      </c>
      <c r="AC222" s="503" t="s">
        <v>482</v>
      </c>
      <c r="AD222" s="503" t="s">
        <v>482</v>
      </c>
      <c r="AE222" s="503"/>
      <c r="AF222" s="503"/>
      <c r="AG222" s="503" t="s">
        <v>482</v>
      </c>
      <c r="AH222" s="648">
        <v>74</v>
      </c>
      <c r="AI222" s="649">
        <v>37</v>
      </c>
    </row>
    <row r="223" spans="1:35" ht="21" customHeight="1" x14ac:dyDescent="0.2">
      <c r="A223" s="441"/>
      <c r="B223" s="673" t="s">
        <v>745</v>
      </c>
      <c r="C223" s="503"/>
      <c r="D223" s="503"/>
      <c r="E223" s="503" t="s">
        <v>482</v>
      </c>
      <c r="F223" s="503" t="s">
        <v>482</v>
      </c>
      <c r="G223" s="503" t="s">
        <v>482</v>
      </c>
      <c r="H223" s="503" t="s">
        <v>482</v>
      </c>
      <c r="I223" s="503" t="s">
        <v>482</v>
      </c>
      <c r="J223" s="503"/>
      <c r="K223" s="503"/>
      <c r="L223" s="503" t="s">
        <v>482</v>
      </c>
      <c r="M223" s="503" t="s">
        <v>482</v>
      </c>
      <c r="N223" s="503" t="s">
        <v>482</v>
      </c>
      <c r="O223" s="503" t="s">
        <v>482</v>
      </c>
      <c r="P223" s="503" t="s">
        <v>482</v>
      </c>
      <c r="Q223" s="503"/>
      <c r="R223" s="503"/>
      <c r="S223" s="503" t="s">
        <v>482</v>
      </c>
      <c r="T223" s="503" t="s">
        <v>482</v>
      </c>
      <c r="U223" s="503" t="s">
        <v>482</v>
      </c>
      <c r="V223" s="503" t="s">
        <v>482</v>
      </c>
      <c r="W223" s="503" t="s">
        <v>482</v>
      </c>
      <c r="X223" s="503"/>
      <c r="Y223" s="503"/>
      <c r="Z223" s="503" t="s">
        <v>482</v>
      </c>
      <c r="AA223" s="503" t="s">
        <v>482</v>
      </c>
      <c r="AB223" s="503" t="s">
        <v>482</v>
      </c>
      <c r="AC223" s="503" t="s">
        <v>482</v>
      </c>
      <c r="AD223" s="503" t="s">
        <v>482</v>
      </c>
      <c r="AE223" s="503"/>
      <c r="AF223" s="503"/>
      <c r="AG223" s="503" t="s">
        <v>482</v>
      </c>
      <c r="AH223" s="648">
        <v>148</v>
      </c>
      <c r="AI223" s="649">
        <v>37</v>
      </c>
    </row>
    <row r="224" spans="1:35" ht="21" customHeight="1" x14ac:dyDescent="0.2">
      <c r="A224" s="441"/>
      <c r="B224" s="152" t="s">
        <v>671</v>
      </c>
      <c r="C224" s="503"/>
      <c r="D224" s="503"/>
      <c r="E224" s="503" t="s">
        <v>482</v>
      </c>
      <c r="F224" s="503" t="s">
        <v>482</v>
      </c>
      <c r="G224" s="503" t="s">
        <v>482</v>
      </c>
      <c r="H224" s="503" t="s">
        <v>482</v>
      </c>
      <c r="I224" s="503" t="s">
        <v>482</v>
      </c>
      <c r="J224" s="503"/>
      <c r="K224" s="503"/>
      <c r="L224" s="503" t="s">
        <v>482</v>
      </c>
      <c r="M224" s="503" t="s">
        <v>482</v>
      </c>
      <c r="N224" s="503" t="s">
        <v>482</v>
      </c>
      <c r="O224" s="503" t="s">
        <v>482</v>
      </c>
      <c r="P224" s="503" t="s">
        <v>482</v>
      </c>
      <c r="Q224" s="503"/>
      <c r="R224" s="503"/>
      <c r="S224" s="503" t="s">
        <v>482</v>
      </c>
      <c r="T224" s="503" t="s">
        <v>482</v>
      </c>
      <c r="U224" s="503" t="s">
        <v>482</v>
      </c>
      <c r="V224" s="503" t="s">
        <v>482</v>
      </c>
      <c r="W224" s="503" t="s">
        <v>482</v>
      </c>
      <c r="X224" s="503"/>
      <c r="Y224" s="503"/>
      <c r="Z224" s="503" t="s">
        <v>482</v>
      </c>
      <c r="AA224" s="503" t="s">
        <v>482</v>
      </c>
      <c r="AB224" s="503" t="s">
        <v>482</v>
      </c>
      <c r="AC224" s="503" t="s">
        <v>482</v>
      </c>
      <c r="AD224" s="503" t="s">
        <v>482</v>
      </c>
      <c r="AE224" s="503"/>
      <c r="AF224" s="503"/>
      <c r="AG224" s="503" t="s">
        <v>482</v>
      </c>
      <c r="AH224" s="648">
        <v>114</v>
      </c>
      <c r="AI224" s="649">
        <v>37</v>
      </c>
    </row>
    <row r="225" spans="1:35" ht="21" customHeight="1" x14ac:dyDescent="0.2">
      <c r="A225" s="152"/>
      <c r="B225" s="152" t="s">
        <v>746</v>
      </c>
      <c r="C225" s="503"/>
      <c r="D225" s="503"/>
      <c r="E225" s="503" t="s">
        <v>482</v>
      </c>
      <c r="F225" s="503" t="s">
        <v>482</v>
      </c>
      <c r="G225" s="503" t="s">
        <v>482</v>
      </c>
      <c r="H225" s="503" t="s">
        <v>482</v>
      </c>
      <c r="I225" s="503" t="s">
        <v>482</v>
      </c>
      <c r="J225" s="503"/>
      <c r="K225" s="503"/>
      <c r="L225" s="503" t="s">
        <v>482</v>
      </c>
      <c r="M225" s="503" t="s">
        <v>482</v>
      </c>
      <c r="N225" s="503" t="s">
        <v>482</v>
      </c>
      <c r="O225" s="503" t="s">
        <v>482</v>
      </c>
      <c r="P225" s="503" t="s">
        <v>482</v>
      </c>
      <c r="Q225" s="503"/>
      <c r="R225" s="503"/>
      <c r="S225" s="503" t="s">
        <v>482</v>
      </c>
      <c r="T225" s="503" t="s">
        <v>482</v>
      </c>
      <c r="U225" s="503" t="s">
        <v>482</v>
      </c>
      <c r="V225" s="503" t="s">
        <v>482</v>
      </c>
      <c r="W225" s="503" t="s">
        <v>482</v>
      </c>
      <c r="X225" s="503"/>
      <c r="Y225" s="503"/>
      <c r="Z225" s="503" t="s">
        <v>482</v>
      </c>
      <c r="AA225" s="503" t="s">
        <v>482</v>
      </c>
      <c r="AB225" s="503" t="s">
        <v>482</v>
      </c>
      <c r="AC225" s="503" t="s">
        <v>482</v>
      </c>
      <c r="AD225" s="503" t="s">
        <v>482</v>
      </c>
      <c r="AE225" s="503"/>
      <c r="AF225" s="503"/>
      <c r="AG225" s="503" t="s">
        <v>482</v>
      </c>
      <c r="AH225" s="648">
        <v>74</v>
      </c>
      <c r="AI225" s="649">
        <v>37</v>
      </c>
    </row>
    <row r="226" spans="1:35" ht="21" customHeight="1" x14ac:dyDescent="0.2">
      <c r="A226" s="152"/>
      <c r="B226" s="152" t="s">
        <v>672</v>
      </c>
      <c r="C226" s="503"/>
      <c r="D226" s="503"/>
      <c r="E226" s="503" t="s">
        <v>482</v>
      </c>
      <c r="F226" s="503" t="s">
        <v>482</v>
      </c>
      <c r="G226" s="503" t="s">
        <v>482</v>
      </c>
      <c r="H226" s="503" t="s">
        <v>482</v>
      </c>
      <c r="I226" s="503" t="s">
        <v>482</v>
      </c>
      <c r="J226" s="503"/>
      <c r="K226" s="503"/>
      <c r="L226" s="503" t="s">
        <v>482</v>
      </c>
      <c r="M226" s="503" t="s">
        <v>482</v>
      </c>
      <c r="N226" s="503" t="s">
        <v>482</v>
      </c>
      <c r="O226" s="503" t="s">
        <v>482</v>
      </c>
      <c r="P226" s="503" t="s">
        <v>482</v>
      </c>
      <c r="Q226" s="503"/>
      <c r="R226" s="503"/>
      <c r="S226" s="503" t="s">
        <v>482</v>
      </c>
      <c r="T226" s="503" t="s">
        <v>482</v>
      </c>
      <c r="U226" s="503" t="s">
        <v>482</v>
      </c>
      <c r="V226" s="503" t="s">
        <v>482</v>
      </c>
      <c r="W226" s="503" t="s">
        <v>482</v>
      </c>
      <c r="X226" s="503"/>
      <c r="Y226" s="503"/>
      <c r="Z226" s="503" t="s">
        <v>482</v>
      </c>
      <c r="AA226" s="1104" t="s">
        <v>482</v>
      </c>
      <c r="AB226" s="1104" t="s">
        <v>482</v>
      </c>
      <c r="AC226" s="1104" t="s">
        <v>482</v>
      </c>
      <c r="AD226" s="1104" t="s">
        <v>482</v>
      </c>
      <c r="AE226" s="1104"/>
      <c r="AF226" s="1104"/>
      <c r="AG226" s="503" t="s">
        <v>482</v>
      </c>
      <c r="AH226" s="648">
        <v>74</v>
      </c>
      <c r="AI226" s="649">
        <v>37</v>
      </c>
    </row>
    <row r="227" spans="1:35" ht="21" customHeight="1" x14ac:dyDescent="0.2">
      <c r="A227" s="152"/>
      <c r="B227" s="152" t="s">
        <v>673</v>
      </c>
      <c r="C227" s="503"/>
      <c r="D227" s="503"/>
      <c r="E227" s="503" t="s">
        <v>482</v>
      </c>
      <c r="F227" s="503" t="s">
        <v>482</v>
      </c>
      <c r="G227" s="503" t="s">
        <v>482</v>
      </c>
      <c r="H227" s="503" t="s">
        <v>482</v>
      </c>
      <c r="I227" s="503" t="s">
        <v>482</v>
      </c>
      <c r="J227" s="503"/>
      <c r="K227" s="503"/>
      <c r="L227" s="503" t="s">
        <v>482</v>
      </c>
      <c r="M227" s="503" t="s">
        <v>482</v>
      </c>
      <c r="N227" s="503" t="s">
        <v>482</v>
      </c>
      <c r="O227" s="503" t="s">
        <v>482</v>
      </c>
      <c r="P227" s="503" t="s">
        <v>482</v>
      </c>
      <c r="Q227" s="503"/>
      <c r="R227" s="503"/>
      <c r="S227" s="503" t="s">
        <v>482</v>
      </c>
      <c r="T227" s="503" t="s">
        <v>482</v>
      </c>
      <c r="U227" s="503" t="s">
        <v>482</v>
      </c>
      <c r="V227" s="503" t="s">
        <v>482</v>
      </c>
      <c r="W227" s="503" t="s">
        <v>482</v>
      </c>
      <c r="X227" s="503"/>
      <c r="Y227" s="503"/>
      <c r="Z227" s="503" t="s">
        <v>482</v>
      </c>
      <c r="AA227" s="503" t="s">
        <v>482</v>
      </c>
      <c r="AB227" s="1510" t="s">
        <v>482</v>
      </c>
      <c r="AC227" s="1510" t="s">
        <v>482</v>
      </c>
      <c r="AD227" s="1510" t="s">
        <v>617</v>
      </c>
      <c r="AE227" s="503"/>
      <c r="AF227" s="503"/>
      <c r="AG227" s="503" t="s">
        <v>482</v>
      </c>
      <c r="AH227" s="648">
        <v>111</v>
      </c>
      <c r="AI227" s="649">
        <v>37</v>
      </c>
    </row>
    <row r="228" spans="1:35" ht="21" customHeight="1" x14ac:dyDescent="0.2">
      <c r="A228" s="152"/>
      <c r="B228" s="152"/>
      <c r="C228" s="503"/>
      <c r="D228" s="503"/>
      <c r="E228" s="503"/>
      <c r="F228" s="503"/>
      <c r="G228" s="503"/>
      <c r="H228" s="503"/>
      <c r="I228" s="503"/>
      <c r="J228" s="503"/>
      <c r="K228" s="503"/>
      <c r="L228" s="503"/>
      <c r="M228" s="503"/>
      <c r="N228" s="503"/>
      <c r="O228" s="503"/>
      <c r="P228" s="503"/>
      <c r="Q228" s="503"/>
      <c r="R228" s="503"/>
      <c r="S228" s="503"/>
      <c r="T228" s="503"/>
      <c r="U228" s="503"/>
      <c r="V228" s="503"/>
      <c r="W228" s="503"/>
      <c r="X228" s="503"/>
      <c r="Y228" s="503"/>
      <c r="Z228" s="503"/>
      <c r="AA228" s="503"/>
      <c r="AB228" s="503"/>
      <c r="AC228" s="503"/>
      <c r="AD228" s="503"/>
      <c r="AE228" s="503"/>
      <c r="AF228" s="152"/>
      <c r="AG228" s="154"/>
      <c r="AH228" s="648"/>
      <c r="AI228" s="649">
        <v>37</v>
      </c>
    </row>
    <row r="229" spans="1:35" ht="21" customHeight="1" x14ac:dyDescent="0.2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4"/>
      <c r="AH229" s="648"/>
      <c r="AI229" s="649"/>
    </row>
    <row r="230" spans="1:35" ht="21" customHeight="1" x14ac:dyDescent="0.2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4"/>
      <c r="AH230" s="648"/>
      <c r="AI230" s="649"/>
    </row>
    <row r="231" spans="1:35" ht="21" customHeight="1" x14ac:dyDescent="0.2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4"/>
      <c r="AH231" s="330"/>
      <c r="AI231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0" max="16383" man="1"/>
  </row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10"/>
  <dimension ref="A1:AR231"/>
  <sheetViews>
    <sheetView topLeftCell="A205" zoomScale="67" zoomScaleNormal="67" workbookViewId="0">
      <selection activeCell="U122" sqref="U122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177">
        <v>1</v>
      </c>
      <c r="D10" s="177">
        <v>2</v>
      </c>
      <c r="E10" s="177">
        <v>3</v>
      </c>
      <c r="F10" s="177">
        <v>4</v>
      </c>
      <c r="G10" s="497">
        <v>5</v>
      </c>
      <c r="H10" s="497">
        <v>6</v>
      </c>
      <c r="I10" s="177">
        <v>7</v>
      </c>
      <c r="J10" s="177">
        <v>8</v>
      </c>
      <c r="K10" s="177">
        <v>9</v>
      </c>
      <c r="L10" s="177">
        <v>10</v>
      </c>
      <c r="M10" s="177">
        <v>11</v>
      </c>
      <c r="N10" s="497">
        <v>12</v>
      </c>
      <c r="O10" s="497">
        <v>13</v>
      </c>
      <c r="P10" s="177">
        <v>14</v>
      </c>
      <c r="Q10" s="177">
        <v>15</v>
      </c>
      <c r="R10" s="177">
        <v>16</v>
      </c>
      <c r="S10" s="177">
        <v>17</v>
      </c>
      <c r="T10" s="177">
        <v>18</v>
      </c>
      <c r="U10" s="497">
        <v>19</v>
      </c>
      <c r="V10" s="497">
        <v>20</v>
      </c>
      <c r="W10" s="177">
        <v>21</v>
      </c>
      <c r="X10" s="177">
        <v>22</v>
      </c>
      <c r="Y10" s="177">
        <v>23</v>
      </c>
      <c r="Z10" s="177">
        <v>24</v>
      </c>
      <c r="AA10" s="177">
        <v>25</v>
      </c>
      <c r="AB10" s="497">
        <v>26</v>
      </c>
      <c r="AC10" s="497">
        <v>27</v>
      </c>
      <c r="AD10" s="177">
        <v>28</v>
      </c>
      <c r="AE10" s="177">
        <v>29</v>
      </c>
      <c r="AF10" s="177">
        <v>30</v>
      </c>
      <c r="AG10" s="177"/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177"/>
      <c r="D11" s="177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thickBot="1" x14ac:dyDescent="0.25">
      <c r="A13" s="512">
        <v>8546</v>
      </c>
      <c r="B13" s="513" t="s">
        <v>473</v>
      </c>
      <c r="C13" s="514">
        <v>4</v>
      </c>
      <c r="D13" s="514">
        <v>4</v>
      </c>
      <c r="E13" s="514">
        <v>4</v>
      </c>
      <c r="F13" s="514">
        <v>4</v>
      </c>
      <c r="G13" s="514" t="s">
        <v>476</v>
      </c>
      <c r="H13" s="514" t="s">
        <v>476</v>
      </c>
      <c r="I13" s="514" t="s">
        <v>475</v>
      </c>
      <c r="J13" s="514" t="s">
        <v>475</v>
      </c>
      <c r="K13" s="514" t="s">
        <v>475</v>
      </c>
      <c r="L13" s="514" t="s">
        <v>475</v>
      </c>
      <c r="M13" s="514" t="s">
        <v>475</v>
      </c>
      <c r="N13" s="514"/>
      <c r="O13" s="514"/>
      <c r="P13" s="1103">
        <v>1</v>
      </c>
      <c r="Q13" s="1103">
        <v>1</v>
      </c>
      <c r="R13" s="1103">
        <v>1</v>
      </c>
      <c r="S13" s="1103">
        <v>1</v>
      </c>
      <c r="T13" s="1103">
        <v>1</v>
      </c>
      <c r="U13" s="514"/>
      <c r="V13" s="514"/>
      <c r="W13" s="514">
        <v>2</v>
      </c>
      <c r="X13" s="514">
        <v>2</v>
      </c>
      <c r="Y13" s="514">
        <v>2</v>
      </c>
      <c r="Z13" s="514">
        <v>2</v>
      </c>
      <c r="AA13" s="514">
        <v>2</v>
      </c>
      <c r="AB13" s="514" t="s">
        <v>474</v>
      </c>
      <c r="AC13" s="514" t="s">
        <v>474</v>
      </c>
      <c r="AD13" s="514" t="s">
        <v>475</v>
      </c>
      <c r="AE13" s="514" t="s">
        <v>475</v>
      </c>
      <c r="AF13" s="514" t="s">
        <v>475</v>
      </c>
      <c r="AG13" s="503"/>
      <c r="AH13" s="516">
        <v>88</v>
      </c>
      <c r="AI13" s="517">
        <v>15</v>
      </c>
    </row>
    <row r="14" spans="1:35" ht="21.95" customHeight="1" x14ac:dyDescent="0.2">
      <c r="A14" s="501">
        <v>8546</v>
      </c>
      <c r="B14" s="346" t="s">
        <v>477</v>
      </c>
      <c r="C14" s="514" t="s">
        <v>475</v>
      </c>
      <c r="D14" s="514" t="s">
        <v>475</v>
      </c>
      <c r="E14" s="514" t="s">
        <v>475</v>
      </c>
      <c r="F14" s="514" t="s">
        <v>475</v>
      </c>
      <c r="G14" s="514"/>
      <c r="H14" s="514"/>
      <c r="I14" s="549">
        <v>3</v>
      </c>
      <c r="J14" s="514">
        <v>3</v>
      </c>
      <c r="K14" s="514">
        <v>3</v>
      </c>
      <c r="L14" s="514">
        <v>3</v>
      </c>
      <c r="M14" s="514">
        <v>3</v>
      </c>
      <c r="N14" s="514"/>
      <c r="O14" s="514"/>
      <c r="P14" s="514">
        <v>4</v>
      </c>
      <c r="Q14" s="514">
        <v>4</v>
      </c>
      <c r="R14" s="514">
        <v>4</v>
      </c>
      <c r="S14" s="514">
        <v>4</v>
      </c>
      <c r="T14" s="514">
        <v>4</v>
      </c>
      <c r="U14" s="514" t="s">
        <v>476</v>
      </c>
      <c r="V14" s="514" t="s">
        <v>476</v>
      </c>
      <c r="W14" s="514" t="s">
        <v>475</v>
      </c>
      <c r="X14" s="514" t="s">
        <v>475</v>
      </c>
      <c r="Y14" s="514" t="s">
        <v>475</v>
      </c>
      <c r="Z14" s="514" t="s">
        <v>475</v>
      </c>
      <c r="AA14" s="514" t="s">
        <v>475</v>
      </c>
      <c r="AB14" s="514"/>
      <c r="AC14" s="514"/>
      <c r="AD14" s="514">
        <v>1</v>
      </c>
      <c r="AE14" s="514">
        <v>1</v>
      </c>
      <c r="AF14" s="514">
        <v>1</v>
      </c>
      <c r="AG14" s="503"/>
      <c r="AH14" s="505">
        <v>82</v>
      </c>
      <c r="AI14" s="506">
        <v>37</v>
      </c>
    </row>
    <row r="15" spans="1:35" ht="21.95" customHeight="1" thickBot="1" x14ac:dyDescent="0.25">
      <c r="A15" s="501">
        <v>8546</v>
      </c>
      <c r="B15" s="346" t="s">
        <v>174</v>
      </c>
      <c r="C15" s="514">
        <v>3</v>
      </c>
      <c r="D15" s="514">
        <v>3</v>
      </c>
      <c r="E15" s="514">
        <v>3</v>
      </c>
      <c r="F15" s="514">
        <v>3</v>
      </c>
      <c r="G15" s="514"/>
      <c r="H15" s="514"/>
      <c r="I15" s="514">
        <v>4</v>
      </c>
      <c r="J15" s="514">
        <v>4</v>
      </c>
      <c r="K15" s="514">
        <v>4</v>
      </c>
      <c r="L15" s="514">
        <v>4</v>
      </c>
      <c r="M15" s="514">
        <v>4</v>
      </c>
      <c r="N15" s="514" t="s">
        <v>476</v>
      </c>
      <c r="O15" s="514" t="s">
        <v>476</v>
      </c>
      <c r="P15" s="514" t="s">
        <v>475</v>
      </c>
      <c r="Q15" s="514" t="s">
        <v>475</v>
      </c>
      <c r="R15" s="514" t="s">
        <v>475</v>
      </c>
      <c r="S15" s="514" t="s">
        <v>475</v>
      </c>
      <c r="T15" s="514" t="s">
        <v>475</v>
      </c>
      <c r="U15" s="514"/>
      <c r="V15" s="514"/>
      <c r="W15" s="514">
        <v>1</v>
      </c>
      <c r="X15" s="514">
        <v>1</v>
      </c>
      <c r="Y15" s="514">
        <v>1</v>
      </c>
      <c r="Z15" s="1518">
        <v>1</v>
      </c>
      <c r="AA15" s="1518">
        <v>1</v>
      </c>
      <c r="AB15" s="514"/>
      <c r="AC15" s="514"/>
      <c r="AD15" s="514">
        <v>2</v>
      </c>
      <c r="AE15" s="514">
        <v>2</v>
      </c>
      <c r="AF15" s="514">
        <v>2</v>
      </c>
      <c r="AG15" s="503"/>
      <c r="AH15" s="505">
        <v>43</v>
      </c>
      <c r="AI15" s="506">
        <v>37</v>
      </c>
    </row>
    <row r="16" spans="1:35" ht="21.95" customHeight="1" x14ac:dyDescent="0.2">
      <c r="A16" s="501">
        <v>8546</v>
      </c>
      <c r="B16" s="346" t="s">
        <v>478</v>
      </c>
      <c r="C16" s="1103">
        <v>1</v>
      </c>
      <c r="D16" s="1103">
        <v>1</v>
      </c>
      <c r="E16" s="1103">
        <v>1</v>
      </c>
      <c r="F16" s="1518">
        <v>1</v>
      </c>
      <c r="G16" s="514"/>
      <c r="H16" s="514"/>
      <c r="I16" s="514">
        <v>2</v>
      </c>
      <c r="J16" s="549">
        <v>2</v>
      </c>
      <c r="K16" s="514">
        <v>2</v>
      </c>
      <c r="L16" s="514">
        <v>2</v>
      </c>
      <c r="M16" s="514">
        <v>2</v>
      </c>
      <c r="N16" s="514" t="s">
        <v>474</v>
      </c>
      <c r="O16" s="514" t="s">
        <v>474</v>
      </c>
      <c r="P16" s="514" t="s">
        <v>475</v>
      </c>
      <c r="Q16" s="514" t="s">
        <v>475</v>
      </c>
      <c r="R16" s="514" t="s">
        <v>475</v>
      </c>
      <c r="S16" s="514" t="s">
        <v>475</v>
      </c>
      <c r="T16" s="514" t="s">
        <v>475</v>
      </c>
      <c r="U16" s="514"/>
      <c r="V16" s="514"/>
      <c r="W16" s="514">
        <v>3</v>
      </c>
      <c r="X16" s="514">
        <v>3</v>
      </c>
      <c r="Y16" s="514">
        <v>3</v>
      </c>
      <c r="Z16" s="514">
        <v>3</v>
      </c>
      <c r="AA16" s="514">
        <v>3</v>
      </c>
      <c r="AB16" s="514"/>
      <c r="AC16" s="514"/>
      <c r="AD16" s="514">
        <v>4</v>
      </c>
      <c r="AE16" s="514">
        <v>4</v>
      </c>
      <c r="AF16" s="514">
        <v>4</v>
      </c>
      <c r="AG16" s="503"/>
      <c r="AH16" s="505">
        <v>12</v>
      </c>
      <c r="AI16" s="506">
        <v>37</v>
      </c>
    </row>
    <row r="17" spans="1:37" ht="21.95" customHeight="1" x14ac:dyDescent="0.2">
      <c r="A17" s="501">
        <v>8546</v>
      </c>
      <c r="B17" s="346" t="s">
        <v>479</v>
      </c>
      <c r="C17" s="514" t="s">
        <v>475</v>
      </c>
      <c r="D17" s="514" t="s">
        <v>475</v>
      </c>
      <c r="E17" s="514" t="s">
        <v>475</v>
      </c>
      <c r="F17" s="514" t="s">
        <v>475</v>
      </c>
      <c r="G17" s="514"/>
      <c r="H17" s="514"/>
      <c r="I17" s="514">
        <v>1</v>
      </c>
      <c r="J17" s="514">
        <v>1</v>
      </c>
      <c r="K17" s="514">
        <v>1</v>
      </c>
      <c r="L17" s="514">
        <v>1</v>
      </c>
      <c r="M17" s="514" t="s">
        <v>552</v>
      </c>
      <c r="N17" s="514"/>
      <c r="O17" s="514"/>
      <c r="P17" s="1066">
        <v>2</v>
      </c>
      <c r="Q17" s="1066">
        <v>2</v>
      </c>
      <c r="R17" s="1066">
        <v>2</v>
      </c>
      <c r="S17" s="1066">
        <v>2</v>
      </c>
      <c r="T17" s="1066">
        <v>2</v>
      </c>
      <c r="U17" s="1066" t="s">
        <v>474</v>
      </c>
      <c r="V17" s="1066" t="s">
        <v>474</v>
      </c>
      <c r="W17" s="514" t="s">
        <v>475</v>
      </c>
      <c r="X17" s="514" t="s">
        <v>475</v>
      </c>
      <c r="Y17" s="514" t="s">
        <v>475</v>
      </c>
      <c r="Z17" s="514" t="s">
        <v>475</v>
      </c>
      <c r="AA17" s="514" t="s">
        <v>475</v>
      </c>
      <c r="AB17" s="514"/>
      <c r="AC17" s="514"/>
      <c r="AD17" s="1066">
        <v>3</v>
      </c>
      <c r="AE17" s="1066">
        <v>3</v>
      </c>
      <c r="AF17" s="1066">
        <v>3</v>
      </c>
      <c r="AG17" s="503"/>
      <c r="AH17" s="505">
        <v>27</v>
      </c>
      <c r="AI17" s="506">
        <v>37</v>
      </c>
    </row>
    <row r="18" spans="1:37" ht="21.95" customHeight="1" x14ac:dyDescent="0.2">
      <c r="A18" s="501">
        <v>8546</v>
      </c>
      <c r="B18" s="346" t="s">
        <v>480</v>
      </c>
      <c r="C18" s="514">
        <v>2</v>
      </c>
      <c r="D18" s="514">
        <v>2</v>
      </c>
      <c r="E18" s="514">
        <v>2</v>
      </c>
      <c r="F18" s="514">
        <v>2</v>
      </c>
      <c r="G18" s="514" t="s">
        <v>474</v>
      </c>
      <c r="H18" s="514" t="s">
        <v>474</v>
      </c>
      <c r="I18" s="514" t="s">
        <v>475</v>
      </c>
      <c r="J18" s="514" t="s">
        <v>475</v>
      </c>
      <c r="K18" s="514" t="s">
        <v>475</v>
      </c>
      <c r="L18" s="514" t="s">
        <v>475</v>
      </c>
      <c r="M18" s="514" t="s">
        <v>475</v>
      </c>
      <c r="N18" s="514"/>
      <c r="O18" s="514"/>
      <c r="P18" s="514">
        <v>3</v>
      </c>
      <c r="Q18" s="514">
        <v>3</v>
      </c>
      <c r="R18" s="514">
        <v>3</v>
      </c>
      <c r="S18" s="514">
        <v>3</v>
      </c>
      <c r="T18" s="514">
        <v>3</v>
      </c>
      <c r="U18" s="514"/>
      <c r="V18" s="514"/>
      <c r="W18" s="514">
        <v>4</v>
      </c>
      <c r="X18" s="514">
        <v>4</v>
      </c>
      <c r="Y18" s="514">
        <v>4</v>
      </c>
      <c r="Z18" s="514">
        <v>4</v>
      </c>
      <c r="AA18" s="514">
        <v>4</v>
      </c>
      <c r="AB18" s="1103" t="s">
        <v>476</v>
      </c>
      <c r="AC18" s="1103" t="s">
        <v>476</v>
      </c>
      <c r="AD18" s="514" t="s">
        <v>475</v>
      </c>
      <c r="AE18" s="514" t="s">
        <v>475</v>
      </c>
      <c r="AF18" s="514" t="s">
        <v>475</v>
      </c>
      <c r="AG18" s="503"/>
      <c r="AH18" s="505">
        <v>38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10"/>
      <c r="AI19" s="511"/>
    </row>
    <row r="20" spans="1:37" ht="21.95" customHeight="1" x14ac:dyDescent="0.2">
      <c r="A20" s="501">
        <v>8500</v>
      </c>
      <c r="B20" s="185" t="s">
        <v>188</v>
      </c>
      <c r="C20" s="514">
        <v>1</v>
      </c>
      <c r="D20" s="514">
        <v>1</v>
      </c>
      <c r="E20" s="514">
        <v>1</v>
      </c>
      <c r="F20" s="1518" t="s">
        <v>482</v>
      </c>
      <c r="G20" s="514"/>
      <c r="H20" s="514"/>
      <c r="I20" s="1518" t="s">
        <v>552</v>
      </c>
      <c r="J20" s="514" t="s">
        <v>552</v>
      </c>
      <c r="K20" s="514" t="s">
        <v>616</v>
      </c>
      <c r="L20" s="1518" t="s">
        <v>552</v>
      </c>
      <c r="M20" s="514" t="s">
        <v>552</v>
      </c>
      <c r="N20" s="514" t="s">
        <v>484</v>
      </c>
      <c r="O20" s="514" t="s">
        <v>484</v>
      </c>
      <c r="P20" s="514">
        <v>2</v>
      </c>
      <c r="Q20" s="514">
        <v>2</v>
      </c>
      <c r="R20" s="514">
        <v>2</v>
      </c>
      <c r="S20" s="514">
        <v>2</v>
      </c>
      <c r="T20" s="514">
        <v>2</v>
      </c>
      <c r="U20" s="514" t="s">
        <v>474</v>
      </c>
      <c r="V20" s="514" t="s">
        <v>474</v>
      </c>
      <c r="W20" s="514" t="s">
        <v>475</v>
      </c>
      <c r="X20" s="514" t="s">
        <v>475</v>
      </c>
      <c r="Y20" s="514" t="s">
        <v>475</v>
      </c>
      <c r="Z20" s="514" t="s">
        <v>475</v>
      </c>
      <c r="AA20" s="1551">
        <v>1</v>
      </c>
      <c r="AB20" s="514"/>
      <c r="AC20" s="514"/>
      <c r="AD20" s="514">
        <v>3</v>
      </c>
      <c r="AE20" s="514">
        <v>3</v>
      </c>
      <c r="AF20" s="514">
        <v>3</v>
      </c>
      <c r="AG20" s="695"/>
      <c r="AH20" s="505">
        <v>87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53" t="s">
        <v>552</v>
      </c>
      <c r="D21" s="553" t="s">
        <v>552</v>
      </c>
      <c r="E21" s="514">
        <v>1</v>
      </c>
      <c r="F21" s="553">
        <v>1</v>
      </c>
      <c r="G21" s="514"/>
      <c r="H21" s="514"/>
      <c r="I21" s="553" t="s">
        <v>552</v>
      </c>
      <c r="J21" s="553" t="s">
        <v>552</v>
      </c>
      <c r="K21" s="553" t="s">
        <v>552</v>
      </c>
      <c r="L21" s="553" t="s">
        <v>552</v>
      </c>
      <c r="M21" s="514">
        <v>1</v>
      </c>
      <c r="N21" s="514"/>
      <c r="O21" s="514"/>
      <c r="P21" s="514">
        <v>1</v>
      </c>
      <c r="Q21" s="514">
        <v>1</v>
      </c>
      <c r="R21" s="1529">
        <v>1</v>
      </c>
      <c r="S21" s="514">
        <v>1</v>
      </c>
      <c r="T21" s="514">
        <v>1</v>
      </c>
      <c r="U21" s="514"/>
      <c r="V21" s="514"/>
      <c r="W21" s="553" t="s">
        <v>552</v>
      </c>
      <c r="X21" s="553" t="s">
        <v>552</v>
      </c>
      <c r="Y21" s="553" t="s">
        <v>552</v>
      </c>
      <c r="Z21" s="553">
        <v>1</v>
      </c>
      <c r="AA21" s="553">
        <v>1</v>
      </c>
      <c r="AB21" s="514" t="s">
        <v>476</v>
      </c>
      <c r="AC21" s="514" t="s">
        <v>476</v>
      </c>
      <c r="AD21" s="514" t="s">
        <v>475</v>
      </c>
      <c r="AE21" s="514" t="s">
        <v>475</v>
      </c>
      <c r="AF21" s="514" t="s">
        <v>475</v>
      </c>
      <c r="AG21" s="503"/>
      <c r="AH21" s="505">
        <v>74</v>
      </c>
      <c r="AI21" s="506">
        <v>37</v>
      </c>
    </row>
    <row r="22" spans="1:37" ht="21.95" customHeight="1" x14ac:dyDescent="0.2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528" t="s">
        <v>725</v>
      </c>
      <c r="N31" s="527"/>
      <c r="O31" s="527"/>
      <c r="P31" s="527"/>
      <c r="Q31" s="527"/>
      <c r="R31" s="527"/>
      <c r="S31" s="529"/>
      <c r="T31" s="529" t="s">
        <v>489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thickBot="1" x14ac:dyDescent="0.25">
      <c r="A36" s="547" t="s">
        <v>468</v>
      </c>
      <c r="B36" s="181" t="s">
        <v>469</v>
      </c>
      <c r="C36" s="177">
        <v>1</v>
      </c>
      <c r="D36" s="177">
        <v>2</v>
      </c>
      <c r="E36" s="177">
        <v>3</v>
      </c>
      <c r="F36" s="177">
        <v>4</v>
      </c>
      <c r="G36" s="497">
        <v>5</v>
      </c>
      <c r="H36" s="497">
        <v>6</v>
      </c>
      <c r="I36" s="177">
        <v>7</v>
      </c>
      <c r="J36" s="177">
        <v>8</v>
      </c>
      <c r="K36" s="177">
        <v>9</v>
      </c>
      <c r="L36" s="177">
        <v>10</v>
      </c>
      <c r="M36" s="177">
        <v>11</v>
      </c>
      <c r="N36" s="497">
        <v>12</v>
      </c>
      <c r="O36" s="497">
        <v>13</v>
      </c>
      <c r="P36" s="177">
        <v>14</v>
      </c>
      <c r="Q36" s="177">
        <v>15</v>
      </c>
      <c r="R36" s="177">
        <v>16</v>
      </c>
      <c r="S36" s="177">
        <v>17</v>
      </c>
      <c r="T36" s="177">
        <v>18</v>
      </c>
      <c r="U36" s="497">
        <v>19</v>
      </c>
      <c r="V36" s="497">
        <v>20</v>
      </c>
      <c r="W36" s="177">
        <v>21</v>
      </c>
      <c r="X36" s="177">
        <v>22</v>
      </c>
      <c r="Y36" s="177">
        <v>23</v>
      </c>
      <c r="Z36" s="177">
        <v>24</v>
      </c>
      <c r="AA36" s="177">
        <v>25</v>
      </c>
      <c r="AB36" s="497">
        <v>26</v>
      </c>
      <c r="AC36" s="497">
        <v>27</v>
      </c>
      <c r="AD36" s="177">
        <v>28</v>
      </c>
      <c r="AE36" s="177">
        <v>29</v>
      </c>
      <c r="AF36" s="177">
        <v>30</v>
      </c>
      <c r="AG36" s="177"/>
      <c r="AH36" s="499" t="s">
        <v>470</v>
      </c>
      <c r="AI36" s="500" t="s">
        <v>471</v>
      </c>
    </row>
    <row r="37" spans="1:37" ht="21.95" customHeight="1" x14ac:dyDescent="0.2">
      <c r="A37" s="548">
        <v>1</v>
      </c>
      <c r="B37" s="45" t="s">
        <v>502</v>
      </c>
      <c r="C37" s="549">
        <v>7</v>
      </c>
      <c r="D37" s="549">
        <v>7</v>
      </c>
      <c r="E37" s="549">
        <v>7</v>
      </c>
      <c r="F37" s="549">
        <v>7</v>
      </c>
      <c r="G37" s="549"/>
      <c r="H37" s="549"/>
      <c r="I37" s="549">
        <v>4</v>
      </c>
      <c r="J37" s="549">
        <v>4</v>
      </c>
      <c r="K37" s="549">
        <v>4</v>
      </c>
      <c r="L37" s="549">
        <v>4</v>
      </c>
      <c r="M37" s="549">
        <v>4</v>
      </c>
      <c r="N37" s="549"/>
      <c r="O37" s="549"/>
      <c r="P37" s="1520">
        <v>3</v>
      </c>
      <c r="Q37" s="1520">
        <v>3</v>
      </c>
      <c r="R37" s="1520" t="s">
        <v>685</v>
      </c>
      <c r="S37" s="549">
        <v>3</v>
      </c>
      <c r="T37" s="549">
        <v>3</v>
      </c>
      <c r="U37" s="549"/>
      <c r="V37" s="549"/>
      <c r="W37" s="549">
        <v>11</v>
      </c>
      <c r="X37" s="549">
        <v>11</v>
      </c>
      <c r="Y37" s="549">
        <v>11</v>
      </c>
      <c r="Z37" s="549">
        <v>11</v>
      </c>
      <c r="AA37" s="549">
        <v>11</v>
      </c>
      <c r="AB37" s="549" t="s">
        <v>503</v>
      </c>
      <c r="AC37" s="549" t="s">
        <v>503</v>
      </c>
      <c r="AD37" s="549" t="s">
        <v>475</v>
      </c>
      <c r="AE37" s="549" t="s">
        <v>475</v>
      </c>
      <c r="AF37" s="549" t="s">
        <v>475</v>
      </c>
      <c r="AG37" s="550"/>
      <c r="AH37" s="505">
        <v>34</v>
      </c>
      <c r="AI37" s="506">
        <v>37</v>
      </c>
    </row>
    <row r="38" spans="1:37" ht="21.95" customHeight="1" x14ac:dyDescent="0.2">
      <c r="A38" s="551">
        <v>6</v>
      </c>
      <c r="B38" s="552" t="s">
        <v>506</v>
      </c>
      <c r="C38" s="1511">
        <v>8</v>
      </c>
      <c r="D38" s="553">
        <v>8</v>
      </c>
      <c r="E38" s="553">
        <v>8</v>
      </c>
      <c r="F38" s="553">
        <v>8</v>
      </c>
      <c r="G38" s="553" t="s">
        <v>504</v>
      </c>
      <c r="H38" s="553" t="s">
        <v>504</v>
      </c>
      <c r="I38" s="553" t="s">
        <v>475</v>
      </c>
      <c r="J38" s="553" t="s">
        <v>475</v>
      </c>
      <c r="K38" s="553" t="s">
        <v>475</v>
      </c>
      <c r="L38" s="553" t="s">
        <v>475</v>
      </c>
      <c r="M38" s="553" t="s">
        <v>475</v>
      </c>
      <c r="N38" s="553"/>
      <c r="O38" s="553"/>
      <c r="P38" s="553">
        <v>1</v>
      </c>
      <c r="Q38" s="553">
        <v>1</v>
      </c>
      <c r="R38" s="553">
        <v>1</v>
      </c>
      <c r="S38" s="553">
        <v>1</v>
      </c>
      <c r="T38" s="553">
        <v>1</v>
      </c>
      <c r="U38" s="553"/>
      <c r="V38" s="553"/>
      <c r="W38" s="553">
        <v>9</v>
      </c>
      <c r="X38" s="553">
        <v>9</v>
      </c>
      <c r="Y38" s="553">
        <v>9</v>
      </c>
      <c r="Z38" s="553">
        <v>9</v>
      </c>
      <c r="AA38" s="553">
        <v>9</v>
      </c>
      <c r="AB38" s="553" t="s">
        <v>511</v>
      </c>
      <c r="AC38" s="553" t="s">
        <v>507</v>
      </c>
      <c r="AD38" s="553" t="s">
        <v>475</v>
      </c>
      <c r="AE38" s="553" t="s">
        <v>475</v>
      </c>
      <c r="AF38" s="553" t="s">
        <v>475</v>
      </c>
      <c r="AG38" s="554"/>
      <c r="AH38" s="505">
        <v>97</v>
      </c>
      <c r="AI38" s="506">
        <v>37</v>
      </c>
    </row>
    <row r="39" spans="1:37" ht="21.95" customHeight="1" thickBot="1" x14ac:dyDescent="0.25">
      <c r="A39" s="555">
        <v>11</v>
      </c>
      <c r="B39" s="556" t="s">
        <v>509</v>
      </c>
      <c r="C39" s="1093">
        <v>6</v>
      </c>
      <c r="D39" s="1093">
        <v>6</v>
      </c>
      <c r="E39" s="1093">
        <v>6</v>
      </c>
      <c r="F39" s="1093">
        <v>6</v>
      </c>
      <c r="G39" s="1093" t="s">
        <v>508</v>
      </c>
      <c r="H39" s="1093" t="s">
        <v>504</v>
      </c>
      <c r="I39" s="1093" t="s">
        <v>475</v>
      </c>
      <c r="J39" s="1093" t="s">
        <v>475</v>
      </c>
      <c r="K39" s="1093" t="s">
        <v>475</v>
      </c>
      <c r="L39" s="1093" t="s">
        <v>475</v>
      </c>
      <c r="M39" s="1093" t="s">
        <v>475</v>
      </c>
      <c r="N39" s="1093"/>
      <c r="O39" s="1093"/>
      <c r="P39" s="1093">
        <v>5</v>
      </c>
      <c r="Q39" s="1093">
        <v>5</v>
      </c>
      <c r="R39" s="1093">
        <v>5</v>
      </c>
      <c r="S39" s="1093">
        <v>5</v>
      </c>
      <c r="T39" s="1093">
        <v>5</v>
      </c>
      <c r="U39" s="1093"/>
      <c r="V39" s="1093"/>
      <c r="W39" s="1093">
        <v>10</v>
      </c>
      <c r="X39" s="1093">
        <v>10</v>
      </c>
      <c r="Y39" s="1093">
        <v>10</v>
      </c>
      <c r="Z39" s="1093">
        <v>10</v>
      </c>
      <c r="AA39" s="1093">
        <v>10</v>
      </c>
      <c r="AB39" s="1093" t="s">
        <v>507</v>
      </c>
      <c r="AC39" s="1093" t="s">
        <v>507</v>
      </c>
      <c r="AD39" s="1093" t="s">
        <v>475</v>
      </c>
      <c r="AE39" s="1093" t="s">
        <v>475</v>
      </c>
      <c r="AF39" s="1093" t="s">
        <v>475</v>
      </c>
      <c r="AG39" s="558"/>
      <c r="AH39" s="505">
        <v>43</v>
      </c>
      <c r="AI39" s="506">
        <v>37</v>
      </c>
    </row>
    <row r="40" spans="1:37" ht="21.95" customHeight="1" x14ac:dyDescent="0.2">
      <c r="A40" s="548">
        <v>2</v>
      </c>
      <c r="B40" s="45" t="s">
        <v>510</v>
      </c>
      <c r="C40" s="550">
        <v>4</v>
      </c>
      <c r="D40" s="550">
        <v>4</v>
      </c>
      <c r="E40" s="550">
        <v>4</v>
      </c>
      <c r="F40" s="550">
        <v>4</v>
      </c>
      <c r="G40" s="559"/>
      <c r="H40" s="549"/>
      <c r="I40" s="1520">
        <v>3</v>
      </c>
      <c r="J40" s="1520">
        <v>3</v>
      </c>
      <c r="K40" s="1520">
        <v>3</v>
      </c>
      <c r="L40" s="1520" t="s">
        <v>685</v>
      </c>
      <c r="M40" s="549">
        <v>3</v>
      </c>
      <c r="N40" s="549"/>
      <c r="O40" s="1528"/>
      <c r="P40" s="549">
        <v>11</v>
      </c>
      <c r="Q40" s="549">
        <v>11</v>
      </c>
      <c r="R40" s="549">
        <v>11</v>
      </c>
      <c r="S40" s="549">
        <v>11</v>
      </c>
      <c r="T40" s="559">
        <v>11</v>
      </c>
      <c r="U40" s="559" t="s">
        <v>503</v>
      </c>
      <c r="V40" s="549" t="s">
        <v>503</v>
      </c>
      <c r="W40" s="549" t="s">
        <v>475</v>
      </c>
      <c r="X40" s="549" t="s">
        <v>475</v>
      </c>
      <c r="Y40" s="549" t="s">
        <v>475</v>
      </c>
      <c r="Z40" s="549" t="s">
        <v>475</v>
      </c>
      <c r="AA40" s="549" t="s">
        <v>475</v>
      </c>
      <c r="AB40" s="549"/>
      <c r="AC40" s="559"/>
      <c r="AD40" s="559">
        <v>8</v>
      </c>
      <c r="AE40" s="549">
        <v>8</v>
      </c>
      <c r="AF40" s="549">
        <v>8</v>
      </c>
      <c r="AG40" s="550"/>
      <c r="AH40" s="696">
        <v>4</v>
      </c>
      <c r="AI40" s="506">
        <v>37</v>
      </c>
    </row>
    <row r="41" spans="1:37" ht="21.95" customHeight="1" x14ac:dyDescent="0.2">
      <c r="A41" s="551">
        <v>7</v>
      </c>
      <c r="B41" s="152" t="s">
        <v>512</v>
      </c>
      <c r="C41" s="553" t="s">
        <v>552</v>
      </c>
      <c r="D41" s="1566" t="s">
        <v>475</v>
      </c>
      <c r="E41" s="1566" t="s">
        <v>475</v>
      </c>
      <c r="F41" s="553" t="s">
        <v>552</v>
      </c>
      <c r="G41" s="553"/>
      <c r="H41" s="553"/>
      <c r="I41" s="553" t="s">
        <v>552</v>
      </c>
      <c r="J41" s="514" t="s">
        <v>552</v>
      </c>
      <c r="K41" s="553">
        <v>3</v>
      </c>
      <c r="L41" s="553">
        <v>3</v>
      </c>
      <c r="M41" s="553" t="s">
        <v>552</v>
      </c>
      <c r="N41" s="553"/>
      <c r="O41" s="553"/>
      <c r="P41" s="553">
        <v>9</v>
      </c>
      <c r="Q41" s="553">
        <v>9</v>
      </c>
      <c r="R41" s="553">
        <v>9</v>
      </c>
      <c r="S41" s="553">
        <v>9</v>
      </c>
      <c r="T41" s="553">
        <v>9</v>
      </c>
      <c r="U41" s="553" t="s">
        <v>511</v>
      </c>
      <c r="V41" s="553" t="s">
        <v>507</v>
      </c>
      <c r="W41" s="553" t="s">
        <v>475</v>
      </c>
      <c r="X41" s="553" t="s">
        <v>475</v>
      </c>
      <c r="Y41" s="553" t="s">
        <v>475</v>
      </c>
      <c r="Z41" s="553" t="s">
        <v>475</v>
      </c>
      <c r="AA41" s="553" t="s">
        <v>475</v>
      </c>
      <c r="AB41" s="553"/>
      <c r="AC41" s="553"/>
      <c r="AD41" s="553">
        <v>6</v>
      </c>
      <c r="AE41" s="553">
        <v>6</v>
      </c>
      <c r="AF41" s="553">
        <v>6</v>
      </c>
      <c r="AG41" s="554"/>
      <c r="AH41" s="505">
        <v>56</v>
      </c>
      <c r="AI41" s="506">
        <v>37</v>
      </c>
    </row>
    <row r="42" spans="1:37" ht="21.95" customHeight="1" x14ac:dyDescent="0.2">
      <c r="A42" s="555">
        <v>12</v>
      </c>
      <c r="B42" s="560" t="s">
        <v>514</v>
      </c>
      <c r="C42" s="557" t="s">
        <v>475</v>
      </c>
      <c r="D42" s="557" t="s">
        <v>475</v>
      </c>
      <c r="E42" s="557" t="s">
        <v>475</v>
      </c>
      <c r="F42" s="557" t="s">
        <v>475</v>
      </c>
      <c r="G42" s="557"/>
      <c r="H42" s="557"/>
      <c r="I42" s="1102">
        <v>5</v>
      </c>
      <c r="J42" s="1102">
        <v>5</v>
      </c>
      <c r="K42" s="1102">
        <v>5</v>
      </c>
      <c r="L42" s="1102">
        <v>5</v>
      </c>
      <c r="M42" s="1102">
        <v>5</v>
      </c>
      <c r="N42" s="557"/>
      <c r="O42" s="557"/>
      <c r="P42" s="557">
        <v>10</v>
      </c>
      <c r="Q42" s="557">
        <v>10</v>
      </c>
      <c r="R42" s="557">
        <v>10</v>
      </c>
      <c r="S42" s="557">
        <v>10</v>
      </c>
      <c r="T42" s="557">
        <v>10</v>
      </c>
      <c r="U42" s="557" t="s">
        <v>507</v>
      </c>
      <c r="V42" s="557" t="s">
        <v>507</v>
      </c>
      <c r="W42" s="557" t="s">
        <v>475</v>
      </c>
      <c r="X42" s="557" t="s">
        <v>475</v>
      </c>
      <c r="Y42" s="557" t="s">
        <v>475</v>
      </c>
      <c r="Z42" s="557" t="s">
        <v>475</v>
      </c>
      <c r="AA42" s="557" t="s">
        <v>475</v>
      </c>
      <c r="AB42" s="557" t="s">
        <v>505</v>
      </c>
      <c r="AC42" s="557" t="s">
        <v>505</v>
      </c>
      <c r="AD42" s="557">
        <v>7</v>
      </c>
      <c r="AE42" s="557">
        <v>7</v>
      </c>
      <c r="AF42" s="557">
        <v>7</v>
      </c>
      <c r="AG42" s="558"/>
      <c r="AH42" s="696">
        <v>77</v>
      </c>
      <c r="AI42" s="506">
        <v>37</v>
      </c>
    </row>
    <row r="43" spans="1:37" ht="21.95" customHeight="1" x14ac:dyDescent="0.2">
      <c r="A43" s="561">
        <v>3</v>
      </c>
      <c r="B43" s="562" t="s">
        <v>515</v>
      </c>
      <c r="C43" s="1097">
        <v>3</v>
      </c>
      <c r="D43" s="1097">
        <v>3</v>
      </c>
      <c r="E43" s="1097">
        <v>3</v>
      </c>
      <c r="F43" s="1097">
        <v>3</v>
      </c>
      <c r="G43" s="1097"/>
      <c r="H43" s="1097"/>
      <c r="I43" s="1097">
        <v>11</v>
      </c>
      <c r="J43" s="1097">
        <v>11</v>
      </c>
      <c r="K43" s="1097">
        <v>11</v>
      </c>
      <c r="L43" s="1097">
        <v>11</v>
      </c>
      <c r="M43" s="1097">
        <v>11</v>
      </c>
      <c r="N43" s="1097" t="s">
        <v>503</v>
      </c>
      <c r="O43" s="1097" t="s">
        <v>503</v>
      </c>
      <c r="P43" s="1097" t="s">
        <v>475</v>
      </c>
      <c r="Q43" s="1093" t="s">
        <v>475</v>
      </c>
      <c r="R43" s="1093" t="s">
        <v>475</v>
      </c>
      <c r="S43" s="1093" t="s">
        <v>475</v>
      </c>
      <c r="T43" s="1097" t="s">
        <v>475</v>
      </c>
      <c r="U43" s="1093"/>
      <c r="V43" s="1097"/>
      <c r="W43" s="1097">
        <v>8</v>
      </c>
      <c r="X43" s="1097">
        <v>8</v>
      </c>
      <c r="Y43" s="1097">
        <v>8</v>
      </c>
      <c r="Z43" s="1097">
        <v>8</v>
      </c>
      <c r="AA43" s="1097">
        <v>8</v>
      </c>
      <c r="AB43" s="1097" t="s">
        <v>504</v>
      </c>
      <c r="AC43" s="1097" t="s">
        <v>504</v>
      </c>
      <c r="AD43" s="1097" t="s">
        <v>475</v>
      </c>
      <c r="AE43" s="1097" t="s">
        <v>475</v>
      </c>
      <c r="AF43" s="1097" t="s">
        <v>475</v>
      </c>
      <c r="AG43" s="564"/>
      <c r="AH43" s="505">
        <v>35</v>
      </c>
      <c r="AI43" s="506">
        <v>37</v>
      </c>
    </row>
    <row r="44" spans="1:37" ht="21.95" customHeight="1" x14ac:dyDescent="0.2">
      <c r="A44" s="551">
        <v>8</v>
      </c>
      <c r="B44" s="318" t="s">
        <v>516</v>
      </c>
      <c r="C44" s="553">
        <v>1</v>
      </c>
      <c r="D44" s="553">
        <v>1</v>
      </c>
      <c r="E44" s="1083">
        <v>1</v>
      </c>
      <c r="F44" s="553">
        <v>1</v>
      </c>
      <c r="G44" s="525"/>
      <c r="H44" s="553"/>
      <c r="I44" s="553">
        <v>9</v>
      </c>
      <c r="J44" s="553">
        <v>9</v>
      </c>
      <c r="K44" s="553">
        <v>9</v>
      </c>
      <c r="L44" s="553">
        <v>9</v>
      </c>
      <c r="M44" s="553">
        <v>9</v>
      </c>
      <c r="N44" s="1469" t="s">
        <v>511</v>
      </c>
      <c r="O44" s="1469" t="s">
        <v>507</v>
      </c>
      <c r="P44" s="553" t="s">
        <v>475</v>
      </c>
      <c r="Q44" s="565" t="s">
        <v>475</v>
      </c>
      <c r="R44" s="553" t="s">
        <v>475</v>
      </c>
      <c r="S44" s="566" t="s">
        <v>475</v>
      </c>
      <c r="T44" s="553" t="s">
        <v>475</v>
      </c>
      <c r="U44" s="553"/>
      <c r="V44" s="553"/>
      <c r="W44" s="553">
        <v>6</v>
      </c>
      <c r="X44" s="553">
        <v>6</v>
      </c>
      <c r="Y44" s="553">
        <v>6</v>
      </c>
      <c r="Z44" s="553">
        <v>6</v>
      </c>
      <c r="AA44" s="553">
        <v>6</v>
      </c>
      <c r="AB44" s="553" t="s">
        <v>508</v>
      </c>
      <c r="AC44" s="553" t="s">
        <v>504</v>
      </c>
      <c r="AD44" s="553" t="s">
        <v>475</v>
      </c>
      <c r="AE44" s="553" t="s">
        <v>475</v>
      </c>
      <c r="AF44" s="553" t="s">
        <v>475</v>
      </c>
      <c r="AG44" s="554"/>
      <c r="AH44" s="505">
        <v>83</v>
      </c>
      <c r="AI44" s="506">
        <v>37</v>
      </c>
    </row>
    <row r="45" spans="1:37" ht="21.95" customHeight="1" thickBot="1" x14ac:dyDescent="0.25">
      <c r="A45" s="555">
        <v>13</v>
      </c>
      <c r="B45" s="52" t="s">
        <v>517</v>
      </c>
      <c r="C45" s="557">
        <v>4</v>
      </c>
      <c r="D45" s="557">
        <v>4</v>
      </c>
      <c r="E45" s="557">
        <v>4</v>
      </c>
      <c r="F45" s="557">
        <v>4</v>
      </c>
      <c r="G45" s="557"/>
      <c r="H45" s="557"/>
      <c r="I45" s="557">
        <v>10</v>
      </c>
      <c r="J45" s="557">
        <v>10</v>
      </c>
      <c r="K45" s="557">
        <v>10</v>
      </c>
      <c r="L45" s="557">
        <v>10</v>
      </c>
      <c r="M45" s="557">
        <v>10</v>
      </c>
      <c r="N45" s="557" t="s">
        <v>507</v>
      </c>
      <c r="O45" s="557" t="s">
        <v>507</v>
      </c>
      <c r="P45" s="557" t="s">
        <v>475</v>
      </c>
      <c r="Q45" s="557" t="s">
        <v>475</v>
      </c>
      <c r="R45" s="567" t="s">
        <v>475</v>
      </c>
      <c r="S45" s="557" t="s">
        <v>475</v>
      </c>
      <c r="T45" s="557" t="s">
        <v>475</v>
      </c>
      <c r="U45" s="557" t="s">
        <v>505</v>
      </c>
      <c r="V45" s="557" t="s">
        <v>505</v>
      </c>
      <c r="W45" s="557">
        <v>7</v>
      </c>
      <c r="X45" s="557">
        <v>7</v>
      </c>
      <c r="Y45" s="557">
        <v>7</v>
      </c>
      <c r="Z45" s="557">
        <v>7</v>
      </c>
      <c r="AA45" s="1522">
        <v>7</v>
      </c>
      <c r="AB45" s="557"/>
      <c r="AC45" s="557"/>
      <c r="AD45" s="557">
        <v>4</v>
      </c>
      <c r="AE45" s="557">
        <v>4</v>
      </c>
      <c r="AF45" s="557">
        <v>4</v>
      </c>
      <c r="AG45" s="558"/>
      <c r="AH45" s="505">
        <v>56</v>
      </c>
      <c r="AI45" s="506">
        <v>37</v>
      </c>
    </row>
    <row r="46" spans="1:37" ht="21.95" customHeight="1" thickBot="1" x14ac:dyDescent="0.25">
      <c r="A46" s="561">
        <v>4</v>
      </c>
      <c r="B46" s="318" t="s">
        <v>518</v>
      </c>
      <c r="C46" s="514">
        <v>11</v>
      </c>
      <c r="D46" s="514">
        <v>11</v>
      </c>
      <c r="E46" s="514">
        <v>11</v>
      </c>
      <c r="F46" s="514">
        <v>11</v>
      </c>
      <c r="G46" s="514" t="s">
        <v>503</v>
      </c>
      <c r="H46" s="514" t="s">
        <v>503</v>
      </c>
      <c r="I46" s="514" t="s">
        <v>475</v>
      </c>
      <c r="J46" s="549" t="s">
        <v>475</v>
      </c>
      <c r="K46" s="514" t="s">
        <v>475</v>
      </c>
      <c r="L46" s="514" t="s">
        <v>475</v>
      </c>
      <c r="M46" s="514" t="s">
        <v>475</v>
      </c>
      <c r="N46" s="514"/>
      <c r="O46" s="514"/>
      <c r="P46" s="514">
        <v>8</v>
      </c>
      <c r="Q46" s="514">
        <v>8</v>
      </c>
      <c r="R46" s="514">
        <v>8</v>
      </c>
      <c r="S46" s="514">
        <v>8</v>
      </c>
      <c r="T46" s="514">
        <v>8</v>
      </c>
      <c r="U46" s="514" t="s">
        <v>504</v>
      </c>
      <c r="V46" s="514" t="s">
        <v>504</v>
      </c>
      <c r="W46" s="1486" t="s">
        <v>475</v>
      </c>
      <c r="X46" s="1486" t="s">
        <v>475</v>
      </c>
      <c r="Y46" s="1486" t="s">
        <v>475</v>
      </c>
      <c r="Z46" s="1486" t="s">
        <v>475</v>
      </c>
      <c r="AA46" s="1486" t="s">
        <v>475</v>
      </c>
      <c r="AB46" s="1486"/>
      <c r="AC46" s="1486"/>
      <c r="AD46" s="1486">
        <v>1</v>
      </c>
      <c r="AE46" s="1486">
        <v>1</v>
      </c>
      <c r="AF46" s="1486">
        <v>1</v>
      </c>
      <c r="AG46" s="515"/>
      <c r="AH46" s="505">
        <v>141</v>
      </c>
      <c r="AI46" s="506">
        <v>37</v>
      </c>
    </row>
    <row r="47" spans="1:37" ht="21.95" customHeight="1" thickBot="1" x14ac:dyDescent="0.25">
      <c r="A47" s="551">
        <v>9</v>
      </c>
      <c r="B47" s="318" t="s">
        <v>519</v>
      </c>
      <c r="C47" s="553">
        <v>9</v>
      </c>
      <c r="D47" s="553">
        <v>9</v>
      </c>
      <c r="E47" s="553">
        <v>9</v>
      </c>
      <c r="F47" s="553">
        <v>9</v>
      </c>
      <c r="G47" s="553" t="s">
        <v>511</v>
      </c>
      <c r="H47" s="553" t="s">
        <v>507</v>
      </c>
      <c r="I47" s="553" t="s">
        <v>475</v>
      </c>
      <c r="J47" s="549" t="s">
        <v>475</v>
      </c>
      <c r="K47" s="553" t="s">
        <v>475</v>
      </c>
      <c r="L47" s="553" t="s">
        <v>475</v>
      </c>
      <c r="M47" s="553" t="s">
        <v>475</v>
      </c>
      <c r="N47" s="553"/>
      <c r="O47" s="553"/>
      <c r="P47" s="1083">
        <v>6</v>
      </c>
      <c r="Q47" s="1083">
        <v>6</v>
      </c>
      <c r="R47" s="1083">
        <v>6</v>
      </c>
      <c r="S47" s="1083">
        <v>6</v>
      </c>
      <c r="T47" s="1083">
        <v>6</v>
      </c>
      <c r="U47" s="1083" t="s">
        <v>508</v>
      </c>
      <c r="V47" s="1083" t="s">
        <v>504</v>
      </c>
      <c r="W47" s="553" t="s">
        <v>475</v>
      </c>
      <c r="X47" s="553" t="s">
        <v>475</v>
      </c>
      <c r="Y47" s="553" t="s">
        <v>475</v>
      </c>
      <c r="Z47" s="553" t="s">
        <v>475</v>
      </c>
      <c r="AA47" s="553" t="s">
        <v>475</v>
      </c>
      <c r="AB47" s="553"/>
      <c r="AC47" s="553"/>
      <c r="AD47" s="1083">
        <v>5</v>
      </c>
      <c r="AE47" s="1083">
        <v>5</v>
      </c>
      <c r="AF47" s="1083">
        <v>5</v>
      </c>
      <c r="AG47" s="565"/>
      <c r="AH47" s="505">
        <v>1</v>
      </c>
      <c r="AI47" s="506">
        <v>37</v>
      </c>
    </row>
    <row r="48" spans="1:37" ht="21.95" customHeight="1" thickBot="1" x14ac:dyDescent="0.25">
      <c r="A48" s="555">
        <v>14</v>
      </c>
      <c r="B48" s="560" t="s">
        <v>520</v>
      </c>
      <c r="C48" s="1514">
        <v>10</v>
      </c>
      <c r="D48" s="1514">
        <v>10</v>
      </c>
      <c r="E48" s="1514" t="s">
        <v>747</v>
      </c>
      <c r="F48" s="557">
        <v>10</v>
      </c>
      <c r="G48" s="557" t="s">
        <v>507</v>
      </c>
      <c r="H48" s="557" t="s">
        <v>507</v>
      </c>
      <c r="I48" s="557" t="s">
        <v>475</v>
      </c>
      <c r="J48" s="549" t="s">
        <v>475</v>
      </c>
      <c r="K48" s="557" t="s">
        <v>475</v>
      </c>
      <c r="L48" s="557" t="s">
        <v>475</v>
      </c>
      <c r="M48" s="557" t="s">
        <v>475</v>
      </c>
      <c r="N48" s="557" t="s">
        <v>505</v>
      </c>
      <c r="O48" s="557" t="s">
        <v>505</v>
      </c>
      <c r="P48" s="557">
        <v>7</v>
      </c>
      <c r="Q48" s="557">
        <v>7</v>
      </c>
      <c r="R48" s="557">
        <v>7</v>
      </c>
      <c r="S48" s="557">
        <v>7</v>
      </c>
      <c r="T48" s="557">
        <v>7</v>
      </c>
      <c r="U48" s="557"/>
      <c r="V48" s="557"/>
      <c r="W48" s="557">
        <v>4</v>
      </c>
      <c r="X48" s="557">
        <v>4</v>
      </c>
      <c r="Y48" s="557">
        <v>4</v>
      </c>
      <c r="Z48" s="557">
        <v>4</v>
      </c>
      <c r="AA48" s="557">
        <v>4</v>
      </c>
      <c r="AB48" s="557"/>
      <c r="AC48" s="557"/>
      <c r="AD48" s="557">
        <v>3</v>
      </c>
      <c r="AE48" s="557">
        <v>3</v>
      </c>
      <c r="AF48" s="557">
        <v>3</v>
      </c>
      <c r="AG48" s="568"/>
      <c r="AH48" s="505">
        <v>85</v>
      </c>
      <c r="AI48" s="506">
        <v>37</v>
      </c>
    </row>
    <row r="49" spans="1:35" ht="21.95" customHeight="1" thickBot="1" x14ac:dyDescent="0.25">
      <c r="A49" s="548">
        <v>5</v>
      </c>
      <c r="B49" s="552" t="s">
        <v>521</v>
      </c>
      <c r="C49" s="549" t="s">
        <v>475</v>
      </c>
      <c r="D49" s="549" t="s">
        <v>475</v>
      </c>
      <c r="E49" s="549" t="s">
        <v>475</v>
      </c>
      <c r="F49" s="549" t="s">
        <v>475</v>
      </c>
      <c r="G49" s="549"/>
      <c r="H49" s="549"/>
      <c r="I49" s="549">
        <v>8</v>
      </c>
      <c r="J49" s="549">
        <v>8</v>
      </c>
      <c r="K49" s="549">
        <v>8</v>
      </c>
      <c r="L49" s="549">
        <v>8</v>
      </c>
      <c r="M49" s="549">
        <v>8</v>
      </c>
      <c r="N49" s="549" t="s">
        <v>504</v>
      </c>
      <c r="O49" s="549" t="s">
        <v>504</v>
      </c>
      <c r="P49" s="549" t="s">
        <v>475</v>
      </c>
      <c r="Q49" s="549" t="s">
        <v>475</v>
      </c>
      <c r="R49" s="549" t="s">
        <v>475</v>
      </c>
      <c r="S49" s="549" t="s">
        <v>475</v>
      </c>
      <c r="T49" s="549" t="s">
        <v>475</v>
      </c>
      <c r="U49" s="549"/>
      <c r="V49" s="549"/>
      <c r="W49" s="549">
        <v>1</v>
      </c>
      <c r="X49" s="549">
        <v>1</v>
      </c>
      <c r="Y49" s="549">
        <v>1</v>
      </c>
      <c r="Z49" s="1520">
        <v>1</v>
      </c>
      <c r="AA49" s="1520" t="s">
        <v>737</v>
      </c>
      <c r="AB49" s="549"/>
      <c r="AC49" s="549"/>
      <c r="AD49" s="549">
        <v>9</v>
      </c>
      <c r="AE49" s="569">
        <v>9</v>
      </c>
      <c r="AF49" s="549">
        <v>9</v>
      </c>
      <c r="AG49" s="569"/>
      <c r="AH49" s="505">
        <v>48</v>
      </c>
      <c r="AI49" s="506">
        <v>37</v>
      </c>
    </row>
    <row r="50" spans="1:35" ht="21.95" customHeight="1" thickBot="1" x14ac:dyDescent="0.25">
      <c r="A50" s="551">
        <v>10</v>
      </c>
      <c r="B50" s="318" t="s">
        <v>523</v>
      </c>
      <c r="C50" s="553" t="s">
        <v>475</v>
      </c>
      <c r="D50" s="553" t="s">
        <v>475</v>
      </c>
      <c r="E50" s="553" t="s">
        <v>475</v>
      </c>
      <c r="F50" s="553" t="s">
        <v>475</v>
      </c>
      <c r="G50" s="553"/>
      <c r="H50" s="553"/>
      <c r="I50" s="549">
        <v>6</v>
      </c>
      <c r="J50" s="549">
        <v>6</v>
      </c>
      <c r="K50" s="553">
        <v>6</v>
      </c>
      <c r="L50" s="553">
        <v>6</v>
      </c>
      <c r="M50" s="553">
        <v>6</v>
      </c>
      <c r="N50" s="553" t="s">
        <v>508</v>
      </c>
      <c r="O50" s="553" t="s">
        <v>504</v>
      </c>
      <c r="P50" s="553" t="s">
        <v>475</v>
      </c>
      <c r="Q50" s="553" t="s">
        <v>475</v>
      </c>
      <c r="R50" s="553" t="s">
        <v>475</v>
      </c>
      <c r="S50" s="553" t="s">
        <v>475</v>
      </c>
      <c r="T50" s="553" t="s">
        <v>475</v>
      </c>
      <c r="U50" s="553"/>
      <c r="V50" s="553"/>
      <c r="W50" s="553">
        <v>5</v>
      </c>
      <c r="X50" s="553">
        <v>5</v>
      </c>
      <c r="Y50" s="553">
        <v>3</v>
      </c>
      <c r="Z50" s="553">
        <v>3</v>
      </c>
      <c r="AA50" s="553">
        <v>7</v>
      </c>
      <c r="AB50" s="553"/>
      <c r="AC50" s="553"/>
      <c r="AD50" s="553">
        <v>10</v>
      </c>
      <c r="AE50" s="565">
        <v>10</v>
      </c>
      <c r="AF50" s="553">
        <v>10</v>
      </c>
      <c r="AG50" s="565"/>
      <c r="AH50" s="505">
        <v>23</v>
      </c>
      <c r="AI50" s="506">
        <v>37</v>
      </c>
    </row>
    <row r="51" spans="1:35" ht="21.95" customHeight="1" thickBot="1" x14ac:dyDescent="0.25">
      <c r="A51" s="555">
        <v>15</v>
      </c>
      <c r="B51" s="52" t="s">
        <v>524</v>
      </c>
      <c r="C51" s="557" t="s">
        <v>475</v>
      </c>
      <c r="D51" s="557" t="s">
        <v>475</v>
      </c>
      <c r="E51" s="557" t="s">
        <v>475</v>
      </c>
      <c r="F51" s="557" t="s">
        <v>475</v>
      </c>
      <c r="G51" s="557" t="s">
        <v>505</v>
      </c>
      <c r="H51" s="557" t="s">
        <v>505</v>
      </c>
      <c r="I51" s="549">
        <v>7</v>
      </c>
      <c r="J51" s="557">
        <v>7</v>
      </c>
      <c r="K51" s="557">
        <v>7</v>
      </c>
      <c r="L51" s="557">
        <v>7</v>
      </c>
      <c r="M51" s="557">
        <v>7</v>
      </c>
      <c r="N51" s="557"/>
      <c r="O51" s="1526"/>
      <c r="P51" s="557">
        <v>4</v>
      </c>
      <c r="Q51" s="557">
        <v>4</v>
      </c>
      <c r="R51" s="557">
        <v>4</v>
      </c>
      <c r="S51" s="557">
        <v>4</v>
      </c>
      <c r="T51" s="557">
        <v>4</v>
      </c>
      <c r="U51" s="557"/>
      <c r="V51" s="557"/>
      <c r="W51" s="557">
        <v>3</v>
      </c>
      <c r="X51" s="557">
        <v>3</v>
      </c>
      <c r="Y51" s="1522">
        <v>3</v>
      </c>
      <c r="Z51" s="1522">
        <v>3</v>
      </c>
      <c r="AA51" s="557">
        <v>3</v>
      </c>
      <c r="AB51" s="557"/>
      <c r="AC51" s="557"/>
      <c r="AD51" s="557">
        <v>11</v>
      </c>
      <c r="AE51" s="568">
        <v>11</v>
      </c>
      <c r="AF51" s="557">
        <v>11</v>
      </c>
      <c r="AG51" s="568"/>
      <c r="AH51" s="651">
        <v>27</v>
      </c>
      <c r="AI51" s="523">
        <v>37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AG53" s="546"/>
      <c r="AH53" s="1"/>
    </row>
    <row r="54" spans="1:35" ht="21.95" customHeight="1" x14ac:dyDescent="0.2">
      <c r="A54" s="524"/>
      <c r="AG54" s="546"/>
      <c r="AH54" s="1"/>
    </row>
    <row r="55" spans="1:35" ht="21.95" customHeight="1" x14ac:dyDescent="0.2">
      <c r="A55" s="524"/>
      <c r="AG55" s="360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47" t="s">
        <v>106</v>
      </c>
      <c r="C58" s="121" t="s">
        <v>295</v>
      </c>
      <c r="D58" s="156"/>
      <c r="E58" s="488"/>
      <c r="F58" s="121" t="s">
        <v>295</v>
      </c>
      <c r="G58" s="579"/>
      <c r="H58" s="156"/>
      <c r="I58" s="121" t="s">
        <v>295</v>
      </c>
      <c r="J58" s="55"/>
      <c r="K58" s="580"/>
      <c r="L58" s="121" t="s">
        <v>295</v>
      </c>
      <c r="M58" s="156"/>
      <c r="N58" s="488"/>
      <c r="O58" s="121" t="s">
        <v>67</v>
      </c>
      <c r="P58" s="156"/>
      <c r="Q58" s="488"/>
      <c r="R58" s="581"/>
      <c r="S58" s="53"/>
      <c r="T58" s="541"/>
      <c r="U58" s="581"/>
      <c r="V58" s="53"/>
      <c r="W58" s="541"/>
      <c r="X58" s="581"/>
      <c r="Y58" s="53">
        <v>37</v>
      </c>
      <c r="Z58" s="582"/>
      <c r="AA58" s="489"/>
      <c r="AE58" s="360"/>
      <c r="AF58" s="360"/>
      <c r="AG58" s="360"/>
    </row>
    <row r="59" spans="1:35" ht="21.95" customHeight="1" x14ac:dyDescent="0.2">
      <c r="A59" s="1"/>
      <c r="B59" s="47"/>
      <c r="C59" s="57"/>
      <c r="D59" s="53"/>
      <c r="E59" s="541"/>
      <c r="F59" s="57"/>
      <c r="G59" s="583"/>
      <c r="H59" s="53"/>
      <c r="I59" s="57"/>
      <c r="J59" s="53"/>
      <c r="K59" s="541"/>
      <c r="L59" s="57"/>
      <c r="M59" s="53"/>
      <c r="N59" s="541"/>
      <c r="O59" s="57"/>
      <c r="P59" s="53"/>
      <c r="Q59" s="541"/>
      <c r="R59" s="581"/>
      <c r="S59" s="53"/>
      <c r="T59" s="541"/>
      <c r="U59" s="581"/>
      <c r="V59" s="53"/>
      <c r="W59" s="541"/>
      <c r="X59" s="581"/>
      <c r="Y59" s="53"/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177">
        <v>1</v>
      </c>
      <c r="D61" s="177">
        <v>2</v>
      </c>
      <c r="E61" s="177">
        <v>3</v>
      </c>
      <c r="F61" s="177">
        <v>4</v>
      </c>
      <c r="G61" s="497">
        <v>5</v>
      </c>
      <c r="H61" s="497">
        <v>6</v>
      </c>
      <c r="I61" s="177">
        <v>7</v>
      </c>
      <c r="J61" s="177">
        <v>8</v>
      </c>
      <c r="K61" s="177">
        <v>9</v>
      </c>
      <c r="L61" s="177">
        <v>10</v>
      </c>
      <c r="M61" s="177">
        <v>11</v>
      </c>
      <c r="N61" s="497">
        <v>12</v>
      </c>
      <c r="O61" s="497">
        <v>13</v>
      </c>
      <c r="P61" s="177">
        <v>14</v>
      </c>
      <c r="Q61" s="177">
        <v>15</v>
      </c>
      <c r="R61" s="177">
        <v>16</v>
      </c>
      <c r="S61" s="177">
        <v>17</v>
      </c>
      <c r="T61" s="177">
        <v>18</v>
      </c>
      <c r="U61" s="497">
        <v>19</v>
      </c>
      <c r="V61" s="497">
        <v>20</v>
      </c>
      <c r="W61" s="177">
        <v>21</v>
      </c>
      <c r="X61" s="177">
        <v>22</v>
      </c>
      <c r="Y61" s="177">
        <v>23</v>
      </c>
      <c r="Z61" s="177">
        <v>24</v>
      </c>
      <c r="AA61" s="177">
        <v>25</v>
      </c>
      <c r="AB61" s="497">
        <v>26</v>
      </c>
      <c r="AC61" s="497">
        <v>27</v>
      </c>
      <c r="AD61" s="177">
        <v>28</v>
      </c>
      <c r="AE61" s="177">
        <v>29</v>
      </c>
      <c r="AF61" s="177">
        <v>30</v>
      </c>
      <c r="AG61" s="177"/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 t="s">
        <v>529</v>
      </c>
      <c r="D62" s="587" t="s">
        <v>529</v>
      </c>
      <c r="E62" s="587" t="s">
        <v>529</v>
      </c>
      <c r="F62" s="587" t="s">
        <v>529</v>
      </c>
      <c r="G62" s="587"/>
      <c r="H62" s="587"/>
      <c r="I62" s="587" t="s">
        <v>529</v>
      </c>
      <c r="J62" s="587" t="s">
        <v>529</v>
      </c>
      <c r="K62" s="587" t="s">
        <v>529</v>
      </c>
      <c r="L62" s="587" t="s">
        <v>529</v>
      </c>
      <c r="M62" s="587" t="s">
        <v>529</v>
      </c>
      <c r="N62" s="587"/>
      <c r="O62" s="587"/>
      <c r="P62" s="587" t="s">
        <v>529</v>
      </c>
      <c r="Q62" s="587" t="s">
        <v>529</v>
      </c>
      <c r="R62" s="587" t="s">
        <v>529</v>
      </c>
      <c r="S62" s="587" t="s">
        <v>529</v>
      </c>
      <c r="T62" s="587" t="s">
        <v>529</v>
      </c>
      <c r="U62" s="587"/>
      <c r="V62" s="587"/>
      <c r="W62" s="587" t="s">
        <v>529</v>
      </c>
      <c r="X62" s="587" t="s">
        <v>529</v>
      </c>
      <c r="Y62" s="587" t="s">
        <v>529</v>
      </c>
      <c r="Z62" s="587" t="s">
        <v>529</v>
      </c>
      <c r="AA62" s="587" t="s">
        <v>529</v>
      </c>
      <c r="AB62" s="587"/>
      <c r="AC62" s="587"/>
      <c r="AD62" s="587" t="s">
        <v>529</v>
      </c>
      <c r="AE62" s="587" t="s">
        <v>529</v>
      </c>
      <c r="AF62" s="587" t="s">
        <v>529</v>
      </c>
      <c r="AG62" s="588"/>
      <c r="AH62" s="505"/>
      <c r="AI62" s="506"/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/>
      <c r="AI63" s="506"/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thickBot="1" x14ac:dyDescent="0.25">
      <c r="A65" s="589"/>
      <c r="C65" s="590"/>
      <c r="D65" s="590"/>
      <c r="E65" s="590"/>
      <c r="F65" s="590"/>
      <c r="G65" s="590"/>
      <c r="H65" s="590"/>
      <c r="I65" s="590"/>
      <c r="J65" s="590"/>
      <c r="K65" s="590"/>
      <c r="L65" s="590"/>
      <c r="M65" s="590"/>
      <c r="N65" s="590"/>
      <c r="O65" s="590"/>
      <c r="P65" s="590"/>
      <c r="Q65" s="590"/>
      <c r="R65" s="590"/>
      <c r="S65" s="590"/>
      <c r="T65" s="590"/>
      <c r="U65" s="590"/>
      <c r="V65" s="590"/>
      <c r="W65" s="590"/>
      <c r="X65" s="590"/>
      <c r="Y65" s="590"/>
      <c r="Z65" s="590"/>
      <c r="AA65" s="590"/>
      <c r="AB65" s="590"/>
      <c r="AC65" s="590"/>
      <c r="AD65" s="590"/>
      <c r="AE65" s="590"/>
      <c r="AF65" s="590"/>
      <c r="AG65" s="590"/>
      <c r="AH65" s="591"/>
      <c r="AI65" s="591"/>
    </row>
    <row r="66" spans="1:35" ht="21.95" customHeight="1" x14ac:dyDescent="0.2">
      <c r="A66" s="360"/>
      <c r="B66" s="23" t="s">
        <v>532</v>
      </c>
      <c r="C66" s="7"/>
      <c r="D66" s="413" t="s">
        <v>2</v>
      </c>
      <c r="E66" s="572"/>
      <c r="F66" s="7"/>
      <c r="G66" s="6" t="s">
        <v>3</v>
      </c>
      <c r="H66" s="573"/>
      <c r="I66" s="118"/>
      <c r="J66" s="6" t="s">
        <v>4</v>
      </c>
      <c r="K66" s="412"/>
      <c r="L66" s="118"/>
      <c r="M66" s="119" t="s">
        <v>5</v>
      </c>
      <c r="N66" s="412"/>
      <c r="O66" s="118"/>
      <c r="P66" s="6" t="s">
        <v>6</v>
      </c>
      <c r="Q66" s="574"/>
      <c r="R66" s="118"/>
      <c r="S66" s="6" t="s">
        <v>7</v>
      </c>
      <c r="T66" s="575"/>
      <c r="U66" s="118"/>
      <c r="V66" s="6" t="s">
        <v>8</v>
      </c>
      <c r="W66" s="574"/>
      <c r="X66" s="348" t="s">
        <v>9</v>
      </c>
      <c r="Y66" s="593"/>
      <c r="Z66" s="593"/>
      <c r="AA66" s="594"/>
      <c r="AB66" s="27" t="s">
        <v>10</v>
      </c>
      <c r="AC66" s="576"/>
      <c r="AD66" s="576"/>
      <c r="AE66" s="595"/>
      <c r="AF66" s="595"/>
      <c r="AG66" s="596"/>
    </row>
    <row r="67" spans="1:35" ht="21.95" customHeight="1" x14ac:dyDescent="0.2">
      <c r="A67" s="360"/>
      <c r="B67" s="305" t="s">
        <v>533</v>
      </c>
      <c r="C67" s="598" t="s">
        <v>534</v>
      </c>
      <c r="D67" s="482"/>
      <c r="E67" s="483"/>
      <c r="F67" s="598" t="s">
        <v>534</v>
      </c>
      <c r="G67" s="482"/>
      <c r="H67" s="483"/>
      <c r="I67" s="598" t="s">
        <v>534</v>
      </c>
      <c r="J67" s="482"/>
      <c r="K67" s="483"/>
      <c r="L67" s="598" t="s">
        <v>534</v>
      </c>
      <c r="M67" s="482"/>
      <c r="N67" s="483"/>
      <c r="O67" s="598" t="s">
        <v>116</v>
      </c>
      <c r="P67" s="482"/>
      <c r="Q67" s="483"/>
      <c r="R67" s="598"/>
      <c r="S67" s="482"/>
      <c r="T67" s="483"/>
      <c r="U67" s="598"/>
      <c r="V67" s="482"/>
      <c r="W67" s="483"/>
      <c r="X67" s="598"/>
      <c r="Y67" s="482"/>
      <c r="Z67" s="482"/>
      <c r="AA67" s="482"/>
      <c r="AB67" s="475"/>
      <c r="AC67" s="482"/>
      <c r="AD67" s="482"/>
      <c r="AE67" s="482"/>
      <c r="AF67" s="482"/>
      <c r="AG67" s="599"/>
    </row>
    <row r="68" spans="1:35" ht="21.95" customHeight="1" x14ac:dyDescent="0.2">
      <c r="A68" s="360"/>
      <c r="B68" s="305" t="s">
        <v>535</v>
      </c>
      <c r="C68" s="598" t="s">
        <v>147</v>
      </c>
      <c r="D68" s="482"/>
      <c r="E68" s="483"/>
      <c r="F68" s="598" t="s">
        <v>147</v>
      </c>
      <c r="G68" s="482"/>
      <c r="H68" s="483"/>
      <c r="I68" s="598" t="s">
        <v>147</v>
      </c>
      <c r="J68" s="482"/>
      <c r="K68" s="483"/>
      <c r="L68" s="598" t="s">
        <v>147</v>
      </c>
      <c r="M68" s="482"/>
      <c r="N68" s="483"/>
      <c r="O68" s="598" t="s">
        <v>536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x14ac:dyDescent="0.2">
      <c r="A69" s="360"/>
      <c r="B69" s="69"/>
      <c r="C69" s="360"/>
      <c r="D69" s="360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</row>
    <row r="70" spans="1:35" ht="21.95" customHeight="1" x14ac:dyDescent="0.2">
      <c r="A70" s="585" t="s">
        <v>468</v>
      </c>
      <c r="B70" s="296" t="s">
        <v>469</v>
      </c>
      <c r="C70" s="177">
        <v>1</v>
      </c>
      <c r="D70" s="177">
        <v>2</v>
      </c>
      <c r="E70" s="177">
        <v>3</v>
      </c>
      <c r="F70" s="177">
        <v>4</v>
      </c>
      <c r="G70" s="497">
        <v>5</v>
      </c>
      <c r="H70" s="497">
        <v>6</v>
      </c>
      <c r="I70" s="177">
        <v>7</v>
      </c>
      <c r="J70" s="177">
        <v>8</v>
      </c>
      <c r="K70" s="177">
        <v>9</v>
      </c>
      <c r="L70" s="177">
        <v>10</v>
      </c>
      <c r="M70" s="177">
        <v>11</v>
      </c>
      <c r="N70" s="497">
        <v>12</v>
      </c>
      <c r="O70" s="497">
        <v>13</v>
      </c>
      <c r="P70" s="177">
        <v>14</v>
      </c>
      <c r="Q70" s="177">
        <v>15</v>
      </c>
      <c r="R70" s="177">
        <v>16</v>
      </c>
      <c r="S70" s="177">
        <v>17</v>
      </c>
      <c r="T70" s="177">
        <v>18</v>
      </c>
      <c r="U70" s="497">
        <v>19</v>
      </c>
      <c r="V70" s="497">
        <v>20</v>
      </c>
      <c r="W70" s="177">
        <v>21</v>
      </c>
      <c r="X70" s="177">
        <v>22</v>
      </c>
      <c r="Y70" s="177">
        <v>23</v>
      </c>
      <c r="Z70" s="177">
        <v>24</v>
      </c>
      <c r="AA70" s="177">
        <v>25</v>
      </c>
      <c r="AB70" s="497">
        <v>26</v>
      </c>
      <c r="AC70" s="497">
        <v>27</v>
      </c>
      <c r="AD70" s="177">
        <v>28</v>
      </c>
      <c r="AE70" s="177">
        <v>29</v>
      </c>
      <c r="AF70" s="177">
        <v>30</v>
      </c>
      <c r="AG70" s="177"/>
      <c r="AH70" s="499" t="s">
        <v>470</v>
      </c>
      <c r="AI70" s="500" t="s">
        <v>471</v>
      </c>
    </row>
    <row r="71" spans="1:35" ht="21.95" customHeight="1" x14ac:dyDescent="0.2">
      <c r="A71" s="185">
        <v>8520</v>
      </c>
      <c r="B71" s="185" t="s">
        <v>537</v>
      </c>
      <c r="C71" s="521" t="s">
        <v>538</v>
      </c>
      <c r="D71" s="521" t="s">
        <v>538</v>
      </c>
      <c r="E71" s="521" t="s">
        <v>538</v>
      </c>
      <c r="F71" s="521" t="s">
        <v>538</v>
      </c>
      <c r="G71" s="521"/>
      <c r="H71" s="521"/>
      <c r="I71" s="521" t="s">
        <v>538</v>
      </c>
      <c r="J71" s="521" t="s">
        <v>538</v>
      </c>
      <c r="K71" s="521" t="s">
        <v>538</v>
      </c>
      <c r="L71" s="521" t="s">
        <v>538</v>
      </c>
      <c r="M71" s="521" t="s">
        <v>538</v>
      </c>
      <c r="N71" s="521"/>
      <c r="O71" s="521"/>
      <c r="P71" s="521" t="s">
        <v>538</v>
      </c>
      <c r="Q71" s="521" t="s">
        <v>538</v>
      </c>
      <c r="R71" s="521" t="s">
        <v>538</v>
      </c>
      <c r="S71" s="521" t="s">
        <v>538</v>
      </c>
      <c r="T71" s="521" t="s">
        <v>538</v>
      </c>
      <c r="U71" s="521"/>
      <c r="V71" s="521"/>
      <c r="W71" s="521" t="s">
        <v>538</v>
      </c>
      <c r="X71" s="521" t="s">
        <v>538</v>
      </c>
      <c r="Y71" s="521" t="s">
        <v>538</v>
      </c>
      <c r="Z71" s="521" t="s">
        <v>538</v>
      </c>
      <c r="AA71" s="521" t="s">
        <v>538</v>
      </c>
      <c r="AB71" s="521"/>
      <c r="AC71" s="521"/>
      <c r="AD71" s="521" t="s">
        <v>538</v>
      </c>
      <c r="AE71" s="1555" t="s">
        <v>726</v>
      </c>
      <c r="AF71" s="521" t="s">
        <v>538</v>
      </c>
      <c r="AG71" s="565"/>
      <c r="AH71" s="505">
        <v>42</v>
      </c>
      <c r="AI71" s="506">
        <v>37</v>
      </c>
    </row>
    <row r="72" spans="1:35" ht="21.95" customHeight="1" x14ac:dyDescent="0.2">
      <c r="A72" s="185">
        <v>8521</v>
      </c>
      <c r="B72" s="185" t="s">
        <v>539</v>
      </c>
      <c r="C72" s="553" t="s">
        <v>540</v>
      </c>
      <c r="D72" s="553" t="s">
        <v>540</v>
      </c>
      <c r="E72" s="553" t="s">
        <v>540</v>
      </c>
      <c r="F72" s="553" t="s">
        <v>540</v>
      </c>
      <c r="G72" s="553"/>
      <c r="H72" s="553"/>
      <c r="I72" s="553" t="s">
        <v>540</v>
      </c>
      <c r="J72" s="553" t="s">
        <v>540</v>
      </c>
      <c r="K72" s="553" t="s">
        <v>540</v>
      </c>
      <c r="L72" s="553" t="s">
        <v>540</v>
      </c>
      <c r="M72" s="553" t="s">
        <v>540</v>
      </c>
      <c r="N72" s="553"/>
      <c r="O72" s="553"/>
      <c r="P72" s="553" t="s">
        <v>540</v>
      </c>
      <c r="Q72" s="553" t="s">
        <v>540</v>
      </c>
      <c r="R72" s="553" t="s">
        <v>540</v>
      </c>
      <c r="S72" s="1535" t="s">
        <v>540</v>
      </c>
      <c r="T72" s="553" t="s">
        <v>540</v>
      </c>
      <c r="U72" s="553"/>
      <c r="V72" s="553"/>
      <c r="W72" s="553" t="s">
        <v>540</v>
      </c>
      <c r="X72" s="553" t="s">
        <v>540</v>
      </c>
      <c r="Y72" s="553" t="s">
        <v>540</v>
      </c>
      <c r="Z72" s="553" t="s">
        <v>540</v>
      </c>
      <c r="AA72" s="553" t="s">
        <v>540</v>
      </c>
      <c r="AB72" s="553"/>
      <c r="AC72" s="553"/>
      <c r="AD72" s="553" t="s">
        <v>540</v>
      </c>
      <c r="AE72" s="553" t="s">
        <v>540</v>
      </c>
      <c r="AF72" s="553" t="s">
        <v>540</v>
      </c>
      <c r="AG72" s="503"/>
      <c r="AH72" s="505">
        <v>44</v>
      </c>
      <c r="AI72" s="506">
        <v>37</v>
      </c>
    </row>
    <row r="73" spans="1:35" ht="21.95" customHeight="1" x14ac:dyDescent="0.2">
      <c r="A73" s="360"/>
      <c r="B73" s="360"/>
      <c r="C73" s="546"/>
      <c r="D73" s="525"/>
      <c r="E73" s="525"/>
      <c r="F73" s="525"/>
      <c r="G73" s="525"/>
      <c r="H73" s="525"/>
      <c r="I73" s="525"/>
      <c r="J73" s="525"/>
      <c r="K73" s="525"/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X73" s="525"/>
      <c r="Y73" s="525"/>
      <c r="Z73" s="525"/>
      <c r="AA73" s="525"/>
      <c r="AB73" s="525"/>
      <c r="AC73" s="525"/>
      <c r="AD73" s="525"/>
      <c r="AE73" s="525"/>
      <c r="AF73" s="525"/>
      <c r="AG73" s="525"/>
      <c r="AH73" s="591"/>
      <c r="AI73" s="591"/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x14ac:dyDescent="0.2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x14ac:dyDescent="0.2">
      <c r="A76" s="1" t="s">
        <v>541</v>
      </c>
      <c r="D76" s="360"/>
      <c r="E76" s="360"/>
      <c r="F76" s="360"/>
      <c r="G76" s="570"/>
      <c r="H76" s="360"/>
      <c r="I76" s="360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</row>
    <row r="77" spans="1:35" ht="21.95" customHeight="1" x14ac:dyDescent="0.2">
      <c r="A77" s="1"/>
      <c r="B77" s="23" t="s">
        <v>542</v>
      </c>
      <c r="C77" s="7"/>
      <c r="D77" s="530" t="s">
        <v>2</v>
      </c>
      <c r="E77" s="51"/>
      <c r="F77" s="573"/>
      <c r="G77" s="7"/>
      <c r="H77" s="530" t="s">
        <v>3</v>
      </c>
      <c r="I77" s="51"/>
      <c r="J77" s="573"/>
      <c r="K77" s="7"/>
      <c r="L77" s="530" t="s">
        <v>4</v>
      </c>
      <c r="M77" s="51"/>
      <c r="N77" s="573"/>
      <c r="O77" s="7"/>
      <c r="P77" s="530" t="s">
        <v>5</v>
      </c>
      <c r="Q77" s="51"/>
      <c r="R77" s="573"/>
      <c r="S77" s="7"/>
      <c r="T77" s="530" t="s">
        <v>6</v>
      </c>
      <c r="U77" s="51"/>
      <c r="V77" s="573"/>
      <c r="W77" s="7"/>
      <c r="X77" s="530" t="s">
        <v>7</v>
      </c>
      <c r="Y77" s="51"/>
      <c r="Z77" s="573"/>
      <c r="AA77" s="7"/>
      <c r="AB77" s="530" t="s">
        <v>8</v>
      </c>
      <c r="AC77" s="51"/>
      <c r="AD77" s="51"/>
      <c r="AE77" s="348" t="s">
        <v>9</v>
      </c>
      <c r="AF77" s="51"/>
      <c r="AG77" s="51"/>
      <c r="AH77" s="51"/>
      <c r="AI77" s="531"/>
    </row>
    <row r="78" spans="1:35" ht="21.95" customHeight="1" x14ac:dyDescent="0.2">
      <c r="A78" s="1"/>
      <c r="B78" s="129" t="s">
        <v>324</v>
      </c>
      <c r="C78" s="611" t="s">
        <v>543</v>
      </c>
      <c r="E78" s="156"/>
      <c r="F78" s="612"/>
      <c r="G78" s="611" t="s">
        <v>543</v>
      </c>
      <c r="H78" s="156"/>
      <c r="I78" s="156"/>
      <c r="J78" s="612"/>
      <c r="K78" s="611" t="s">
        <v>543</v>
      </c>
      <c r="L78" s="156"/>
      <c r="M78" s="156"/>
      <c r="N78" s="612"/>
      <c r="O78" s="611" t="s">
        <v>543</v>
      </c>
      <c r="P78" s="156"/>
      <c r="Q78" s="156"/>
      <c r="R78" s="612"/>
      <c r="S78" s="611" t="s">
        <v>544</v>
      </c>
      <c r="T78" s="156"/>
      <c r="U78" s="156"/>
      <c r="V78" s="613"/>
      <c r="W78" s="1055"/>
      <c r="X78" s="1056"/>
      <c r="Y78" s="1056"/>
      <c r="Z78" s="1057"/>
      <c r="AA78" s="613"/>
      <c r="AB78" s="156"/>
      <c r="AC78" s="156"/>
      <c r="AD78" s="613"/>
      <c r="AE78" s="121">
        <v>37</v>
      </c>
      <c r="AG78" s="156"/>
      <c r="AH78" s="613"/>
      <c r="AI78" s="489"/>
    </row>
    <row r="79" spans="1:35" ht="21.95" customHeight="1" x14ac:dyDescent="0.2">
      <c r="A79" s="1"/>
      <c r="B79" s="129" t="s">
        <v>325</v>
      </c>
      <c r="C79" s="611" t="s">
        <v>545</v>
      </c>
      <c r="D79" s="156"/>
      <c r="E79" s="156"/>
      <c r="F79" s="612"/>
      <c r="G79" s="611" t="s">
        <v>545</v>
      </c>
      <c r="H79" s="156"/>
      <c r="I79" s="156"/>
      <c r="J79" s="612"/>
      <c r="K79" s="611" t="s">
        <v>545</v>
      </c>
      <c r="L79" s="156"/>
      <c r="M79" s="156"/>
      <c r="N79" s="612"/>
      <c r="O79" s="611" t="s">
        <v>545</v>
      </c>
      <c r="P79" s="156"/>
      <c r="Q79" s="156"/>
      <c r="R79" s="612"/>
      <c r="S79" s="611" t="s">
        <v>546</v>
      </c>
      <c r="T79" s="156"/>
      <c r="U79" s="156"/>
      <c r="V79" s="612"/>
      <c r="W79" s="660" t="s">
        <v>547</v>
      </c>
      <c r="X79" s="55"/>
      <c r="Y79" s="55"/>
      <c r="Z79" s="55"/>
      <c r="AA79" s="611" t="s">
        <v>548</v>
      </c>
      <c r="AB79" s="611"/>
      <c r="AC79" s="611"/>
      <c r="AD79" s="611"/>
      <c r="AE79" s="154">
        <v>68.25</v>
      </c>
      <c r="AF79" s="156"/>
      <c r="AG79" s="615"/>
      <c r="AH79" s="616"/>
      <c r="AI79" s="617"/>
    </row>
    <row r="80" spans="1:35" ht="21.95" customHeight="1" x14ac:dyDescent="0.2">
      <c r="A80" s="1"/>
      <c r="B80" s="129" t="s">
        <v>326</v>
      </c>
      <c r="C80" s="1053" t="s">
        <v>167</v>
      </c>
      <c r="D80" s="156"/>
      <c r="E80" s="156"/>
      <c r="F80" s="612"/>
      <c r="G80" s="156" t="s">
        <v>167</v>
      </c>
      <c r="H80" s="156"/>
      <c r="I80" s="156"/>
      <c r="J80" s="612"/>
      <c r="K80" s="156" t="s">
        <v>167</v>
      </c>
      <c r="L80" s="156"/>
      <c r="M80" s="156"/>
      <c r="N80" s="612"/>
      <c r="O80" s="156" t="s">
        <v>167</v>
      </c>
      <c r="P80" s="156"/>
      <c r="Q80" s="156"/>
      <c r="R80" s="612"/>
      <c r="S80" s="156" t="s">
        <v>167</v>
      </c>
      <c r="T80" s="156"/>
      <c r="U80" s="156"/>
      <c r="V80" s="612"/>
      <c r="W80" s="611"/>
      <c r="X80" s="156"/>
      <c r="Y80" s="156"/>
      <c r="Z80" s="612"/>
      <c r="AA80" s="611"/>
      <c r="AB80" s="156"/>
      <c r="AC80" s="156"/>
      <c r="AD80" s="613"/>
      <c r="AE80" s="614">
        <v>0</v>
      </c>
      <c r="AF80" s="615"/>
      <c r="AG80" s="156"/>
      <c r="AH80" s="613"/>
      <c r="AI80" s="489"/>
    </row>
    <row r="81" spans="1:38" ht="21.95" customHeight="1" x14ac:dyDescent="0.2">
      <c r="A81" s="1"/>
      <c r="B81" s="47"/>
      <c r="C81" s="618"/>
      <c r="D81" s="53"/>
      <c r="E81" s="53"/>
      <c r="F81" s="619"/>
      <c r="G81" s="618"/>
      <c r="H81" s="53"/>
      <c r="I81" s="53"/>
      <c r="J81" s="619"/>
      <c r="K81" s="618"/>
      <c r="L81" s="53"/>
      <c r="M81" s="53"/>
      <c r="N81" s="619"/>
      <c r="O81" s="618"/>
      <c r="P81" s="53"/>
      <c r="Q81" s="53"/>
      <c r="R81" s="619"/>
      <c r="S81" s="618"/>
      <c r="T81" s="53"/>
      <c r="U81" s="53"/>
      <c r="V81" s="619"/>
      <c r="W81" s="53"/>
      <c r="X81" s="53"/>
      <c r="Y81" s="53"/>
      <c r="Z81" s="53"/>
      <c r="AA81" s="53"/>
      <c r="AB81" s="53"/>
      <c r="AC81" s="53"/>
      <c r="AD81" s="53"/>
      <c r="AE81" s="581"/>
      <c r="AF81" s="53"/>
      <c r="AG81" s="53"/>
      <c r="AH81" s="620"/>
      <c r="AI81" s="544"/>
    </row>
    <row r="82" spans="1:38" ht="21.95" customHeight="1" x14ac:dyDescent="0.2">
      <c r="A82" s="621"/>
      <c r="B82" s="1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8" ht="21.95" customHeight="1" x14ac:dyDescent="0.2">
      <c r="A83" s="585"/>
      <c r="B83" s="296" t="s">
        <v>469</v>
      </c>
      <c r="C83" s="177">
        <v>1</v>
      </c>
      <c r="D83" s="177">
        <v>2</v>
      </c>
      <c r="E83" s="177">
        <v>3</v>
      </c>
      <c r="F83" s="177">
        <v>4</v>
      </c>
      <c r="G83" s="497">
        <v>5</v>
      </c>
      <c r="H83" s="497">
        <v>6</v>
      </c>
      <c r="I83" s="177">
        <v>7</v>
      </c>
      <c r="J83" s="177">
        <v>8</v>
      </c>
      <c r="K83" s="177">
        <v>9</v>
      </c>
      <c r="L83" s="177">
        <v>10</v>
      </c>
      <c r="M83" s="177">
        <v>11</v>
      </c>
      <c r="N83" s="497">
        <v>12</v>
      </c>
      <c r="O83" s="497">
        <v>13</v>
      </c>
      <c r="P83" s="177">
        <v>14</v>
      </c>
      <c r="Q83" s="177">
        <v>15</v>
      </c>
      <c r="R83" s="177">
        <v>16</v>
      </c>
      <c r="S83" s="177">
        <v>17</v>
      </c>
      <c r="T83" s="177">
        <v>18</v>
      </c>
      <c r="U83" s="497">
        <v>19</v>
      </c>
      <c r="V83" s="497">
        <v>20</v>
      </c>
      <c r="W83" s="177">
        <v>21</v>
      </c>
      <c r="X83" s="177">
        <v>22</v>
      </c>
      <c r="Y83" s="177">
        <v>23</v>
      </c>
      <c r="Z83" s="177">
        <v>24</v>
      </c>
      <c r="AA83" s="177">
        <v>25</v>
      </c>
      <c r="AB83" s="497">
        <v>26</v>
      </c>
      <c r="AC83" s="497">
        <v>27</v>
      </c>
      <c r="AD83" s="177">
        <v>28</v>
      </c>
      <c r="AE83" s="177">
        <v>29</v>
      </c>
      <c r="AF83" s="177">
        <v>30</v>
      </c>
      <c r="AG83" s="177"/>
      <c r="AH83" s="499" t="s">
        <v>470</v>
      </c>
      <c r="AI83" s="500" t="s">
        <v>471</v>
      </c>
    </row>
    <row r="84" spans="1:38" ht="21.95" customHeight="1" x14ac:dyDescent="0.2">
      <c r="A84" s="622">
        <v>1</v>
      </c>
      <c r="B84" s="152" t="s">
        <v>549</v>
      </c>
      <c r="C84" s="587" t="s">
        <v>513</v>
      </c>
      <c r="D84" s="587" t="s">
        <v>513</v>
      </c>
      <c r="E84" s="587" t="s">
        <v>513</v>
      </c>
      <c r="F84" s="587" t="s">
        <v>513</v>
      </c>
      <c r="G84" s="587" t="s">
        <v>550</v>
      </c>
      <c r="H84" s="587" t="s">
        <v>550</v>
      </c>
      <c r="I84" s="587" t="s">
        <v>475</v>
      </c>
      <c r="J84" s="587" t="s">
        <v>475</v>
      </c>
      <c r="K84" s="587" t="s">
        <v>475</v>
      </c>
      <c r="L84" s="587" t="s">
        <v>475</v>
      </c>
      <c r="M84" s="587" t="s">
        <v>475</v>
      </c>
      <c r="N84" s="587"/>
      <c r="O84" s="587"/>
      <c r="P84" s="587" t="s">
        <v>551</v>
      </c>
      <c r="Q84" s="587" t="s">
        <v>551</v>
      </c>
      <c r="R84" s="587" t="s">
        <v>551</v>
      </c>
      <c r="S84" s="587" t="s">
        <v>551</v>
      </c>
      <c r="T84" s="1085" t="s">
        <v>551</v>
      </c>
      <c r="U84" s="587"/>
      <c r="V84" s="587"/>
      <c r="W84" s="1060" t="s">
        <v>513</v>
      </c>
      <c r="X84" s="1060" t="s">
        <v>513</v>
      </c>
      <c r="Y84" s="1060" t="s">
        <v>513</v>
      </c>
      <c r="Z84" s="1060" t="s">
        <v>513</v>
      </c>
      <c r="AA84" s="1060" t="s">
        <v>513</v>
      </c>
      <c r="AB84" s="1060" t="s">
        <v>550</v>
      </c>
      <c r="AC84" s="1060" t="s">
        <v>550</v>
      </c>
      <c r="AD84" s="587" t="s">
        <v>475</v>
      </c>
      <c r="AE84" s="587" t="s">
        <v>475</v>
      </c>
      <c r="AF84" s="587" t="s">
        <v>475</v>
      </c>
      <c r="AG84" s="587"/>
      <c r="AH84" s="505">
        <v>30</v>
      </c>
      <c r="AI84" s="506">
        <v>37</v>
      </c>
    </row>
    <row r="85" spans="1:38" ht="21.95" customHeight="1" x14ac:dyDescent="0.2">
      <c r="A85" s="622">
        <v>2</v>
      </c>
      <c r="B85" s="318" t="s">
        <v>553</v>
      </c>
      <c r="C85" s="1091" t="s">
        <v>475</v>
      </c>
      <c r="D85" s="1091" t="s">
        <v>475</v>
      </c>
      <c r="E85" s="1091" t="s">
        <v>475</v>
      </c>
      <c r="F85" s="1091" t="s">
        <v>475</v>
      </c>
      <c r="G85" s="1091"/>
      <c r="H85" s="1091"/>
      <c r="I85" s="1509" t="s">
        <v>551</v>
      </c>
      <c r="J85" s="1091" t="s">
        <v>551</v>
      </c>
      <c r="K85" s="1091" t="s">
        <v>551</v>
      </c>
      <c r="L85" s="1091" t="s">
        <v>551</v>
      </c>
      <c r="M85" s="1091" t="s">
        <v>551</v>
      </c>
      <c r="N85" s="1091"/>
      <c r="O85" s="1091"/>
      <c r="P85" s="1091" t="s">
        <v>513</v>
      </c>
      <c r="Q85" s="1091" t="s">
        <v>513</v>
      </c>
      <c r="R85" s="1091" t="s">
        <v>513</v>
      </c>
      <c r="S85" s="1091" t="s">
        <v>513</v>
      </c>
      <c r="T85" s="1091" t="s">
        <v>513</v>
      </c>
      <c r="U85" s="1091" t="s">
        <v>550</v>
      </c>
      <c r="V85" s="1091" t="s">
        <v>550</v>
      </c>
      <c r="W85" s="1091" t="s">
        <v>475</v>
      </c>
      <c r="X85" s="1091" t="s">
        <v>475</v>
      </c>
      <c r="Y85" s="1091" t="s">
        <v>475</v>
      </c>
      <c r="Z85" s="1091" t="s">
        <v>475</v>
      </c>
      <c r="AA85" s="1091" t="s">
        <v>475</v>
      </c>
      <c r="AB85" s="1091"/>
      <c r="AC85" s="1091"/>
      <c r="AD85" s="1091" t="s">
        <v>551</v>
      </c>
      <c r="AE85" s="1091" t="s">
        <v>551</v>
      </c>
      <c r="AF85" s="1091" t="s">
        <v>551</v>
      </c>
      <c r="AG85" s="1091"/>
      <c r="AH85" s="505">
        <v>42</v>
      </c>
      <c r="AI85" s="506">
        <v>37</v>
      </c>
    </row>
    <row r="86" spans="1:38" ht="21.95" customHeight="1" x14ac:dyDescent="0.2">
      <c r="A86" s="622">
        <v>3</v>
      </c>
      <c r="B86" s="552" t="s">
        <v>554</v>
      </c>
      <c r="C86" s="587" t="s">
        <v>540</v>
      </c>
      <c r="D86" s="587" t="s">
        <v>540</v>
      </c>
      <c r="E86" s="1519" t="s">
        <v>540</v>
      </c>
      <c r="F86" s="1527" t="s">
        <v>540</v>
      </c>
      <c r="G86" s="587"/>
      <c r="H86" s="587"/>
      <c r="I86" s="587" t="s">
        <v>513</v>
      </c>
      <c r="J86" s="587" t="s">
        <v>513</v>
      </c>
      <c r="K86" s="587" t="s">
        <v>513</v>
      </c>
      <c r="L86" s="587" t="s">
        <v>513</v>
      </c>
      <c r="M86" s="587" t="s">
        <v>513</v>
      </c>
      <c r="N86" s="587" t="s">
        <v>550</v>
      </c>
      <c r="O86" s="587" t="s">
        <v>550</v>
      </c>
      <c r="P86" s="587" t="s">
        <v>475</v>
      </c>
      <c r="Q86" s="587" t="s">
        <v>475</v>
      </c>
      <c r="R86" s="587" t="s">
        <v>475</v>
      </c>
      <c r="S86" s="587" t="s">
        <v>475</v>
      </c>
      <c r="T86" s="587" t="s">
        <v>475</v>
      </c>
      <c r="U86" s="587"/>
      <c r="V86" s="587"/>
      <c r="W86" s="587" t="s">
        <v>551</v>
      </c>
      <c r="X86" s="1545" t="s">
        <v>551</v>
      </c>
      <c r="Y86" s="1545" t="s">
        <v>551</v>
      </c>
      <c r="Z86" s="1499">
        <v>1</v>
      </c>
      <c r="AA86" s="587" t="s">
        <v>551</v>
      </c>
      <c r="AB86" s="587"/>
      <c r="AC86" s="587"/>
      <c r="AD86" s="587" t="s">
        <v>513</v>
      </c>
      <c r="AE86" s="1516" t="s">
        <v>513</v>
      </c>
      <c r="AF86" s="1516" t="s">
        <v>513</v>
      </c>
      <c r="AG86" s="587"/>
      <c r="AH86" s="505">
        <v>11</v>
      </c>
      <c r="AI86" s="506">
        <v>37</v>
      </c>
    </row>
    <row r="87" spans="1:38" ht="21.95" customHeight="1" x14ac:dyDescent="0.2">
      <c r="X87" s="590"/>
      <c r="AL87" s="1553"/>
    </row>
    <row r="88" spans="1:38" ht="21.95" customHeight="1" x14ac:dyDescent="0.2">
      <c r="A88" s="623"/>
      <c r="B88" s="353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590"/>
      <c r="N88" s="590"/>
      <c r="O88" s="590"/>
      <c r="P88" s="590"/>
      <c r="Q88" s="590"/>
      <c r="R88" s="590"/>
      <c r="S88" s="590"/>
      <c r="T88" s="590"/>
      <c r="U88" s="590"/>
      <c r="V88" s="590"/>
      <c r="W88" s="590"/>
      <c r="X88" s="590"/>
      <c r="Y88" s="590"/>
      <c r="Z88" s="590"/>
      <c r="AA88" s="590"/>
      <c r="AB88" s="590"/>
      <c r="AC88" s="590"/>
      <c r="AD88" s="590"/>
      <c r="AE88" s="590"/>
      <c r="AF88" s="590"/>
      <c r="AH88" s="591"/>
      <c r="AI88" s="591"/>
    </row>
    <row r="89" spans="1:38" ht="21.95" customHeight="1" x14ac:dyDescent="0.2">
      <c r="A89" s="1" t="s">
        <v>555</v>
      </c>
      <c r="D89" s="360"/>
      <c r="E89" s="360"/>
      <c r="F89" s="360"/>
      <c r="G89" s="57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</row>
    <row r="90" spans="1:38" ht="21.95" customHeight="1" x14ac:dyDescent="0.2">
      <c r="A90" s="1"/>
      <c r="B90" s="23" t="s">
        <v>556</v>
      </c>
      <c r="C90" s="7"/>
      <c r="D90" s="530" t="s">
        <v>2</v>
      </c>
      <c r="E90" s="51"/>
      <c r="F90" s="573"/>
      <c r="G90" s="7"/>
      <c r="H90" s="530" t="s">
        <v>3</v>
      </c>
      <c r="I90" s="51"/>
      <c r="J90" s="573"/>
      <c r="K90" s="7"/>
      <c r="L90" s="530" t="s">
        <v>4</v>
      </c>
      <c r="M90" s="51"/>
      <c r="N90" s="573"/>
      <c r="O90" s="7"/>
      <c r="P90" s="530" t="s">
        <v>5</v>
      </c>
      <c r="Q90" s="51"/>
      <c r="R90" s="573"/>
      <c r="S90" s="7"/>
      <c r="T90" s="530" t="s">
        <v>6</v>
      </c>
      <c r="U90" s="51"/>
      <c r="V90" s="573"/>
      <c r="W90" s="7"/>
      <c r="X90" s="530" t="s">
        <v>7</v>
      </c>
      <c r="Y90" s="51"/>
      <c r="Z90" s="573"/>
      <c r="AA90" s="7"/>
      <c r="AB90" s="530" t="s">
        <v>8</v>
      </c>
      <c r="AC90" s="51"/>
      <c r="AD90" s="51"/>
      <c r="AE90" s="424" t="s">
        <v>10</v>
      </c>
      <c r="AF90" s="51"/>
      <c r="AG90" s="51"/>
      <c r="AH90" s="51"/>
      <c r="AI90" s="531"/>
    </row>
    <row r="91" spans="1:38" ht="21.95" customHeight="1" x14ac:dyDescent="0.2">
      <c r="A91" s="1"/>
      <c r="B91" s="129" t="s">
        <v>324</v>
      </c>
      <c r="C91" s="611"/>
      <c r="D91" s="156" t="s">
        <v>167</v>
      </c>
      <c r="E91" s="156"/>
      <c r="F91" s="612"/>
      <c r="G91" s="611"/>
      <c r="H91" s="156" t="s">
        <v>167</v>
      </c>
      <c r="I91" s="156"/>
      <c r="J91" s="612"/>
      <c r="K91" s="611" t="s">
        <v>557</v>
      </c>
      <c r="L91" s="156"/>
      <c r="M91" s="156"/>
      <c r="N91" s="612"/>
      <c r="O91" s="611" t="s">
        <v>557</v>
      </c>
      <c r="P91" s="156"/>
      <c r="Q91" s="156"/>
      <c r="R91" s="612"/>
      <c r="S91" s="611" t="s">
        <v>557</v>
      </c>
      <c r="T91" s="156"/>
      <c r="U91" s="156"/>
      <c r="V91" s="612"/>
      <c r="W91" s="611" t="s">
        <v>558</v>
      </c>
      <c r="X91" s="624"/>
      <c r="Y91" s="624"/>
      <c r="Z91" s="625"/>
      <c r="AA91" s="611" t="s">
        <v>559</v>
      </c>
      <c r="AB91" s="156"/>
      <c r="AC91" s="156"/>
      <c r="AD91" s="613"/>
      <c r="AE91" s="128">
        <v>56</v>
      </c>
      <c r="AF91" s="156"/>
      <c r="AG91" s="156" t="s">
        <v>28</v>
      </c>
      <c r="AH91" s="613"/>
      <c r="AI91" s="489"/>
    </row>
    <row r="92" spans="1:38" ht="21.95" customHeight="1" x14ac:dyDescent="0.2">
      <c r="A92" s="1"/>
      <c r="B92" s="129" t="s">
        <v>325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/>
      <c r="L92" s="156" t="s">
        <v>167</v>
      </c>
      <c r="M92" s="156"/>
      <c r="N92" s="612"/>
      <c r="O92" s="611"/>
      <c r="P92" s="156" t="s">
        <v>167</v>
      </c>
      <c r="Q92" s="156"/>
      <c r="R92" s="612"/>
      <c r="S92" s="611"/>
      <c r="T92" s="156" t="s">
        <v>167</v>
      </c>
      <c r="U92" s="156"/>
      <c r="V92" s="612"/>
      <c r="W92" s="611"/>
      <c r="X92" s="156" t="s">
        <v>167</v>
      </c>
      <c r="Y92" s="156"/>
      <c r="Z92" s="612"/>
      <c r="AA92" s="156" t="s">
        <v>167</v>
      </c>
      <c r="AB92" s="156"/>
      <c r="AC92" s="156"/>
      <c r="AD92" s="613"/>
      <c r="AE92" s="128">
        <v>0</v>
      </c>
      <c r="AF92" s="156"/>
      <c r="AG92" s="156"/>
      <c r="AH92" s="613"/>
      <c r="AI92" s="489"/>
    </row>
    <row r="93" spans="1:38" ht="21.95" customHeight="1" x14ac:dyDescent="0.2">
      <c r="A93" s="1"/>
      <c r="B93" s="129" t="s">
        <v>326</v>
      </c>
      <c r="C93" s="611" t="s">
        <v>557</v>
      </c>
      <c r="D93" s="156"/>
      <c r="E93" s="156"/>
      <c r="F93" s="612"/>
      <c r="G93" s="611" t="s">
        <v>557</v>
      </c>
      <c r="H93" s="156"/>
      <c r="I93" s="156"/>
      <c r="J93" s="612"/>
      <c r="K93" s="121"/>
      <c r="L93" s="156" t="s">
        <v>167</v>
      </c>
      <c r="M93" s="156"/>
      <c r="N93" s="612"/>
      <c r="O93" s="121"/>
      <c r="P93" s="156" t="s">
        <v>167</v>
      </c>
      <c r="Q93" s="156"/>
      <c r="R93" s="612"/>
      <c r="S93" s="121"/>
      <c r="T93" s="156" t="s">
        <v>167</v>
      </c>
      <c r="U93" s="156"/>
      <c r="V93" s="612"/>
      <c r="W93" s="626" t="s">
        <v>560</v>
      </c>
      <c r="X93" s="134"/>
      <c r="Y93" s="134"/>
      <c r="Z93" s="627"/>
      <c r="AA93" s="626" t="s">
        <v>561</v>
      </c>
      <c r="AB93" s="134"/>
      <c r="AC93" s="134"/>
      <c r="AD93" s="628"/>
      <c r="AE93" s="128">
        <v>46</v>
      </c>
      <c r="AF93" s="156"/>
      <c r="AG93" s="156"/>
      <c r="AH93" s="613"/>
      <c r="AI93" s="489"/>
    </row>
    <row r="94" spans="1:38" ht="21.95" customHeight="1" x14ac:dyDescent="0.2">
      <c r="A94" s="1"/>
      <c r="B94" s="16" t="s">
        <v>236</v>
      </c>
      <c r="C94" s="618" t="s">
        <v>420</v>
      </c>
      <c r="D94" s="53"/>
      <c r="E94" s="53"/>
      <c r="F94" s="619"/>
      <c r="G94" s="618" t="s">
        <v>421</v>
      </c>
      <c r="H94" s="53"/>
      <c r="I94" s="53"/>
      <c r="J94" s="619"/>
      <c r="K94" s="618" t="s">
        <v>421</v>
      </c>
      <c r="L94" s="53"/>
      <c r="M94" s="53"/>
      <c r="N94" s="619"/>
      <c r="O94" s="618" t="s">
        <v>421</v>
      </c>
      <c r="P94" s="53"/>
      <c r="Q94" s="53"/>
      <c r="R94" s="619"/>
      <c r="S94" s="618" t="s">
        <v>422</v>
      </c>
      <c r="T94" s="53"/>
      <c r="U94" s="53"/>
      <c r="V94" s="620"/>
      <c r="W94" s="57"/>
      <c r="X94" s="620" t="s">
        <v>167</v>
      </c>
      <c r="Y94" s="53"/>
      <c r="Z94" s="619"/>
      <c r="AA94" s="57"/>
      <c r="AB94" s="620" t="s">
        <v>167</v>
      </c>
      <c r="AC94" s="53"/>
      <c r="AD94" s="619"/>
      <c r="AE94" s="629">
        <v>37.5</v>
      </c>
      <c r="AF94" s="53"/>
      <c r="AG94" s="53"/>
      <c r="AH94" s="620"/>
      <c r="AI94" s="544"/>
    </row>
    <row r="95" spans="1:38" ht="21.95" customHeight="1" x14ac:dyDescent="0.2">
      <c r="A95" s="621"/>
      <c r="B95" s="1"/>
      <c r="C95" s="360"/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8" ht="21.95" customHeight="1" thickBot="1" x14ac:dyDescent="0.25">
      <c r="A96" s="585"/>
      <c r="B96" s="296" t="s">
        <v>469</v>
      </c>
      <c r="C96" s="177">
        <v>1</v>
      </c>
      <c r="D96" s="177">
        <v>2</v>
      </c>
      <c r="E96" s="177">
        <v>3</v>
      </c>
      <c r="F96" s="177">
        <v>4</v>
      </c>
      <c r="G96" s="497">
        <v>5</v>
      </c>
      <c r="H96" s="497">
        <v>6</v>
      </c>
      <c r="I96" s="177">
        <v>7</v>
      </c>
      <c r="J96" s="177">
        <v>8</v>
      </c>
      <c r="K96" s="177">
        <v>9</v>
      </c>
      <c r="L96" s="177">
        <v>10</v>
      </c>
      <c r="M96" s="177">
        <v>11</v>
      </c>
      <c r="N96" s="497">
        <v>12</v>
      </c>
      <c r="O96" s="497">
        <v>13</v>
      </c>
      <c r="P96" s="177">
        <v>14</v>
      </c>
      <c r="Q96" s="177">
        <v>15</v>
      </c>
      <c r="R96" s="177">
        <v>16</v>
      </c>
      <c r="S96" s="177">
        <v>17</v>
      </c>
      <c r="T96" s="177">
        <v>18</v>
      </c>
      <c r="U96" s="497">
        <v>19</v>
      </c>
      <c r="V96" s="497">
        <v>20</v>
      </c>
      <c r="W96" s="177">
        <v>21</v>
      </c>
      <c r="X96" s="177">
        <v>22</v>
      </c>
      <c r="Y96" s="177">
        <v>23</v>
      </c>
      <c r="Z96" s="177">
        <v>24</v>
      </c>
      <c r="AA96" s="177">
        <v>25</v>
      </c>
      <c r="AB96" s="497">
        <v>26</v>
      </c>
      <c r="AC96" s="497">
        <v>27</v>
      </c>
      <c r="AD96" s="177">
        <v>28</v>
      </c>
      <c r="AE96" s="177">
        <v>29</v>
      </c>
      <c r="AF96" s="177">
        <v>30</v>
      </c>
      <c r="AG96" s="177"/>
      <c r="AH96" s="499" t="s">
        <v>470</v>
      </c>
      <c r="AI96" s="500" t="s">
        <v>471</v>
      </c>
    </row>
    <row r="97" spans="1:37" ht="21.95" customHeight="1" x14ac:dyDescent="0.2">
      <c r="A97" s="622">
        <v>1</v>
      </c>
      <c r="B97" s="318" t="s">
        <v>562</v>
      </c>
      <c r="C97" s="587" t="s">
        <v>475</v>
      </c>
      <c r="D97" s="587" t="s">
        <v>522</v>
      </c>
      <c r="E97" s="587" t="s">
        <v>522</v>
      </c>
      <c r="F97" s="587" t="s">
        <v>522</v>
      </c>
      <c r="G97" s="587" t="s">
        <v>568</v>
      </c>
      <c r="H97" s="587" t="s">
        <v>569</v>
      </c>
      <c r="I97" s="587" t="s">
        <v>475</v>
      </c>
      <c r="J97" s="549" t="s">
        <v>475</v>
      </c>
      <c r="K97" s="587" t="s">
        <v>475</v>
      </c>
      <c r="L97" s="587" t="s">
        <v>475</v>
      </c>
      <c r="M97" s="587" t="s">
        <v>475</v>
      </c>
      <c r="N97" s="587" t="s">
        <v>475</v>
      </c>
      <c r="O97" s="587" t="s">
        <v>475</v>
      </c>
      <c r="P97" s="587" t="s">
        <v>522</v>
      </c>
      <c r="Q97" s="587" t="s">
        <v>522</v>
      </c>
      <c r="R97" s="587" t="s">
        <v>475</v>
      </c>
      <c r="S97" s="587" t="s">
        <v>475</v>
      </c>
      <c r="T97" s="587" t="s">
        <v>475</v>
      </c>
      <c r="U97" s="587" t="s">
        <v>563</v>
      </c>
      <c r="V97" s="587" t="s">
        <v>564</v>
      </c>
      <c r="W97" s="587" t="s">
        <v>565</v>
      </c>
      <c r="X97" s="553">
        <v>3</v>
      </c>
      <c r="Y97" s="553">
        <v>3</v>
      </c>
      <c r="Z97" s="553">
        <v>3</v>
      </c>
      <c r="AA97" s="1533" t="s">
        <v>567</v>
      </c>
      <c r="AB97" s="587" t="s">
        <v>475</v>
      </c>
      <c r="AC97" s="587" t="s">
        <v>475</v>
      </c>
      <c r="AD97" s="587" t="s">
        <v>475</v>
      </c>
      <c r="AE97" s="587" t="s">
        <v>475</v>
      </c>
      <c r="AF97" s="1516" t="s">
        <v>522</v>
      </c>
      <c r="AG97" s="587"/>
      <c r="AH97" s="505">
        <v>46</v>
      </c>
      <c r="AI97" s="506">
        <v>37</v>
      </c>
    </row>
    <row r="98" spans="1:37" ht="21.95" customHeight="1" thickBot="1" x14ac:dyDescent="0.25">
      <c r="A98" s="622">
        <v>2</v>
      </c>
      <c r="B98" s="318" t="s">
        <v>570</v>
      </c>
      <c r="C98" s="587" t="s">
        <v>475</v>
      </c>
      <c r="D98" s="587" t="s">
        <v>475</v>
      </c>
      <c r="E98" s="587" t="s">
        <v>475</v>
      </c>
      <c r="F98" s="587" t="s">
        <v>475</v>
      </c>
      <c r="G98" s="587" t="s">
        <v>475</v>
      </c>
      <c r="H98" s="553" t="s">
        <v>475</v>
      </c>
      <c r="I98" s="553" t="s">
        <v>522</v>
      </c>
      <c r="J98" s="553" t="s">
        <v>522</v>
      </c>
      <c r="K98" s="553" t="s">
        <v>475</v>
      </c>
      <c r="L98" s="553" t="s">
        <v>475</v>
      </c>
      <c r="M98" s="587" t="s">
        <v>475</v>
      </c>
      <c r="N98" s="588" t="s">
        <v>563</v>
      </c>
      <c r="O98" s="587" t="s">
        <v>564</v>
      </c>
      <c r="P98" s="1085" t="s">
        <v>565</v>
      </c>
      <c r="Q98" s="1540" t="s">
        <v>566</v>
      </c>
      <c r="R98" s="1085" t="s">
        <v>566</v>
      </c>
      <c r="S98" s="1086" t="s">
        <v>566</v>
      </c>
      <c r="T98" s="1085" t="s">
        <v>567</v>
      </c>
      <c r="U98" s="587" t="s">
        <v>475</v>
      </c>
      <c r="V98" s="588" t="s">
        <v>475</v>
      </c>
      <c r="W98" s="587" t="s">
        <v>475</v>
      </c>
      <c r="X98" s="587" t="s">
        <v>475</v>
      </c>
      <c r="Y98" s="587" t="s">
        <v>522</v>
      </c>
      <c r="Z98" s="587" t="s">
        <v>522</v>
      </c>
      <c r="AA98" s="587" t="s">
        <v>522</v>
      </c>
      <c r="AB98" s="587" t="s">
        <v>568</v>
      </c>
      <c r="AC98" s="587" t="s">
        <v>569</v>
      </c>
      <c r="AD98" s="587" t="s">
        <v>475</v>
      </c>
      <c r="AE98" s="587" t="s">
        <v>475</v>
      </c>
      <c r="AF98" s="587" t="s">
        <v>475</v>
      </c>
      <c r="AG98" s="588"/>
      <c r="AH98" s="505">
        <v>45</v>
      </c>
      <c r="AI98" s="506">
        <v>37</v>
      </c>
    </row>
    <row r="99" spans="1:37" ht="21.95" customHeight="1" thickBot="1" x14ac:dyDescent="0.25">
      <c r="A99" s="622">
        <v>3</v>
      </c>
      <c r="B99" s="552" t="s">
        <v>572</v>
      </c>
      <c r="C99" s="1085" t="s">
        <v>566</v>
      </c>
      <c r="D99" s="1085" t="s">
        <v>566</v>
      </c>
      <c r="E99" s="1086" t="s">
        <v>566</v>
      </c>
      <c r="F99" s="1085" t="s">
        <v>567</v>
      </c>
      <c r="G99" s="587" t="s">
        <v>475</v>
      </c>
      <c r="H99" s="587" t="s">
        <v>475</v>
      </c>
      <c r="I99" s="549" t="s">
        <v>475</v>
      </c>
      <c r="J99" s="587" t="s">
        <v>475</v>
      </c>
      <c r="K99" s="587" t="s">
        <v>522</v>
      </c>
      <c r="L99" s="1536" t="s">
        <v>522</v>
      </c>
      <c r="M99" s="1085" t="s">
        <v>522</v>
      </c>
      <c r="N99" s="587" t="s">
        <v>568</v>
      </c>
      <c r="O99" s="588" t="s">
        <v>569</v>
      </c>
      <c r="P99" s="587" t="s">
        <v>475</v>
      </c>
      <c r="Q99" s="587" t="s">
        <v>475</v>
      </c>
      <c r="R99" s="587" t="s">
        <v>475</v>
      </c>
      <c r="S99" s="587" t="s">
        <v>475</v>
      </c>
      <c r="T99" s="587" t="s">
        <v>475</v>
      </c>
      <c r="U99" s="587" t="s">
        <v>475</v>
      </c>
      <c r="V99" s="588" t="s">
        <v>475</v>
      </c>
      <c r="W99" s="587" t="s">
        <v>522</v>
      </c>
      <c r="X99" s="587" t="s">
        <v>522</v>
      </c>
      <c r="Y99" s="587" t="s">
        <v>475</v>
      </c>
      <c r="Z99" s="587" t="s">
        <v>475</v>
      </c>
      <c r="AA99" s="587" t="s">
        <v>475</v>
      </c>
      <c r="AB99" s="588" t="s">
        <v>563</v>
      </c>
      <c r="AC99" s="587" t="s">
        <v>564</v>
      </c>
      <c r="AD99" s="1540" t="s">
        <v>565</v>
      </c>
      <c r="AE99" s="1540" t="s">
        <v>566</v>
      </c>
      <c r="AF99" s="1556" t="s">
        <v>522</v>
      </c>
      <c r="AG99" s="588"/>
      <c r="AH99" s="651">
        <v>46</v>
      </c>
      <c r="AI99" s="523">
        <v>37</v>
      </c>
      <c r="AK99" s="1532"/>
    </row>
    <row r="100" spans="1:37" ht="21.95" customHeight="1" thickBot="1" x14ac:dyDescent="0.25">
      <c r="A100" s="622">
        <v>4</v>
      </c>
      <c r="B100" s="552" t="s">
        <v>573</v>
      </c>
      <c r="C100" s="587" t="s">
        <v>522</v>
      </c>
      <c r="D100" s="587" t="s">
        <v>475</v>
      </c>
      <c r="E100" s="587" t="s">
        <v>475</v>
      </c>
      <c r="F100" s="587" t="s">
        <v>475</v>
      </c>
      <c r="G100" s="588" t="s">
        <v>563</v>
      </c>
      <c r="H100" s="587" t="s">
        <v>564</v>
      </c>
      <c r="I100" s="1085" t="s">
        <v>565</v>
      </c>
      <c r="J100" s="1086" t="s">
        <v>566</v>
      </c>
      <c r="K100" s="1086" t="s">
        <v>566</v>
      </c>
      <c r="L100" s="1086" t="s">
        <v>566</v>
      </c>
      <c r="M100" s="1085" t="s">
        <v>567</v>
      </c>
      <c r="N100" s="587" t="s">
        <v>475</v>
      </c>
      <c r="O100" s="587" t="s">
        <v>475</v>
      </c>
      <c r="P100" s="587" t="s">
        <v>475</v>
      </c>
      <c r="Q100" s="587" t="s">
        <v>475</v>
      </c>
      <c r="R100" s="587" t="s">
        <v>522</v>
      </c>
      <c r="S100" s="588" t="s">
        <v>522</v>
      </c>
      <c r="T100" s="587" t="s">
        <v>522</v>
      </c>
      <c r="U100" s="587" t="s">
        <v>568</v>
      </c>
      <c r="V100" s="588" t="s">
        <v>569</v>
      </c>
      <c r="W100" s="587" t="s">
        <v>475</v>
      </c>
      <c r="X100" s="587" t="s">
        <v>475</v>
      </c>
      <c r="Y100" s="587" t="s">
        <v>475</v>
      </c>
      <c r="Z100" s="587" t="s">
        <v>475</v>
      </c>
      <c r="AA100" s="587" t="s">
        <v>475</v>
      </c>
      <c r="AB100" s="587" t="s">
        <v>475</v>
      </c>
      <c r="AC100" s="587" t="s">
        <v>475</v>
      </c>
      <c r="AD100" s="587" t="s">
        <v>522</v>
      </c>
      <c r="AE100" s="587" t="s">
        <v>522</v>
      </c>
      <c r="AF100" s="587" t="s">
        <v>475</v>
      </c>
      <c r="AG100" s="588"/>
      <c r="AH100" s="651">
        <v>46</v>
      </c>
      <c r="AI100" s="523">
        <v>37</v>
      </c>
    </row>
    <row r="101" spans="1:37" ht="21.95" customHeight="1" x14ac:dyDescent="0.2">
      <c r="A101" s="623"/>
      <c r="B101" s="630"/>
      <c r="C101" s="590"/>
      <c r="D101" s="590"/>
      <c r="E101" s="590"/>
      <c r="F101" s="590"/>
      <c r="G101" s="590"/>
      <c r="H101" s="590"/>
      <c r="I101" s="590"/>
      <c r="J101" s="590"/>
      <c r="K101" s="590"/>
      <c r="L101" s="590"/>
      <c r="M101" s="590"/>
      <c r="N101" s="590"/>
      <c r="O101" s="590"/>
      <c r="P101" s="590"/>
      <c r="Q101" s="590"/>
      <c r="R101" s="590"/>
      <c r="S101" s="590"/>
      <c r="T101" s="590"/>
      <c r="U101" s="590"/>
      <c r="V101" s="590"/>
      <c r="W101" s="590"/>
      <c r="X101" s="590"/>
      <c r="Y101" s="590"/>
      <c r="Z101" s="590"/>
      <c r="AA101" s="590"/>
      <c r="AB101" s="590"/>
      <c r="AC101" s="590"/>
      <c r="AD101" s="590"/>
      <c r="AE101" s="590"/>
      <c r="AF101" s="590"/>
      <c r="AG101" s="590"/>
      <c r="AH101" s="591"/>
      <c r="AI101" s="591"/>
    </row>
    <row r="102" spans="1:37" ht="21.95" customHeight="1" x14ac:dyDescent="0.2">
      <c r="A102" s="1" t="s">
        <v>574</v>
      </c>
      <c r="D102" s="360"/>
      <c r="E102" s="360"/>
      <c r="F102" s="360"/>
      <c r="G102" s="57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</row>
    <row r="103" spans="1:37" ht="21.95" customHeight="1" x14ac:dyDescent="0.2">
      <c r="A103" s="1"/>
      <c r="B103" s="23" t="s">
        <v>556</v>
      </c>
      <c r="C103" s="7"/>
      <c r="D103" s="530" t="s">
        <v>2</v>
      </c>
      <c r="E103" s="51"/>
      <c r="F103" s="573"/>
      <c r="G103" s="7"/>
      <c r="H103" s="530" t="s">
        <v>3</v>
      </c>
      <c r="I103" s="51"/>
      <c r="J103" s="573"/>
      <c r="K103" s="7"/>
      <c r="L103" s="530" t="s">
        <v>4</v>
      </c>
      <c r="M103" s="51"/>
      <c r="N103" s="573"/>
      <c r="O103" s="7"/>
      <c r="P103" s="530" t="s">
        <v>5</v>
      </c>
      <c r="Q103" s="51"/>
      <c r="R103" s="573"/>
      <c r="S103" s="7"/>
      <c r="T103" s="530" t="s">
        <v>6</v>
      </c>
      <c r="U103" s="51"/>
      <c r="V103" s="573"/>
      <c r="W103" s="7"/>
      <c r="X103" s="530" t="s">
        <v>7</v>
      </c>
      <c r="Y103" s="51"/>
      <c r="Z103" s="573"/>
      <c r="AA103" s="7"/>
      <c r="AB103" s="530" t="s">
        <v>8</v>
      </c>
      <c r="AC103" s="51"/>
      <c r="AD103" s="51"/>
      <c r="AE103" s="424" t="s">
        <v>10</v>
      </c>
      <c r="AF103" s="51"/>
      <c r="AG103" s="51"/>
      <c r="AH103" s="51"/>
      <c r="AI103" s="531"/>
    </row>
    <row r="104" spans="1:37" ht="21.95" customHeight="1" x14ac:dyDescent="0.2">
      <c r="A104" s="1"/>
      <c r="B104" s="129" t="s">
        <v>324</v>
      </c>
      <c r="C104" s="121" t="s">
        <v>167</v>
      </c>
      <c r="D104" s="156"/>
      <c r="E104" s="156"/>
      <c r="F104" s="612"/>
      <c r="G104" s="121" t="s">
        <v>709</v>
      </c>
      <c r="H104" s="156"/>
      <c r="I104" s="156"/>
      <c r="J104" s="612"/>
      <c r="K104" s="121" t="s">
        <v>709</v>
      </c>
      <c r="L104" s="156"/>
      <c r="M104" s="156"/>
      <c r="N104" s="612"/>
      <c r="O104" s="121" t="s">
        <v>709</v>
      </c>
      <c r="P104" s="156"/>
      <c r="Q104" s="156"/>
      <c r="R104" s="612"/>
      <c r="S104" s="121" t="s">
        <v>697</v>
      </c>
      <c r="T104" s="156"/>
      <c r="U104" s="156"/>
      <c r="V104" s="612"/>
      <c r="W104" s="1724" t="s">
        <v>579</v>
      </c>
      <c r="X104" s="624"/>
      <c r="Y104" s="624"/>
      <c r="Z104" s="625"/>
      <c r="AA104" s="611"/>
      <c r="AB104" s="156"/>
      <c r="AC104" s="156"/>
      <c r="AD104" s="613"/>
      <c r="AE104" s="128"/>
      <c r="AF104" s="156"/>
      <c r="AG104" s="156" t="s">
        <v>28</v>
      </c>
      <c r="AH104" s="613"/>
      <c r="AI104" s="489"/>
    </row>
    <row r="105" spans="1:37" ht="21.95" customHeight="1" x14ac:dyDescent="0.2">
      <c r="A105" s="1"/>
      <c r="B105" s="129" t="s">
        <v>325</v>
      </c>
      <c r="C105" s="121" t="s">
        <v>711</v>
      </c>
      <c r="D105" s="156"/>
      <c r="E105" s="156"/>
      <c r="F105" s="612"/>
      <c r="G105" s="121" t="s">
        <v>711</v>
      </c>
      <c r="H105" s="156"/>
      <c r="I105" s="156"/>
      <c r="J105" s="612"/>
      <c r="K105" s="121" t="s">
        <v>711</v>
      </c>
      <c r="L105" s="156"/>
      <c r="M105" s="156"/>
      <c r="N105" s="612"/>
      <c r="O105" s="121" t="s">
        <v>711</v>
      </c>
      <c r="P105" s="156"/>
      <c r="Q105" s="156"/>
      <c r="R105" s="612"/>
      <c r="S105" s="121" t="s">
        <v>167</v>
      </c>
      <c r="T105" s="156"/>
      <c r="U105" s="156"/>
      <c r="V105" s="612"/>
      <c r="W105" s="121"/>
      <c r="X105" s="156"/>
      <c r="Y105" s="156"/>
      <c r="Z105" s="612"/>
      <c r="AA105" s="156"/>
      <c r="AB105" s="156"/>
      <c r="AC105" s="156"/>
      <c r="AD105" s="613"/>
      <c r="AE105" s="128"/>
      <c r="AF105" s="156"/>
      <c r="AG105" s="156"/>
      <c r="AH105" s="613"/>
      <c r="AI105" s="489"/>
    </row>
    <row r="106" spans="1:37" ht="21.95" customHeight="1" x14ac:dyDescent="0.2">
      <c r="A106" s="1"/>
      <c r="B106" s="129" t="s">
        <v>326</v>
      </c>
      <c r="C106" s="121" t="s">
        <v>575</v>
      </c>
      <c r="D106" s="156"/>
      <c r="E106" s="156"/>
      <c r="F106" s="612"/>
      <c r="G106" s="121" t="s">
        <v>712</v>
      </c>
      <c r="H106" s="156"/>
      <c r="I106" s="156"/>
      <c r="J106" s="612"/>
      <c r="K106" s="121" t="s">
        <v>712</v>
      </c>
      <c r="L106" s="156"/>
      <c r="M106" s="156"/>
      <c r="N106" s="612"/>
      <c r="O106" s="121" t="s">
        <v>712</v>
      </c>
      <c r="P106" s="156"/>
      <c r="Q106" s="156"/>
      <c r="R106" s="612"/>
      <c r="S106" s="121" t="s">
        <v>713</v>
      </c>
      <c r="T106" s="156"/>
      <c r="U106" s="156"/>
      <c r="V106" s="612"/>
      <c r="W106" s="631" t="s">
        <v>579</v>
      </c>
      <c r="X106" s="134"/>
      <c r="Y106" s="134"/>
      <c r="Z106" s="627"/>
      <c r="AA106" s="626"/>
      <c r="AB106" s="134"/>
      <c r="AC106" s="134"/>
      <c r="AD106" s="628"/>
      <c r="AE106" s="128"/>
      <c r="AF106" s="156"/>
      <c r="AG106" s="156"/>
      <c r="AH106" s="613"/>
      <c r="AI106" s="489"/>
    </row>
    <row r="107" spans="1:37" ht="21.95" customHeight="1" thickBot="1" x14ac:dyDescent="0.25">
      <c r="A107" s="1"/>
      <c r="B107" s="16" t="s">
        <v>236</v>
      </c>
      <c r="C107" s="57" t="s">
        <v>714</v>
      </c>
      <c r="D107" s="53"/>
      <c r="E107" s="53"/>
      <c r="F107" s="619"/>
      <c r="G107" s="57" t="s">
        <v>714</v>
      </c>
      <c r="H107" s="53"/>
      <c r="I107" s="53"/>
      <c r="J107" s="619"/>
      <c r="K107" s="57" t="s">
        <v>714</v>
      </c>
      <c r="L107" s="53"/>
      <c r="M107" s="53"/>
      <c r="N107" s="619"/>
      <c r="O107" s="57" t="s">
        <v>714</v>
      </c>
      <c r="P107" s="53"/>
      <c r="Q107" s="53"/>
      <c r="R107" s="619"/>
      <c r="S107" s="57" t="s">
        <v>715</v>
      </c>
      <c r="T107" s="53"/>
      <c r="U107" s="53"/>
      <c r="V107" s="620"/>
      <c r="W107" s="57"/>
      <c r="X107" s="620"/>
      <c r="Y107" s="53"/>
      <c r="Z107" s="619"/>
      <c r="AA107" s="57"/>
      <c r="AB107" s="620"/>
      <c r="AC107" s="53"/>
      <c r="AD107" s="619"/>
      <c r="AE107" s="629"/>
      <c r="AF107" s="53"/>
      <c r="AG107" s="53"/>
      <c r="AH107" s="620"/>
      <c r="AI107" s="544"/>
    </row>
    <row r="108" spans="1:37" ht="21.95" customHeight="1" x14ac:dyDescent="0.2">
      <c r="A108" s="621"/>
      <c r="B108" s="1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7" ht="21.95" customHeight="1" x14ac:dyDescent="0.2">
      <c r="A109" s="585"/>
      <c r="B109" s="296" t="s">
        <v>469</v>
      </c>
      <c r="C109" s="177">
        <v>1</v>
      </c>
      <c r="D109" s="177">
        <v>2</v>
      </c>
      <c r="E109" s="177">
        <v>3</v>
      </c>
      <c r="F109" s="177">
        <v>4</v>
      </c>
      <c r="G109" s="497">
        <v>5</v>
      </c>
      <c r="H109" s="497">
        <v>6</v>
      </c>
      <c r="I109" s="177">
        <v>7</v>
      </c>
      <c r="J109" s="177">
        <v>8</v>
      </c>
      <c r="K109" s="177">
        <v>9</v>
      </c>
      <c r="L109" s="177">
        <v>10</v>
      </c>
      <c r="M109" s="177">
        <v>11</v>
      </c>
      <c r="N109" s="497">
        <v>12</v>
      </c>
      <c r="O109" s="497">
        <v>13</v>
      </c>
      <c r="P109" s="177">
        <v>14</v>
      </c>
      <c r="Q109" s="177">
        <v>15</v>
      </c>
      <c r="R109" s="177">
        <v>16</v>
      </c>
      <c r="S109" s="177">
        <v>17</v>
      </c>
      <c r="T109" s="177">
        <v>18</v>
      </c>
      <c r="U109" s="497">
        <v>19</v>
      </c>
      <c r="V109" s="497">
        <v>20</v>
      </c>
      <c r="W109" s="177">
        <v>21</v>
      </c>
      <c r="X109" s="177">
        <v>22</v>
      </c>
      <c r="Y109" s="177">
        <v>23</v>
      </c>
      <c r="Z109" s="177">
        <v>24</v>
      </c>
      <c r="AA109" s="177">
        <v>25</v>
      </c>
      <c r="AB109" s="497">
        <v>26</v>
      </c>
      <c r="AC109" s="497">
        <v>27</v>
      </c>
      <c r="AD109" s="177">
        <v>28</v>
      </c>
      <c r="AE109" s="177">
        <v>29</v>
      </c>
      <c r="AF109" s="177">
        <v>30</v>
      </c>
      <c r="AG109" s="177"/>
      <c r="AH109" s="499" t="s">
        <v>470</v>
      </c>
      <c r="AI109" s="500" t="s">
        <v>471</v>
      </c>
    </row>
    <row r="110" spans="1:37" ht="21.95" customHeight="1" x14ac:dyDescent="0.2">
      <c r="A110" s="622">
        <v>1</v>
      </c>
      <c r="B110" s="552" t="s">
        <v>530</v>
      </c>
      <c r="C110" s="553">
        <v>1</v>
      </c>
      <c r="D110" s="553">
        <v>1</v>
      </c>
      <c r="E110" s="553">
        <v>1</v>
      </c>
      <c r="F110" s="553">
        <v>1</v>
      </c>
      <c r="G110" s="553">
        <v>1</v>
      </c>
      <c r="H110" s="553"/>
      <c r="I110" s="553">
        <v>2</v>
      </c>
      <c r="J110" s="553">
        <v>2</v>
      </c>
      <c r="K110" s="553">
        <v>2</v>
      </c>
      <c r="L110" s="553">
        <v>2</v>
      </c>
      <c r="M110" s="553" t="s">
        <v>475</v>
      </c>
      <c r="N110" s="553"/>
      <c r="O110" s="587"/>
      <c r="P110" s="553">
        <v>3</v>
      </c>
      <c r="Q110" s="553">
        <v>3</v>
      </c>
      <c r="R110" s="553">
        <v>3</v>
      </c>
      <c r="S110" s="553">
        <v>3</v>
      </c>
      <c r="T110" s="553">
        <v>3</v>
      </c>
      <c r="U110" s="1083">
        <v>3</v>
      </c>
      <c r="V110" s="553"/>
      <c r="W110" s="553">
        <v>4</v>
      </c>
      <c r="X110" s="1087" t="s">
        <v>531</v>
      </c>
      <c r="Y110" s="553">
        <v>4</v>
      </c>
      <c r="Z110" s="553">
        <v>4</v>
      </c>
      <c r="AA110" s="553">
        <v>4</v>
      </c>
      <c r="AB110" s="553"/>
      <c r="AC110" s="587"/>
      <c r="AD110" s="587" t="s">
        <v>475</v>
      </c>
      <c r="AE110" s="553">
        <v>1</v>
      </c>
      <c r="AF110" s="553" t="s">
        <v>475</v>
      </c>
      <c r="AG110" s="587"/>
      <c r="AH110" s="505">
        <v>46</v>
      </c>
      <c r="AI110" s="506">
        <v>37</v>
      </c>
    </row>
    <row r="111" spans="1:37" ht="21.95" customHeight="1" x14ac:dyDescent="0.2">
      <c r="A111" s="622">
        <v>2</v>
      </c>
      <c r="B111" s="318" t="s">
        <v>583</v>
      </c>
      <c r="C111" s="553">
        <v>2</v>
      </c>
      <c r="D111" s="1515">
        <v>2</v>
      </c>
      <c r="E111" s="1515">
        <v>2</v>
      </c>
      <c r="F111" s="1515" t="s">
        <v>475</v>
      </c>
      <c r="G111" s="1515"/>
      <c r="H111" s="1516"/>
      <c r="I111" s="553">
        <v>3</v>
      </c>
      <c r="J111" s="553">
        <v>3</v>
      </c>
      <c r="K111" s="553">
        <v>3</v>
      </c>
      <c r="L111" s="553">
        <v>3</v>
      </c>
      <c r="M111" s="553">
        <v>3</v>
      </c>
      <c r="N111" s="553">
        <v>3</v>
      </c>
      <c r="O111" s="553"/>
      <c r="P111" s="553">
        <v>4</v>
      </c>
      <c r="Q111" s="553">
        <v>4</v>
      </c>
      <c r="R111" s="553">
        <v>4</v>
      </c>
      <c r="S111" s="553">
        <v>4</v>
      </c>
      <c r="T111" s="553">
        <v>4</v>
      </c>
      <c r="U111" s="553"/>
      <c r="V111" s="587"/>
      <c r="W111" s="587" t="s">
        <v>475</v>
      </c>
      <c r="X111" s="553">
        <v>1</v>
      </c>
      <c r="Y111" s="553">
        <v>1</v>
      </c>
      <c r="Z111" s="553">
        <v>1</v>
      </c>
      <c r="AA111" s="553">
        <v>1</v>
      </c>
      <c r="AB111" s="553">
        <v>1</v>
      </c>
      <c r="AC111" s="553"/>
      <c r="AD111" s="553">
        <v>2</v>
      </c>
      <c r="AE111" s="553">
        <v>2</v>
      </c>
      <c r="AF111" s="553">
        <v>2</v>
      </c>
      <c r="AG111" s="587"/>
      <c r="AH111" s="505">
        <v>51</v>
      </c>
      <c r="AI111" s="506">
        <v>37</v>
      </c>
    </row>
    <row r="112" spans="1:37" ht="21.95" customHeight="1" x14ac:dyDescent="0.2">
      <c r="A112" s="622">
        <v>3</v>
      </c>
      <c r="B112" s="552" t="s">
        <v>584</v>
      </c>
      <c r="C112" s="553">
        <v>3</v>
      </c>
      <c r="D112" s="553">
        <v>3</v>
      </c>
      <c r="E112" s="553">
        <v>3</v>
      </c>
      <c r="F112" s="553">
        <v>3</v>
      </c>
      <c r="G112" s="553">
        <v>3</v>
      </c>
      <c r="H112" s="587"/>
      <c r="I112" s="553">
        <v>4</v>
      </c>
      <c r="J112" s="553">
        <v>4</v>
      </c>
      <c r="K112" s="553">
        <v>4</v>
      </c>
      <c r="L112" s="553">
        <v>4</v>
      </c>
      <c r="M112" s="553">
        <v>4</v>
      </c>
      <c r="N112" s="587"/>
      <c r="O112" s="587"/>
      <c r="P112" s="587" t="s">
        <v>475</v>
      </c>
      <c r="Q112" s="553">
        <v>1</v>
      </c>
      <c r="R112" s="553">
        <v>1</v>
      </c>
      <c r="S112" s="553">
        <v>1</v>
      </c>
      <c r="T112" s="553">
        <v>1</v>
      </c>
      <c r="U112" s="553">
        <v>1</v>
      </c>
      <c r="V112" s="587"/>
      <c r="W112" s="553">
        <v>2</v>
      </c>
      <c r="X112" s="553">
        <v>2</v>
      </c>
      <c r="Y112" s="553">
        <v>2</v>
      </c>
      <c r="Z112" s="553">
        <v>2</v>
      </c>
      <c r="AA112" s="587" t="s">
        <v>475</v>
      </c>
      <c r="AB112" s="587"/>
      <c r="AC112" s="587"/>
      <c r="AD112" s="553">
        <v>3</v>
      </c>
      <c r="AE112" s="553">
        <v>3</v>
      </c>
      <c r="AF112" s="553">
        <v>3</v>
      </c>
      <c r="AG112" s="587"/>
      <c r="AH112" s="651">
        <v>42</v>
      </c>
      <c r="AI112" s="523">
        <v>37</v>
      </c>
    </row>
    <row r="113" spans="1:44" ht="21.95" customHeight="1" x14ac:dyDescent="0.2">
      <c r="A113" s="622">
        <v>4</v>
      </c>
      <c r="B113" s="552" t="s">
        <v>289</v>
      </c>
      <c r="C113" s="553">
        <v>4</v>
      </c>
      <c r="D113" s="553">
        <v>4</v>
      </c>
      <c r="E113" s="553">
        <v>4</v>
      </c>
      <c r="F113" s="553">
        <v>4</v>
      </c>
      <c r="G113" s="553"/>
      <c r="H113" s="553"/>
      <c r="I113" s="587" t="s">
        <v>475</v>
      </c>
      <c r="J113" s="553">
        <v>1</v>
      </c>
      <c r="K113" s="553">
        <v>1</v>
      </c>
      <c r="L113" s="553">
        <v>1</v>
      </c>
      <c r="M113" s="553">
        <v>1</v>
      </c>
      <c r="N113" s="587"/>
      <c r="O113" s="587"/>
      <c r="P113" s="553">
        <v>2</v>
      </c>
      <c r="Q113" s="553">
        <v>2</v>
      </c>
      <c r="R113" s="553">
        <v>2</v>
      </c>
      <c r="S113" s="553">
        <v>2</v>
      </c>
      <c r="T113" s="587" t="s">
        <v>475</v>
      </c>
      <c r="U113" s="587"/>
      <c r="V113" s="553"/>
      <c r="W113" s="553">
        <v>3</v>
      </c>
      <c r="X113" s="553">
        <v>3</v>
      </c>
      <c r="Y113" s="553">
        <v>3</v>
      </c>
      <c r="Z113" s="1515">
        <v>3</v>
      </c>
      <c r="AA113" s="1515">
        <v>3</v>
      </c>
      <c r="AB113" s="1515">
        <v>3</v>
      </c>
      <c r="AC113" s="1516"/>
      <c r="AD113" s="1554">
        <v>4</v>
      </c>
      <c r="AE113" s="1515">
        <v>4</v>
      </c>
      <c r="AF113" s="1515" t="s">
        <v>727</v>
      </c>
      <c r="AG113" s="587"/>
      <c r="AH113" s="651">
        <v>51</v>
      </c>
      <c r="AI113" s="523">
        <v>37</v>
      </c>
    </row>
    <row r="114" spans="1:44" ht="21.95" customHeight="1" x14ac:dyDescent="0.2">
      <c r="A114" s="623"/>
      <c r="B114" s="630"/>
      <c r="C114" s="590"/>
      <c r="D114" s="590"/>
      <c r="E114" s="590"/>
      <c r="F114" s="590"/>
      <c r="G114" s="590"/>
      <c r="H114" s="590"/>
      <c r="I114" s="590"/>
      <c r="J114" s="590"/>
      <c r="K114" s="590"/>
      <c r="L114" s="590"/>
      <c r="M114" s="590"/>
      <c r="N114" s="590"/>
      <c r="O114" s="590"/>
      <c r="P114" s="590"/>
      <c r="Q114" s="590"/>
      <c r="R114" s="590"/>
      <c r="S114" s="590"/>
      <c r="T114" s="590"/>
      <c r="U114" s="590"/>
      <c r="V114" s="590"/>
      <c r="W114" s="590"/>
      <c r="X114" s="590"/>
      <c r="Y114" s="590"/>
      <c r="Z114" s="590"/>
      <c r="AA114" s="590"/>
      <c r="AB114" s="590"/>
      <c r="AC114" s="590"/>
      <c r="AD114" s="590"/>
      <c r="AE114" s="590"/>
      <c r="AF114" s="590"/>
      <c r="AG114" s="590"/>
      <c r="AH114" s="591"/>
      <c r="AI114" s="591"/>
    </row>
    <row r="115" spans="1:44" ht="21.95" customHeight="1" x14ac:dyDescent="0.2">
      <c r="A115" s="311" t="s">
        <v>585</v>
      </c>
      <c r="C115" s="590"/>
      <c r="D115" s="590"/>
      <c r="E115" s="590"/>
      <c r="F115" s="590"/>
      <c r="G115" s="590"/>
      <c r="H115" s="590"/>
      <c r="I115" s="590"/>
      <c r="J115" s="590"/>
      <c r="K115" s="590"/>
      <c r="L115" s="590"/>
      <c r="M115" s="590"/>
      <c r="N115" s="590"/>
      <c r="O115" s="590"/>
      <c r="P115" s="590"/>
      <c r="Q115" s="590"/>
      <c r="R115" s="590"/>
      <c r="S115" s="590"/>
      <c r="T115" s="590"/>
      <c r="U115" s="590"/>
      <c r="V115" s="590"/>
      <c r="W115" s="590"/>
      <c r="X115" s="590"/>
      <c r="Y115" s="590"/>
      <c r="Z115" s="590"/>
      <c r="AA115" s="590"/>
      <c r="AB115" s="590"/>
      <c r="AC115" s="590"/>
      <c r="AD115" s="590"/>
      <c r="AE115" s="590"/>
      <c r="AF115" s="590"/>
      <c r="AG115" s="590"/>
      <c r="AH115" s="591"/>
      <c r="AI115" s="591"/>
      <c r="AJ115" s="360"/>
    </row>
    <row r="116" spans="1:44" ht="21.95" customHeight="1" x14ac:dyDescent="0.2">
      <c r="A116" s="298" t="s">
        <v>468</v>
      </c>
      <c r="B116" s="298"/>
      <c r="C116" s="152"/>
      <c r="D116" s="298" t="s">
        <v>2</v>
      </c>
      <c r="E116" s="185"/>
      <c r="F116" s="152"/>
      <c r="G116" s="298" t="s">
        <v>3</v>
      </c>
      <c r="H116" s="185"/>
      <c r="I116" s="152"/>
      <c r="J116" s="298" t="s">
        <v>4</v>
      </c>
      <c r="K116" s="185"/>
      <c r="L116" s="152"/>
      <c r="M116" s="298" t="s">
        <v>5</v>
      </c>
      <c r="N116" s="185"/>
      <c r="O116" s="152"/>
      <c r="P116" s="298" t="s">
        <v>6</v>
      </c>
      <c r="Q116" s="185"/>
      <c r="R116" s="133"/>
      <c r="S116" s="198" t="s">
        <v>7</v>
      </c>
      <c r="T116" s="185"/>
      <c r="U116" s="152"/>
      <c r="V116" s="298" t="s">
        <v>8</v>
      </c>
      <c r="W116" s="185"/>
      <c r="X116" s="632" t="s">
        <v>10</v>
      </c>
      <c r="Y116" s="185"/>
      <c r="Z116" s="185"/>
      <c r="AA116" s="598"/>
      <c r="AB116" s="482"/>
      <c r="AC116" s="482"/>
      <c r="AD116" s="482"/>
      <c r="AE116" s="482"/>
      <c r="AF116" s="482"/>
      <c r="AG116" s="483"/>
      <c r="AH116" s="360"/>
      <c r="AI116" s="360"/>
      <c r="AJ116" s="360"/>
    </row>
    <row r="117" spans="1:44" ht="21.95" customHeight="1" x14ac:dyDescent="0.2">
      <c r="A117" s="1786">
        <v>8517</v>
      </c>
      <c r="B117" s="501" t="s">
        <v>586</v>
      </c>
      <c r="C117" s="631" t="s">
        <v>124</v>
      </c>
      <c r="D117" s="628"/>
      <c r="E117" s="633"/>
      <c r="F117" s="631" t="s">
        <v>124</v>
      </c>
      <c r="G117" s="634"/>
      <c r="H117" s="633"/>
      <c r="I117" s="121" t="s">
        <v>124</v>
      </c>
      <c r="J117" s="613"/>
      <c r="K117" s="635"/>
      <c r="L117" s="121" t="s">
        <v>124</v>
      </c>
      <c r="M117" s="613"/>
      <c r="N117" s="635"/>
      <c r="O117" s="121" t="s">
        <v>125</v>
      </c>
      <c r="P117" s="613"/>
      <c r="Q117" s="476"/>
      <c r="R117" s="636" t="s">
        <v>28</v>
      </c>
      <c r="S117" s="613"/>
      <c r="T117" s="635"/>
      <c r="U117" s="613" t="s">
        <v>28</v>
      </c>
      <c r="V117" s="613"/>
      <c r="W117" s="476"/>
      <c r="X117" s="144" t="s">
        <v>28</v>
      </c>
      <c r="Y117" s="360"/>
      <c r="Z117" s="360"/>
      <c r="AA117" s="360"/>
      <c r="AB117" s="360"/>
      <c r="AC117" s="360"/>
      <c r="AD117" s="360"/>
      <c r="AE117" s="360"/>
      <c r="AF117" s="360"/>
      <c r="AG117" s="637"/>
      <c r="AH117" s="360"/>
      <c r="AI117" s="360"/>
      <c r="AJ117" s="360"/>
    </row>
    <row r="118" spans="1:44" ht="21.95" customHeight="1" x14ac:dyDescent="0.2">
      <c r="A118" s="638">
        <v>8502</v>
      </c>
      <c r="B118" s="639" t="s">
        <v>587</v>
      </c>
      <c r="C118" s="121" t="s">
        <v>11</v>
      </c>
      <c r="D118" s="613"/>
      <c r="E118" s="476"/>
      <c r="F118" s="121" t="s">
        <v>11</v>
      </c>
      <c r="G118" s="613"/>
      <c r="H118" s="635"/>
      <c r="I118" s="121" t="s">
        <v>11</v>
      </c>
      <c r="J118" s="613"/>
      <c r="K118" s="635"/>
      <c r="L118" s="121" t="s">
        <v>11</v>
      </c>
      <c r="M118" s="613"/>
      <c r="N118" s="635"/>
      <c r="O118" s="121" t="s">
        <v>12</v>
      </c>
      <c r="P118" s="613"/>
      <c r="Q118" s="476"/>
      <c r="R118" s="640"/>
      <c r="S118" s="641"/>
      <c r="T118" s="635"/>
      <c r="U118" s="613"/>
      <c r="V118" s="613"/>
      <c r="W118" s="476"/>
      <c r="X118" s="475"/>
      <c r="Y118" s="482"/>
      <c r="Z118" s="482"/>
      <c r="AA118" s="482"/>
      <c r="AB118" s="482"/>
      <c r="AC118" s="482"/>
      <c r="AD118" s="482"/>
      <c r="AE118" s="482"/>
      <c r="AF118" s="482"/>
      <c r="AG118" s="483"/>
      <c r="AH118" s="360"/>
      <c r="AI118" s="360"/>
      <c r="AJ118" s="360"/>
    </row>
    <row r="119" spans="1:44" ht="21.95" customHeight="1" x14ac:dyDescent="0.2">
      <c r="A119" s="273"/>
      <c r="B119" s="524"/>
      <c r="C119" s="353"/>
      <c r="D119" s="353"/>
      <c r="E119" s="73"/>
      <c r="F119" s="353"/>
      <c r="G119" s="353"/>
      <c r="H119" s="73"/>
      <c r="I119" s="353"/>
      <c r="J119" s="353"/>
      <c r="K119" s="73"/>
      <c r="L119" s="353"/>
      <c r="M119" s="353"/>
      <c r="N119" s="73"/>
      <c r="O119" s="353"/>
      <c r="P119" s="353"/>
      <c r="Q119" s="73"/>
      <c r="R119" s="167"/>
      <c r="S119" s="353"/>
      <c r="T119" s="73"/>
      <c r="U119" s="353"/>
      <c r="V119" s="353"/>
      <c r="W119" s="73"/>
      <c r="X119" s="73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</row>
    <row r="120" spans="1:44" ht="21.95" customHeight="1" thickBot="1" x14ac:dyDescent="0.25">
      <c r="A120" s="642"/>
      <c r="B120" s="181" t="s">
        <v>469</v>
      </c>
      <c r="C120" s="177">
        <v>1</v>
      </c>
      <c r="D120" s="177">
        <v>2</v>
      </c>
      <c r="E120" s="177">
        <v>3</v>
      </c>
      <c r="F120" s="177">
        <v>4</v>
      </c>
      <c r="G120" s="497">
        <v>5</v>
      </c>
      <c r="H120" s="497">
        <v>6</v>
      </c>
      <c r="I120" s="177">
        <v>7</v>
      </c>
      <c r="J120" s="177">
        <v>8</v>
      </c>
      <c r="K120" s="177">
        <v>9</v>
      </c>
      <c r="L120" s="177">
        <v>10</v>
      </c>
      <c r="M120" s="177">
        <v>11</v>
      </c>
      <c r="N120" s="497">
        <v>12</v>
      </c>
      <c r="O120" s="497">
        <v>13</v>
      </c>
      <c r="P120" s="177">
        <v>14</v>
      </c>
      <c r="Q120" s="177">
        <v>15</v>
      </c>
      <c r="R120" s="177">
        <v>16</v>
      </c>
      <c r="S120" s="177">
        <v>17</v>
      </c>
      <c r="T120" s="177">
        <v>18</v>
      </c>
      <c r="U120" s="497">
        <v>19</v>
      </c>
      <c r="V120" s="497">
        <v>20</v>
      </c>
      <c r="W120" s="177">
        <v>21</v>
      </c>
      <c r="X120" s="177">
        <v>22</v>
      </c>
      <c r="Y120" s="177">
        <v>23</v>
      </c>
      <c r="Z120" s="177">
        <v>24</v>
      </c>
      <c r="AA120" s="177">
        <v>25</v>
      </c>
      <c r="AB120" s="497">
        <v>26</v>
      </c>
      <c r="AC120" s="497">
        <v>27</v>
      </c>
      <c r="AD120" s="177">
        <v>28</v>
      </c>
      <c r="AE120" s="177">
        <v>29</v>
      </c>
      <c r="AF120" s="177">
        <v>30</v>
      </c>
      <c r="AG120" s="177"/>
      <c r="AH120" s="643" t="s">
        <v>470</v>
      </c>
      <c r="AI120" s="644" t="s">
        <v>471</v>
      </c>
      <c r="AQ120" s="1505"/>
      <c r="AR120" s="1505"/>
    </row>
    <row r="121" spans="1:44" ht="21.95" customHeight="1" x14ac:dyDescent="0.2">
      <c r="A121" s="645">
        <v>1</v>
      </c>
      <c r="B121" s="552" t="s">
        <v>588</v>
      </c>
      <c r="C121" s="1088" t="s">
        <v>552</v>
      </c>
      <c r="D121" s="1088" t="s">
        <v>552</v>
      </c>
      <c r="E121" s="1088" t="s">
        <v>552</v>
      </c>
      <c r="F121" s="1088" t="s">
        <v>552</v>
      </c>
      <c r="G121" s="1088"/>
      <c r="H121" s="1088"/>
      <c r="I121" s="1088" t="s">
        <v>552</v>
      </c>
      <c r="J121" s="1088" t="s">
        <v>552</v>
      </c>
      <c r="K121" s="1088" t="s">
        <v>552</v>
      </c>
      <c r="L121" s="1088" t="s">
        <v>552</v>
      </c>
      <c r="M121" s="1088" t="s">
        <v>552</v>
      </c>
      <c r="N121" s="1088"/>
      <c r="O121" s="1088"/>
      <c r="P121" s="1088" t="s">
        <v>552</v>
      </c>
      <c r="Q121" s="1088" t="s">
        <v>552</v>
      </c>
      <c r="R121" s="1088" t="s">
        <v>552</v>
      </c>
      <c r="S121" s="1525" t="s">
        <v>748</v>
      </c>
      <c r="T121" s="1510" t="s">
        <v>749</v>
      </c>
      <c r="U121" s="1510"/>
      <c r="V121" s="1510"/>
      <c r="W121" s="1510">
        <v>3</v>
      </c>
      <c r="X121" s="1510">
        <v>3</v>
      </c>
      <c r="Y121" s="1510">
        <v>3</v>
      </c>
      <c r="Z121" s="1510">
        <v>3</v>
      </c>
      <c r="AA121" s="1510">
        <v>3</v>
      </c>
      <c r="AB121" s="1510"/>
      <c r="AC121" s="1510"/>
      <c r="AD121" s="1510">
        <v>6</v>
      </c>
      <c r="AE121" s="1510">
        <v>6</v>
      </c>
      <c r="AF121" s="1510">
        <v>6</v>
      </c>
      <c r="AG121" s="503"/>
      <c r="AH121" s="646">
        <v>185</v>
      </c>
      <c r="AI121" s="647">
        <v>37</v>
      </c>
    </row>
    <row r="122" spans="1:44" ht="21.95" customHeight="1" x14ac:dyDescent="0.2">
      <c r="A122" s="645">
        <v>2</v>
      </c>
      <c r="B122" s="552" t="s">
        <v>589</v>
      </c>
      <c r="C122" s="1059">
        <v>3</v>
      </c>
      <c r="D122" s="1059">
        <v>3</v>
      </c>
      <c r="E122" s="1059">
        <v>3</v>
      </c>
      <c r="F122" s="1059">
        <v>3</v>
      </c>
      <c r="G122" s="1059"/>
      <c r="H122" s="1059"/>
      <c r="I122" s="503">
        <v>11</v>
      </c>
      <c r="J122" s="503">
        <v>11</v>
      </c>
      <c r="K122" s="503">
        <v>11</v>
      </c>
      <c r="L122" s="503">
        <v>11</v>
      </c>
      <c r="M122" s="503">
        <v>11</v>
      </c>
      <c r="N122" s="503" t="s">
        <v>503</v>
      </c>
      <c r="O122" s="503" t="s">
        <v>503</v>
      </c>
      <c r="P122" s="503" t="s">
        <v>475</v>
      </c>
      <c r="Q122" s="503" t="s">
        <v>475</v>
      </c>
      <c r="R122" s="503" t="s">
        <v>475</v>
      </c>
      <c r="S122" s="503" t="s">
        <v>475</v>
      </c>
      <c r="T122" s="503" t="s">
        <v>750</v>
      </c>
      <c r="U122" s="1537" t="s">
        <v>508</v>
      </c>
      <c r="V122" s="503"/>
      <c r="W122" s="503">
        <v>8</v>
      </c>
      <c r="X122" s="503">
        <v>8</v>
      </c>
      <c r="Y122" s="503">
        <v>8</v>
      </c>
      <c r="Z122" s="503">
        <v>8</v>
      </c>
      <c r="AA122" s="503">
        <v>8</v>
      </c>
      <c r="AB122" s="503" t="s">
        <v>504</v>
      </c>
      <c r="AC122" s="503" t="s">
        <v>504</v>
      </c>
      <c r="AD122" s="503" t="s">
        <v>475</v>
      </c>
      <c r="AE122" s="503" t="s">
        <v>475</v>
      </c>
      <c r="AF122" s="503" t="s">
        <v>475</v>
      </c>
      <c r="AG122" s="503"/>
      <c r="AH122" s="505">
        <v>89</v>
      </c>
      <c r="AI122" s="506">
        <v>37</v>
      </c>
    </row>
    <row r="123" spans="1:44" ht="21.95" customHeight="1" x14ac:dyDescent="0.2">
      <c r="A123" s="645">
        <v>3</v>
      </c>
      <c r="B123" s="552" t="s">
        <v>590</v>
      </c>
      <c r="C123" s="553">
        <v>6</v>
      </c>
      <c r="D123" s="553">
        <v>6</v>
      </c>
      <c r="E123" s="553">
        <v>6</v>
      </c>
      <c r="F123" s="553">
        <v>6</v>
      </c>
      <c r="G123" s="553" t="s">
        <v>508</v>
      </c>
      <c r="H123" s="553" t="s">
        <v>504</v>
      </c>
      <c r="I123" s="553" t="s">
        <v>475</v>
      </c>
      <c r="J123" s="553" t="s">
        <v>475</v>
      </c>
      <c r="K123" s="553" t="s">
        <v>475</v>
      </c>
      <c r="L123" s="553" t="s">
        <v>475</v>
      </c>
      <c r="M123" s="553" t="s">
        <v>475</v>
      </c>
      <c r="N123" s="553"/>
      <c r="O123" s="553"/>
      <c r="P123" s="553" t="s">
        <v>513</v>
      </c>
      <c r="Q123" s="553" t="s">
        <v>513</v>
      </c>
      <c r="R123" s="553">
        <v>5</v>
      </c>
      <c r="S123" s="553">
        <v>5</v>
      </c>
      <c r="T123" s="553">
        <v>5</v>
      </c>
      <c r="U123" s="553">
        <v>3</v>
      </c>
      <c r="V123" s="553"/>
      <c r="W123" s="553">
        <v>10</v>
      </c>
      <c r="X123" s="1515">
        <v>10</v>
      </c>
      <c r="Y123" s="1515">
        <v>10</v>
      </c>
      <c r="Z123" s="1515">
        <v>10</v>
      </c>
      <c r="AA123" s="1515">
        <v>10</v>
      </c>
      <c r="AB123" s="1515" t="s">
        <v>507</v>
      </c>
      <c r="AC123" s="1515" t="s">
        <v>507</v>
      </c>
      <c r="AD123" s="1515" t="s">
        <v>475</v>
      </c>
      <c r="AE123" s="1515" t="s">
        <v>475</v>
      </c>
      <c r="AF123" s="1515" t="s">
        <v>741</v>
      </c>
      <c r="AG123" s="503"/>
      <c r="AH123" s="505">
        <v>114</v>
      </c>
      <c r="AI123" s="506">
        <v>35</v>
      </c>
    </row>
    <row r="124" spans="1:44" ht="21.95" customHeight="1" x14ac:dyDescent="0.2">
      <c r="A124" s="645">
        <v>4</v>
      </c>
      <c r="B124" s="152" t="s">
        <v>591</v>
      </c>
      <c r="C124" s="1093" t="s">
        <v>552</v>
      </c>
      <c r="D124" s="1093" t="s">
        <v>552</v>
      </c>
      <c r="E124" s="1093" t="s">
        <v>552</v>
      </c>
      <c r="F124" s="1093" t="s">
        <v>552</v>
      </c>
      <c r="G124" s="1093"/>
      <c r="H124" s="1093"/>
      <c r="I124" s="1093" t="s">
        <v>552</v>
      </c>
      <c r="J124" s="1093" t="s">
        <v>552</v>
      </c>
      <c r="K124" s="1093" t="s">
        <v>552</v>
      </c>
      <c r="L124" s="1093" t="s">
        <v>552</v>
      </c>
      <c r="M124" s="1093" t="s">
        <v>552</v>
      </c>
      <c r="N124" s="1093"/>
      <c r="O124" s="1093"/>
      <c r="P124" s="1093" t="s">
        <v>552</v>
      </c>
      <c r="Q124" s="1093" t="s">
        <v>552</v>
      </c>
      <c r="R124" s="1093" t="s">
        <v>552</v>
      </c>
      <c r="S124" s="1093" t="s">
        <v>552</v>
      </c>
      <c r="T124" s="1093" t="s">
        <v>552</v>
      </c>
      <c r="U124" s="1093"/>
      <c r="V124" s="1093"/>
      <c r="W124" s="1093" t="s">
        <v>552</v>
      </c>
      <c r="X124" s="1093" t="s">
        <v>552</v>
      </c>
      <c r="Y124" s="1093" t="s">
        <v>552</v>
      </c>
      <c r="Z124" s="1093" t="s">
        <v>552</v>
      </c>
      <c r="AA124" s="1093" t="s">
        <v>552</v>
      </c>
      <c r="AB124" s="1093"/>
      <c r="AC124" s="1093"/>
      <c r="AD124" s="1093" t="s">
        <v>552</v>
      </c>
      <c r="AE124" s="1093" t="s">
        <v>552</v>
      </c>
      <c r="AF124" s="1093" t="s">
        <v>552</v>
      </c>
      <c r="AG124" s="503"/>
      <c r="AH124" s="505">
        <v>74</v>
      </c>
      <c r="AI124" s="506">
        <v>37</v>
      </c>
    </row>
    <row r="125" spans="1:44" ht="21.95" customHeight="1" x14ac:dyDescent="0.2">
      <c r="A125" s="645">
        <v>5</v>
      </c>
      <c r="B125" s="152" t="s">
        <v>592</v>
      </c>
      <c r="C125" s="503">
        <v>3</v>
      </c>
      <c r="D125" s="503">
        <v>3</v>
      </c>
      <c r="E125" s="503">
        <v>3</v>
      </c>
      <c r="F125" s="503">
        <v>3</v>
      </c>
      <c r="G125" s="503"/>
      <c r="H125" s="503"/>
      <c r="I125" s="503">
        <v>1</v>
      </c>
      <c r="J125" s="503">
        <v>1</v>
      </c>
      <c r="K125" s="503">
        <v>1</v>
      </c>
      <c r="L125" s="503">
        <v>1</v>
      </c>
      <c r="M125" s="503">
        <v>1</v>
      </c>
      <c r="N125" s="503"/>
      <c r="O125" s="503"/>
      <c r="P125" s="1092" t="s">
        <v>552</v>
      </c>
      <c r="Q125" s="1092" t="s">
        <v>552</v>
      </c>
      <c r="R125" s="1092" t="s">
        <v>552</v>
      </c>
      <c r="S125" s="1092" t="s">
        <v>552</v>
      </c>
      <c r="T125" s="1092" t="s">
        <v>552</v>
      </c>
      <c r="U125" s="503"/>
      <c r="V125" s="503"/>
      <c r="W125" s="503" t="s">
        <v>513</v>
      </c>
      <c r="X125" s="587" t="s">
        <v>513</v>
      </c>
      <c r="Y125" s="503" t="s">
        <v>513</v>
      </c>
      <c r="Z125" s="503" t="s">
        <v>513</v>
      </c>
      <c r="AA125" s="503" t="s">
        <v>513</v>
      </c>
      <c r="AB125" s="503" t="s">
        <v>550</v>
      </c>
      <c r="AC125" s="503" t="s">
        <v>550</v>
      </c>
      <c r="AD125" s="503" t="s">
        <v>475</v>
      </c>
      <c r="AE125" s="503" t="s">
        <v>475</v>
      </c>
      <c r="AF125" s="503" t="s">
        <v>475</v>
      </c>
      <c r="AG125" s="503"/>
      <c r="AH125" s="505">
        <v>72</v>
      </c>
      <c r="AI125" s="506">
        <v>37</v>
      </c>
    </row>
    <row r="126" spans="1:44" ht="21.95" customHeight="1" thickBot="1" x14ac:dyDescent="0.25">
      <c r="A126" s="645">
        <v>6</v>
      </c>
      <c r="B126" s="552" t="s">
        <v>690</v>
      </c>
      <c r="C126" s="503" t="s">
        <v>513</v>
      </c>
      <c r="D126" s="503" t="s">
        <v>513</v>
      </c>
      <c r="E126" s="503" t="s">
        <v>513</v>
      </c>
      <c r="F126" s="503" t="s">
        <v>513</v>
      </c>
      <c r="G126" s="503"/>
      <c r="H126" s="503" t="s">
        <v>484</v>
      </c>
      <c r="I126" s="503" t="s">
        <v>475</v>
      </c>
      <c r="J126" s="503" t="s">
        <v>475</v>
      </c>
      <c r="K126" s="503" t="s">
        <v>475</v>
      </c>
      <c r="L126" s="503" t="s">
        <v>522</v>
      </c>
      <c r="M126" s="503" t="s">
        <v>522</v>
      </c>
      <c r="N126" s="503"/>
      <c r="O126" s="503"/>
      <c r="P126" s="503">
        <v>6</v>
      </c>
      <c r="Q126" s="503">
        <v>6</v>
      </c>
      <c r="R126" s="503">
        <v>6</v>
      </c>
      <c r="S126" s="503">
        <v>6</v>
      </c>
      <c r="T126" s="1510">
        <v>6</v>
      </c>
      <c r="U126" s="1510" t="s">
        <v>751</v>
      </c>
      <c r="V126" s="1541" t="s">
        <v>504</v>
      </c>
      <c r="W126" s="503" t="s">
        <v>475</v>
      </c>
      <c r="X126" s="503" t="s">
        <v>475</v>
      </c>
      <c r="Y126" s="503" t="s">
        <v>475</v>
      </c>
      <c r="Z126" s="503" t="s">
        <v>475</v>
      </c>
      <c r="AA126" s="503" t="s">
        <v>475</v>
      </c>
      <c r="AB126" s="503" t="s">
        <v>28</v>
      </c>
      <c r="AC126" s="503" t="s">
        <v>28</v>
      </c>
      <c r="AD126" s="503">
        <v>1</v>
      </c>
      <c r="AE126" s="503">
        <v>1</v>
      </c>
      <c r="AF126" s="503">
        <v>1</v>
      </c>
      <c r="AG126" s="503"/>
      <c r="AH126" s="505">
        <v>185</v>
      </c>
      <c r="AI126" s="506">
        <v>37</v>
      </c>
    </row>
    <row r="127" spans="1:44" ht="21.95" customHeight="1" x14ac:dyDescent="0.2">
      <c r="A127" s="645">
        <v>7</v>
      </c>
      <c r="B127" s="152" t="s">
        <v>692</v>
      </c>
      <c r="C127" s="503">
        <v>8</v>
      </c>
      <c r="D127" s="1512" t="s">
        <v>513</v>
      </c>
      <c r="E127" s="1092" t="s">
        <v>513</v>
      </c>
      <c r="F127" s="503" t="s">
        <v>475</v>
      </c>
      <c r="G127" s="1092" t="s">
        <v>550</v>
      </c>
      <c r="H127" s="1092" t="s">
        <v>550</v>
      </c>
      <c r="I127" s="1100" t="s">
        <v>475</v>
      </c>
      <c r="J127" s="549" t="s">
        <v>475</v>
      </c>
      <c r="K127" s="1100" t="s">
        <v>475</v>
      </c>
      <c r="L127" s="1100" t="s">
        <v>475</v>
      </c>
      <c r="M127" s="1100" t="s">
        <v>475</v>
      </c>
      <c r="N127" s="1100" t="s">
        <v>28</v>
      </c>
      <c r="O127" s="1100" t="s">
        <v>28</v>
      </c>
      <c r="P127" s="1092" t="s">
        <v>513</v>
      </c>
      <c r="Q127" s="1513" t="s">
        <v>552</v>
      </c>
      <c r="R127" s="503" t="s">
        <v>513</v>
      </c>
      <c r="S127" s="503" t="s">
        <v>513</v>
      </c>
      <c r="T127" s="503" t="s">
        <v>513</v>
      </c>
      <c r="U127" s="503" t="s">
        <v>550</v>
      </c>
      <c r="V127" s="503" t="s">
        <v>550</v>
      </c>
      <c r="W127" s="503" t="s">
        <v>475</v>
      </c>
      <c r="X127" s="503" t="s">
        <v>475</v>
      </c>
      <c r="Y127" s="503" t="s">
        <v>475</v>
      </c>
      <c r="Z127" s="503" t="s">
        <v>475</v>
      </c>
      <c r="AA127" s="503" t="s">
        <v>475</v>
      </c>
      <c r="AB127" s="503" t="s">
        <v>28</v>
      </c>
      <c r="AC127" s="503" t="s">
        <v>28</v>
      </c>
      <c r="AD127" s="503" t="s">
        <v>551</v>
      </c>
      <c r="AE127" s="503" t="s">
        <v>643</v>
      </c>
      <c r="AF127" s="503" t="s">
        <v>513</v>
      </c>
      <c r="AG127" s="503"/>
      <c r="AH127" s="505">
        <v>185</v>
      </c>
      <c r="AI127" s="506">
        <v>37</v>
      </c>
    </row>
    <row r="128" spans="1:44" ht="21.95" customHeight="1" x14ac:dyDescent="0.2">
      <c r="A128" s="645">
        <v>8</v>
      </c>
      <c r="B128" s="133" t="s">
        <v>689</v>
      </c>
      <c r="C128" s="1078" t="s">
        <v>552</v>
      </c>
      <c r="D128" s="1078" t="s">
        <v>552</v>
      </c>
      <c r="E128" s="1078" t="s">
        <v>552</v>
      </c>
      <c r="F128" s="1078" t="s">
        <v>552</v>
      </c>
      <c r="G128" s="1078"/>
      <c r="H128" s="1078"/>
      <c r="I128" s="503">
        <v>3</v>
      </c>
      <c r="J128" s="1510">
        <v>3</v>
      </c>
      <c r="K128" s="1510" t="s">
        <v>685</v>
      </c>
      <c r="L128" s="503">
        <v>3</v>
      </c>
      <c r="M128" s="503">
        <v>3</v>
      </c>
      <c r="N128" s="503" t="s">
        <v>511</v>
      </c>
      <c r="O128" s="503" t="s">
        <v>507</v>
      </c>
      <c r="P128" s="503" t="s">
        <v>475</v>
      </c>
      <c r="Q128" s="503" t="s">
        <v>475</v>
      </c>
      <c r="R128" s="503" t="s">
        <v>540</v>
      </c>
      <c r="S128" s="503" t="s">
        <v>540</v>
      </c>
      <c r="T128" s="503" t="s">
        <v>540</v>
      </c>
      <c r="U128" s="503"/>
      <c r="V128" s="503"/>
      <c r="W128" s="553" t="s">
        <v>552</v>
      </c>
      <c r="X128" s="1092" t="s">
        <v>513</v>
      </c>
      <c r="Y128" s="1092" t="s">
        <v>513</v>
      </c>
      <c r="Z128" s="1512" t="s">
        <v>513</v>
      </c>
      <c r="AA128" s="1092" t="s">
        <v>681</v>
      </c>
      <c r="AB128" s="503" t="s">
        <v>484</v>
      </c>
      <c r="AC128" s="1092" t="s">
        <v>550</v>
      </c>
      <c r="AD128" s="503" t="s">
        <v>475</v>
      </c>
      <c r="AE128" s="503" t="s">
        <v>475</v>
      </c>
      <c r="AF128" s="503" t="s">
        <v>475</v>
      </c>
      <c r="AG128" s="503"/>
      <c r="AH128" s="648">
        <v>185</v>
      </c>
      <c r="AI128" s="649">
        <v>37</v>
      </c>
    </row>
    <row r="129" spans="1:35" ht="21.95" customHeight="1" thickBot="1" x14ac:dyDescent="0.25">
      <c r="A129" s="713">
        <v>9</v>
      </c>
      <c r="B129" s="1719" t="s">
        <v>677</v>
      </c>
      <c r="C129" s="503" t="s">
        <v>475</v>
      </c>
      <c r="D129" s="503" t="s">
        <v>475</v>
      </c>
      <c r="E129" s="503" t="s">
        <v>475</v>
      </c>
      <c r="F129" s="503" t="s">
        <v>475</v>
      </c>
      <c r="G129" s="503"/>
      <c r="H129" s="503"/>
      <c r="I129" s="1092" t="s">
        <v>513</v>
      </c>
      <c r="J129" s="1092" t="s">
        <v>513</v>
      </c>
      <c r="K129" s="1092" t="s">
        <v>513</v>
      </c>
      <c r="L129" s="1092" t="s">
        <v>513</v>
      </c>
      <c r="M129" s="1092" t="s">
        <v>513</v>
      </c>
      <c r="N129" s="1092" t="s">
        <v>550</v>
      </c>
      <c r="O129" s="1092" t="s">
        <v>550</v>
      </c>
      <c r="P129" s="503" t="s">
        <v>475</v>
      </c>
      <c r="Q129" s="503" t="s">
        <v>475</v>
      </c>
      <c r="R129" s="503" t="s">
        <v>475</v>
      </c>
      <c r="S129" s="503" t="s">
        <v>475</v>
      </c>
      <c r="T129" s="1537">
        <v>6</v>
      </c>
      <c r="U129" s="503"/>
      <c r="V129" s="503"/>
      <c r="W129" s="1092">
        <v>3</v>
      </c>
      <c r="X129" s="1092">
        <v>3</v>
      </c>
      <c r="Y129" s="503">
        <v>10</v>
      </c>
      <c r="Z129" s="503">
        <v>10</v>
      </c>
      <c r="AA129" s="503">
        <v>10</v>
      </c>
      <c r="AB129" s="1510" t="s">
        <v>507</v>
      </c>
      <c r="AC129" s="1510" t="s">
        <v>507</v>
      </c>
      <c r="AD129" s="1510" t="s">
        <v>475</v>
      </c>
      <c r="AE129" s="1510" t="s">
        <v>475</v>
      </c>
      <c r="AF129" s="1510" t="s">
        <v>475</v>
      </c>
      <c r="AG129" s="503"/>
      <c r="AH129" s="651">
        <v>185</v>
      </c>
      <c r="AI129" s="523">
        <v>37</v>
      </c>
    </row>
    <row r="130" spans="1:35" ht="21.95" customHeight="1" x14ac:dyDescent="0.2">
      <c r="A130" s="645">
        <v>10</v>
      </c>
      <c r="B130" s="318"/>
      <c r="C130" s="553"/>
      <c r="D130" s="553"/>
      <c r="E130" s="553"/>
      <c r="F130" s="553"/>
      <c r="G130" s="553"/>
      <c r="H130" s="553"/>
      <c r="I130" s="553"/>
      <c r="J130" s="553"/>
      <c r="K130" s="553"/>
      <c r="L130" s="553"/>
      <c r="M130" s="553"/>
      <c r="N130" s="553"/>
      <c r="O130" s="553"/>
      <c r="P130" s="553"/>
      <c r="Q130" s="553"/>
      <c r="R130" s="553"/>
      <c r="S130" s="553"/>
      <c r="T130" s="553"/>
      <c r="U130" s="553"/>
      <c r="V130" s="553"/>
      <c r="W130" s="553"/>
      <c r="X130" s="553"/>
      <c r="Y130" s="553"/>
      <c r="Z130" s="553"/>
      <c r="AA130" s="553"/>
      <c r="AB130" s="553"/>
      <c r="AC130" s="553"/>
      <c r="AD130" s="553"/>
      <c r="AE130" s="553"/>
      <c r="AF130" s="553"/>
      <c r="AG130" s="171"/>
      <c r="AH130" s="610"/>
      <c r="AI130" s="610"/>
    </row>
    <row r="131" spans="1:35" ht="21" customHeight="1" x14ac:dyDescent="0.25">
      <c r="A131" s="653" t="s">
        <v>695</v>
      </c>
    </row>
    <row r="132" spans="1:35" ht="21" customHeight="1" x14ac:dyDescent="0.25">
      <c r="A132" s="654"/>
    </row>
    <row r="133" spans="1:35" ht="21" customHeight="1" x14ac:dyDescent="0.2"/>
    <row r="134" spans="1:35" ht="21" customHeight="1" x14ac:dyDescent="0.2">
      <c r="A134" s="585"/>
      <c r="B134" s="296" t="s">
        <v>469</v>
      </c>
      <c r="C134" s="177">
        <v>1</v>
      </c>
      <c r="D134" s="177">
        <v>2</v>
      </c>
      <c r="E134" s="177">
        <v>3</v>
      </c>
      <c r="F134" s="177">
        <v>4</v>
      </c>
      <c r="G134" s="497">
        <v>5</v>
      </c>
      <c r="H134" s="497">
        <v>6</v>
      </c>
      <c r="I134" s="177">
        <v>7</v>
      </c>
      <c r="J134" s="177">
        <v>8</v>
      </c>
      <c r="K134" s="177">
        <v>9</v>
      </c>
      <c r="L134" s="177">
        <v>10</v>
      </c>
      <c r="M134" s="177">
        <v>11</v>
      </c>
      <c r="N134" s="497">
        <v>12</v>
      </c>
      <c r="O134" s="497">
        <v>13</v>
      </c>
      <c r="P134" s="177">
        <v>14</v>
      </c>
      <c r="Q134" s="177">
        <v>15</v>
      </c>
      <c r="R134" s="177">
        <v>16</v>
      </c>
      <c r="S134" s="177">
        <v>17</v>
      </c>
      <c r="T134" s="177">
        <v>18</v>
      </c>
      <c r="U134" s="497">
        <v>19</v>
      </c>
      <c r="V134" s="497">
        <v>20</v>
      </c>
      <c r="W134" s="177">
        <v>21</v>
      </c>
      <c r="X134" s="177">
        <v>22</v>
      </c>
      <c r="Y134" s="177">
        <v>23</v>
      </c>
      <c r="Z134" s="177">
        <v>24</v>
      </c>
      <c r="AA134" s="177">
        <v>25</v>
      </c>
      <c r="AB134" s="497">
        <v>26</v>
      </c>
      <c r="AC134" s="497">
        <v>27</v>
      </c>
      <c r="AD134" s="177">
        <v>28</v>
      </c>
      <c r="AE134" s="177">
        <v>29</v>
      </c>
      <c r="AF134" s="177">
        <v>30</v>
      </c>
      <c r="AG134" s="177"/>
      <c r="AH134" s="655"/>
    </row>
    <row r="135" spans="1:35" ht="21" customHeight="1" x14ac:dyDescent="0.2">
      <c r="A135" s="585">
        <v>1</v>
      </c>
      <c r="B135" s="318" t="s">
        <v>696</v>
      </c>
      <c r="C135" s="171">
        <v>1</v>
      </c>
      <c r="D135" s="171">
        <v>1</v>
      </c>
      <c r="E135" s="171">
        <v>1</v>
      </c>
      <c r="F135" s="171">
        <v>1</v>
      </c>
      <c r="G135" s="171"/>
      <c r="H135" s="171"/>
      <c r="I135" s="171">
        <v>9</v>
      </c>
      <c r="J135" s="171">
        <v>9</v>
      </c>
      <c r="K135" s="171">
        <v>9</v>
      </c>
      <c r="L135" s="171">
        <v>9</v>
      </c>
      <c r="M135" s="171">
        <v>9</v>
      </c>
      <c r="N135" s="171" t="s">
        <v>511</v>
      </c>
      <c r="O135" s="171" t="s">
        <v>511</v>
      </c>
      <c r="P135" s="171" t="s">
        <v>475</v>
      </c>
      <c r="Q135" s="171" t="s">
        <v>475</v>
      </c>
      <c r="R135" s="171" t="s">
        <v>475</v>
      </c>
      <c r="S135" s="171" t="s">
        <v>475</v>
      </c>
      <c r="T135" s="171" t="s">
        <v>475</v>
      </c>
      <c r="U135" s="171"/>
      <c r="V135" s="171"/>
      <c r="W135" s="171">
        <v>6</v>
      </c>
      <c r="X135" s="171">
        <v>6</v>
      </c>
      <c r="Y135" s="171">
        <v>6</v>
      </c>
      <c r="Z135" s="171">
        <v>6</v>
      </c>
      <c r="AA135" s="171">
        <v>6</v>
      </c>
      <c r="AB135" s="171" t="s">
        <v>508</v>
      </c>
      <c r="AC135" s="171" t="s">
        <v>504</v>
      </c>
      <c r="AD135" s="171" t="s">
        <v>475</v>
      </c>
      <c r="AE135" s="171" t="s">
        <v>475</v>
      </c>
      <c r="AF135" s="171"/>
      <c r="AG135" s="171"/>
      <c r="AH135" s="655"/>
    </row>
    <row r="136" spans="1:35" ht="21" customHeight="1" x14ac:dyDescent="0.2">
      <c r="A136" s="585">
        <v>2</v>
      </c>
      <c r="B136" s="657" t="s">
        <v>718</v>
      </c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 t="s">
        <v>552</v>
      </c>
      <c r="X136" s="1096">
        <v>1</v>
      </c>
      <c r="Y136" s="1096">
        <v>1</v>
      </c>
      <c r="Z136" s="1096">
        <v>1</v>
      </c>
      <c r="AA136" s="1096">
        <v>1</v>
      </c>
      <c r="AB136" s="171"/>
      <c r="AC136" s="171"/>
      <c r="AD136" s="1542">
        <v>9</v>
      </c>
      <c r="AE136" s="1558">
        <v>9</v>
      </c>
      <c r="AF136" s="1558">
        <v>9</v>
      </c>
      <c r="AG136" s="171"/>
      <c r="AH136" s="655"/>
    </row>
    <row r="137" spans="1:35" ht="21" customHeight="1" x14ac:dyDescent="0.2">
      <c r="A137" s="585">
        <v>3</v>
      </c>
      <c r="B137" s="552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656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655"/>
    </row>
    <row r="138" spans="1:35" ht="21" customHeight="1" x14ac:dyDescent="0.2">
      <c r="A138" s="585">
        <v>4</v>
      </c>
      <c r="B138" s="552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656"/>
      <c r="AC138" s="171"/>
      <c r="AD138" s="171"/>
      <c r="AE138" s="171"/>
      <c r="AF138" s="171"/>
      <c r="AG138" s="171"/>
      <c r="AH138" s="655"/>
    </row>
    <row r="139" spans="1:35" ht="21" customHeight="1" x14ac:dyDescent="0.2">
      <c r="A139" s="585">
        <v>5</v>
      </c>
      <c r="B139" s="552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655"/>
    </row>
    <row r="140" spans="1:35" ht="21" customHeight="1" x14ac:dyDescent="0.2">
      <c r="A140" s="585"/>
      <c r="B140" s="318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656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655"/>
    </row>
    <row r="141" spans="1:35" ht="21.95" customHeight="1" x14ac:dyDescent="0.2">
      <c r="A141" s="1" t="s">
        <v>603</v>
      </c>
      <c r="B141" s="273"/>
      <c r="C141" s="138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  <c r="AA141" s="138"/>
      <c r="AB141" s="138"/>
      <c r="AC141" s="138"/>
      <c r="AD141" s="138"/>
      <c r="AE141" s="138"/>
      <c r="AF141" s="138"/>
      <c r="AG141" s="138"/>
    </row>
    <row r="142" spans="1:35" ht="21.95" customHeight="1" x14ac:dyDescent="0.2">
      <c r="A142" s="1"/>
      <c r="B142" s="200" t="s">
        <v>604</v>
      </c>
      <c r="C142" s="7"/>
      <c r="D142" s="530" t="s">
        <v>2</v>
      </c>
      <c r="E142" s="51"/>
      <c r="F142" s="573"/>
      <c r="G142" s="7"/>
      <c r="H142" s="530" t="s">
        <v>3</v>
      </c>
      <c r="I142" s="51"/>
      <c r="J142" s="573"/>
      <c r="K142" s="7"/>
      <c r="L142" s="530" t="s">
        <v>4</v>
      </c>
      <c r="M142" s="51"/>
      <c r="N142" s="573"/>
      <c r="O142" s="7"/>
      <c r="P142" s="530" t="s">
        <v>5</v>
      </c>
      <c r="Q142" s="51"/>
      <c r="R142" s="573"/>
      <c r="S142" s="7"/>
      <c r="T142" s="530" t="s">
        <v>6</v>
      </c>
      <c r="U142" s="51"/>
      <c r="V142" s="573"/>
      <c r="W142" s="7"/>
      <c r="X142" s="530" t="s">
        <v>7</v>
      </c>
      <c r="Y142" s="51"/>
      <c r="Z142" s="573"/>
      <c r="AA142" s="7"/>
      <c r="AB142" s="530" t="s">
        <v>8</v>
      </c>
      <c r="AC142" s="51"/>
      <c r="AD142" s="51"/>
      <c r="AE142" s="424" t="s">
        <v>10</v>
      </c>
      <c r="AF142" s="51"/>
      <c r="AG142" s="51"/>
      <c r="AH142" s="51"/>
      <c r="AI142" s="531"/>
    </row>
    <row r="143" spans="1:35" ht="21.95" customHeight="1" x14ac:dyDescent="0.2">
      <c r="A143" s="1"/>
      <c r="B143" s="305">
        <v>3701</v>
      </c>
      <c r="C143" s="641" t="s">
        <v>124</v>
      </c>
      <c r="D143" s="658"/>
      <c r="E143" s="55"/>
      <c r="F143" s="580"/>
      <c r="G143" s="641" t="s">
        <v>124</v>
      </c>
      <c r="H143" s="659"/>
      <c r="I143" s="55"/>
      <c r="J143" s="580"/>
      <c r="K143" s="641" t="s">
        <v>124</v>
      </c>
      <c r="L143" s="659"/>
      <c r="M143" s="55"/>
      <c r="N143" s="580"/>
      <c r="O143" s="641" t="s">
        <v>124</v>
      </c>
      <c r="P143" s="659"/>
      <c r="Q143" s="55"/>
      <c r="R143" s="580"/>
      <c r="S143" s="14" t="s">
        <v>125</v>
      </c>
      <c r="T143" s="659"/>
      <c r="U143" s="55"/>
      <c r="V143" s="580"/>
      <c r="W143" s="14"/>
      <c r="X143" s="659"/>
      <c r="Y143" s="55"/>
      <c r="Z143" s="580"/>
      <c r="AA143" s="14"/>
      <c r="AB143" s="659"/>
      <c r="AC143" s="55"/>
      <c r="AD143" s="55"/>
      <c r="AE143" s="660"/>
      <c r="AF143" s="55"/>
      <c r="AG143" s="55"/>
      <c r="AH143" s="55"/>
      <c r="AI143" s="661"/>
    </row>
    <row r="144" spans="1:35" ht="21.95" customHeight="1" x14ac:dyDescent="0.2">
      <c r="B144" s="662">
        <v>3700</v>
      </c>
      <c r="C144" s="121" t="s">
        <v>534</v>
      </c>
      <c r="D144" s="156"/>
      <c r="E144" s="156"/>
      <c r="F144" s="612"/>
      <c r="G144" s="121" t="s">
        <v>534</v>
      </c>
      <c r="H144" s="156"/>
      <c r="I144" s="156"/>
      <c r="J144" s="612"/>
      <c r="K144" s="121" t="s">
        <v>534</v>
      </c>
      <c r="L144" s="156"/>
      <c r="M144" s="156"/>
      <c r="N144" s="612"/>
      <c r="O144" s="121" t="s">
        <v>534</v>
      </c>
      <c r="P144" s="156"/>
      <c r="Q144" s="156"/>
      <c r="R144" s="612"/>
      <c r="S144" s="121" t="s">
        <v>116</v>
      </c>
      <c r="T144" s="156"/>
      <c r="U144" s="156"/>
      <c r="V144" s="612"/>
      <c r="W144" s="121"/>
      <c r="X144" s="156"/>
      <c r="Y144" s="156"/>
      <c r="Z144" s="612"/>
      <c r="AA144" s="611"/>
      <c r="AB144" s="156"/>
      <c r="AC144" s="156"/>
      <c r="AD144" s="613"/>
      <c r="AE144" s="663"/>
      <c r="AF144" s="156"/>
      <c r="AG144" s="156" t="s">
        <v>28</v>
      </c>
      <c r="AH144" s="613"/>
      <c r="AI144" s="489"/>
    </row>
    <row r="145" spans="1:35" ht="21.95" customHeight="1" x14ac:dyDescent="0.2">
      <c r="A145" s="1"/>
      <c r="B145" s="129" t="s">
        <v>605</v>
      </c>
      <c r="C145" s="611" t="s">
        <v>606</v>
      </c>
      <c r="D145" s="156"/>
      <c r="E145" s="156"/>
      <c r="F145" s="612"/>
      <c r="G145" s="611" t="s">
        <v>606</v>
      </c>
      <c r="H145" s="156"/>
      <c r="I145" s="156"/>
      <c r="J145" s="612"/>
      <c r="K145" s="611" t="s">
        <v>606</v>
      </c>
      <c r="L145" s="156"/>
      <c r="M145" s="156"/>
      <c r="N145" s="612"/>
      <c r="O145" s="611" t="s">
        <v>606</v>
      </c>
      <c r="P145" s="156"/>
      <c r="Q145" s="156"/>
      <c r="R145" s="612"/>
      <c r="S145" s="611" t="s">
        <v>607</v>
      </c>
      <c r="T145" s="156"/>
      <c r="U145" s="156"/>
      <c r="V145" s="612"/>
      <c r="W145" s="121"/>
      <c r="X145" s="156"/>
      <c r="Y145" s="156"/>
      <c r="Z145" s="612"/>
      <c r="AA145" s="121"/>
      <c r="AB145" s="156"/>
      <c r="AC145" s="156"/>
      <c r="AD145" s="613"/>
      <c r="AE145" s="121"/>
      <c r="AF145" s="156"/>
      <c r="AG145" s="156"/>
      <c r="AH145" s="613"/>
      <c r="AI145" s="489"/>
    </row>
    <row r="146" spans="1:35" ht="21.95" customHeight="1" x14ac:dyDescent="0.2">
      <c r="A146" s="1"/>
      <c r="B146" s="664">
        <v>8500</v>
      </c>
      <c r="C146" s="665" t="s">
        <v>264</v>
      </c>
      <c r="D146" s="55"/>
      <c r="E146" s="55"/>
      <c r="F146" s="666"/>
      <c r="G146" s="665" t="s">
        <v>264</v>
      </c>
      <c r="H146" s="55"/>
      <c r="I146" s="55"/>
      <c r="J146" s="666"/>
      <c r="K146" s="665" t="s">
        <v>264</v>
      </c>
      <c r="L146" s="55"/>
      <c r="M146" s="55"/>
      <c r="N146" s="666"/>
      <c r="O146" s="665" t="s">
        <v>264</v>
      </c>
      <c r="P146" s="55"/>
      <c r="Q146" s="55"/>
      <c r="R146" s="666"/>
      <c r="S146" s="665" t="s">
        <v>265</v>
      </c>
      <c r="T146" s="55"/>
      <c r="U146" s="55"/>
      <c r="V146" s="666"/>
      <c r="W146" s="665"/>
      <c r="X146" s="55"/>
      <c r="Y146" s="55"/>
      <c r="Z146" s="666"/>
      <c r="AA146" s="665"/>
      <c r="AB146" s="55"/>
      <c r="AC146" s="55"/>
      <c r="AD146" s="666"/>
      <c r="AE146" s="665"/>
      <c r="AF146" s="55"/>
      <c r="AG146" s="55"/>
      <c r="AH146" s="641"/>
      <c r="AI146" s="661"/>
    </row>
    <row r="147" spans="1:35" ht="21.95" customHeight="1" x14ac:dyDescent="0.2">
      <c r="A147" s="1"/>
      <c r="B147" s="9">
        <v>8514</v>
      </c>
      <c r="C147" s="667" t="s">
        <v>264</v>
      </c>
      <c r="D147" s="668"/>
      <c r="E147" s="669"/>
      <c r="F147" s="670"/>
      <c r="G147" s="667" t="s">
        <v>264</v>
      </c>
      <c r="H147" s="668"/>
      <c r="I147" s="669"/>
      <c r="J147" s="670"/>
      <c r="K147" s="667" t="s">
        <v>264</v>
      </c>
      <c r="L147" s="668"/>
      <c r="M147" s="669"/>
      <c r="N147" s="670"/>
      <c r="O147" s="667" t="s">
        <v>682</v>
      </c>
      <c r="P147" s="668"/>
      <c r="Q147" s="669"/>
      <c r="R147" s="670"/>
      <c r="S147" s="667" t="s">
        <v>265</v>
      </c>
      <c r="T147" s="668"/>
      <c r="U147" s="669"/>
      <c r="V147" s="670"/>
      <c r="W147" s="14"/>
      <c r="X147" s="659"/>
      <c r="Y147" s="55"/>
      <c r="Z147" s="580"/>
      <c r="AA147" s="14"/>
      <c r="AB147" s="659"/>
      <c r="AC147" s="55"/>
      <c r="AD147" s="55"/>
      <c r="AE147" s="660"/>
      <c r="AF147" s="55"/>
      <c r="AG147" s="55"/>
      <c r="AH147" s="55"/>
      <c r="AI147" s="661"/>
    </row>
    <row r="148" spans="1:35" ht="21.95" customHeight="1" x14ac:dyDescent="0.2">
      <c r="A148" s="1"/>
      <c r="B148" s="671">
        <v>8521</v>
      </c>
      <c r="C148" s="57" t="s">
        <v>534</v>
      </c>
      <c r="D148" s="53"/>
      <c r="E148" s="53"/>
      <c r="F148" s="619"/>
      <c r="G148" s="57" t="s">
        <v>534</v>
      </c>
      <c r="H148" s="53"/>
      <c r="I148" s="53"/>
      <c r="J148" s="619"/>
      <c r="K148" s="57" t="s">
        <v>534</v>
      </c>
      <c r="L148" s="53"/>
      <c r="M148" s="53"/>
      <c r="N148" s="619"/>
      <c r="O148" s="57" t="s">
        <v>534</v>
      </c>
      <c r="P148" s="53"/>
      <c r="Q148" s="53"/>
      <c r="R148" s="619"/>
      <c r="S148" s="57" t="s">
        <v>116</v>
      </c>
      <c r="T148" s="53"/>
      <c r="U148" s="53"/>
      <c r="V148" s="619"/>
      <c r="W148" s="57"/>
      <c r="X148" s="53"/>
      <c r="Y148" s="53"/>
      <c r="Z148" s="619"/>
      <c r="AA148" s="618"/>
      <c r="AB148" s="53"/>
      <c r="AC148" s="53"/>
      <c r="AD148" s="620"/>
      <c r="AE148" s="672"/>
      <c r="AF148" s="53"/>
      <c r="AG148" s="53" t="s">
        <v>28</v>
      </c>
      <c r="AH148" s="620"/>
      <c r="AI148" s="544"/>
    </row>
    <row r="149" spans="1:35" ht="21.95" customHeight="1" x14ac:dyDescent="0.2">
      <c r="A149" s="1"/>
      <c r="B149" s="72"/>
      <c r="C149" s="311"/>
      <c r="F149" s="353"/>
      <c r="G149" s="311"/>
      <c r="J149" s="353"/>
      <c r="K149" s="311"/>
      <c r="N149" s="353"/>
      <c r="O149" s="311"/>
      <c r="R149" s="353"/>
      <c r="S149" s="311"/>
      <c r="V149" s="353"/>
      <c r="W149" s="353"/>
      <c r="Z149" s="353"/>
      <c r="AA149" s="353"/>
      <c r="AD149" s="353"/>
      <c r="AE149" s="353"/>
      <c r="AH149" s="353"/>
    </row>
    <row r="150" spans="1:35" ht="21.95" customHeight="1" x14ac:dyDescent="0.2">
      <c r="A150" s="1" t="s">
        <v>683</v>
      </c>
      <c r="B150" s="72"/>
      <c r="C150" s="311"/>
      <c r="F150" s="353"/>
      <c r="G150" s="311"/>
      <c r="J150" s="353"/>
      <c r="K150" s="311"/>
      <c r="N150" s="353"/>
      <c r="O150" s="311"/>
      <c r="R150" s="353"/>
      <c r="S150" s="311"/>
      <c r="V150" s="353"/>
      <c r="W150" s="353"/>
      <c r="Z150" s="353"/>
      <c r="AA150" s="353"/>
      <c r="AD150" s="353"/>
      <c r="AE150" s="353"/>
      <c r="AH150" s="353"/>
    </row>
    <row r="151" spans="1:35" ht="21.95" customHeight="1" x14ac:dyDescent="0.2">
      <c r="A151" s="585"/>
      <c r="B151" s="296" t="s">
        <v>469</v>
      </c>
      <c r="C151" s="177">
        <v>1</v>
      </c>
      <c r="D151" s="177">
        <v>2</v>
      </c>
      <c r="E151" s="177">
        <v>3</v>
      </c>
      <c r="F151" s="177">
        <v>4</v>
      </c>
      <c r="G151" s="497">
        <v>5</v>
      </c>
      <c r="H151" s="497">
        <v>6</v>
      </c>
      <c r="I151" s="177">
        <v>7</v>
      </c>
      <c r="J151" s="177">
        <v>8</v>
      </c>
      <c r="K151" s="177">
        <v>9</v>
      </c>
      <c r="L151" s="177">
        <v>10</v>
      </c>
      <c r="M151" s="177">
        <v>11</v>
      </c>
      <c r="N151" s="497">
        <v>12</v>
      </c>
      <c r="O151" s="497">
        <v>13</v>
      </c>
      <c r="P151" s="177">
        <v>14</v>
      </c>
      <c r="Q151" s="177">
        <v>15</v>
      </c>
      <c r="R151" s="177">
        <v>16</v>
      </c>
      <c r="S151" s="177">
        <v>17</v>
      </c>
      <c r="T151" s="177">
        <v>18</v>
      </c>
      <c r="U151" s="497">
        <v>19</v>
      </c>
      <c r="V151" s="497">
        <v>20</v>
      </c>
      <c r="W151" s="177">
        <v>21</v>
      </c>
      <c r="X151" s="177">
        <v>22</v>
      </c>
      <c r="Y151" s="177">
        <v>23</v>
      </c>
      <c r="Z151" s="177">
        <v>24</v>
      </c>
      <c r="AA151" s="177">
        <v>25</v>
      </c>
      <c r="AB151" s="497">
        <v>26</v>
      </c>
      <c r="AC151" s="497">
        <v>27</v>
      </c>
      <c r="AD151" s="177">
        <v>28</v>
      </c>
      <c r="AE151" s="177">
        <v>29</v>
      </c>
      <c r="AF151" s="177">
        <v>30</v>
      </c>
      <c r="AG151" s="177"/>
      <c r="AH151" s="499" t="s">
        <v>470</v>
      </c>
      <c r="AI151" s="500" t="s">
        <v>471</v>
      </c>
    </row>
    <row r="152" spans="1:35" ht="21.95" customHeight="1" x14ac:dyDescent="0.2">
      <c r="A152" s="585"/>
      <c r="B152" s="673" t="s">
        <v>610</v>
      </c>
      <c r="C152" s="503" t="s">
        <v>552</v>
      </c>
      <c r="D152" s="503" t="s">
        <v>552</v>
      </c>
      <c r="E152" s="503" t="s">
        <v>552</v>
      </c>
      <c r="F152" s="503" t="s">
        <v>552</v>
      </c>
      <c r="G152" s="503"/>
      <c r="H152" s="503"/>
      <c r="I152" s="503" t="s">
        <v>552</v>
      </c>
      <c r="J152" s="503" t="s">
        <v>552</v>
      </c>
      <c r="K152" s="1078" t="s">
        <v>552</v>
      </c>
      <c r="L152" s="503" t="s">
        <v>552</v>
      </c>
      <c r="M152" s="503" t="s">
        <v>552</v>
      </c>
      <c r="N152" s="503"/>
      <c r="O152" s="503"/>
      <c r="P152" s="503" t="s">
        <v>552</v>
      </c>
      <c r="Q152" s="503" t="s">
        <v>552</v>
      </c>
      <c r="R152" s="503" t="s">
        <v>552</v>
      </c>
      <c r="S152" s="503" t="s">
        <v>552</v>
      </c>
      <c r="T152" s="503" t="s">
        <v>552</v>
      </c>
      <c r="U152" s="503"/>
      <c r="V152" s="503"/>
      <c r="W152" s="503" t="s">
        <v>552</v>
      </c>
      <c r="X152" s="503" t="s">
        <v>552</v>
      </c>
      <c r="Y152" s="503" t="s">
        <v>552</v>
      </c>
      <c r="Z152" s="503" t="s">
        <v>552</v>
      </c>
      <c r="AA152" s="503" t="s">
        <v>552</v>
      </c>
      <c r="AB152" s="503"/>
      <c r="AC152" s="503"/>
      <c r="AD152" s="503" t="s">
        <v>552</v>
      </c>
      <c r="AE152" s="503" t="s">
        <v>552</v>
      </c>
      <c r="AF152" s="503" t="s">
        <v>552</v>
      </c>
      <c r="AG152" s="503"/>
      <c r="AH152" s="703">
        <v>44</v>
      </c>
      <c r="AI152" s="704">
        <v>37</v>
      </c>
    </row>
    <row r="153" spans="1:35" ht="21.95" customHeight="1" x14ac:dyDescent="0.2">
      <c r="A153" s="674">
        <v>8500</v>
      </c>
      <c r="B153" s="675" t="s">
        <v>156</v>
      </c>
      <c r="C153" s="503" t="s">
        <v>552</v>
      </c>
      <c r="D153" s="503" t="s">
        <v>552</v>
      </c>
      <c r="E153" s="503" t="s">
        <v>552</v>
      </c>
      <c r="F153" s="503" t="s">
        <v>552</v>
      </c>
      <c r="G153" s="503"/>
      <c r="H153" s="503"/>
      <c r="I153" s="503" t="s">
        <v>552</v>
      </c>
      <c r="J153" s="503" t="s">
        <v>552</v>
      </c>
      <c r="K153" s="503" t="s">
        <v>552</v>
      </c>
      <c r="L153" s="503" t="s">
        <v>552</v>
      </c>
      <c r="M153" s="503" t="s">
        <v>552</v>
      </c>
      <c r="N153" s="503"/>
      <c r="O153" s="503"/>
      <c r="P153" s="503" t="s">
        <v>552</v>
      </c>
      <c r="Q153" s="503" t="s">
        <v>552</v>
      </c>
      <c r="R153" s="1530" t="s">
        <v>552</v>
      </c>
      <c r="S153" s="503" t="s">
        <v>552</v>
      </c>
      <c r="T153" s="503" t="s">
        <v>552</v>
      </c>
      <c r="U153" s="503"/>
      <c r="V153" s="503"/>
      <c r="W153" s="503" t="s">
        <v>552</v>
      </c>
      <c r="X153" s="503" t="s">
        <v>552</v>
      </c>
      <c r="Y153" s="503" t="s">
        <v>552</v>
      </c>
      <c r="Z153" s="1058" t="s">
        <v>552</v>
      </c>
      <c r="AA153" s="1539" t="s">
        <v>552</v>
      </c>
      <c r="AB153" s="503"/>
      <c r="AC153" s="503"/>
      <c r="AD153" s="1058" t="s">
        <v>552</v>
      </c>
      <c r="AE153" s="1058" t="s">
        <v>552</v>
      </c>
      <c r="AF153" s="1058" t="s">
        <v>552</v>
      </c>
      <c r="AG153" s="503"/>
      <c r="AH153" s="648">
        <v>37</v>
      </c>
      <c r="AI153" s="649">
        <v>37</v>
      </c>
    </row>
    <row r="154" spans="1:35" ht="21" customHeight="1" x14ac:dyDescent="0.2">
      <c r="A154" s="441"/>
      <c r="B154" s="673" t="s">
        <v>611</v>
      </c>
      <c r="C154" s="503" t="s">
        <v>552</v>
      </c>
      <c r="D154" s="503" t="s">
        <v>552</v>
      </c>
      <c r="E154" s="503" t="s">
        <v>552</v>
      </c>
      <c r="F154" s="503" t="s">
        <v>552</v>
      </c>
      <c r="G154" s="503"/>
      <c r="H154" s="503"/>
      <c r="I154" s="503" t="s">
        <v>552</v>
      </c>
      <c r="J154" s="503" t="s">
        <v>552</v>
      </c>
      <c r="K154" s="1078" t="s">
        <v>552</v>
      </c>
      <c r="L154" s="503" t="s">
        <v>552</v>
      </c>
      <c r="M154" s="503" t="s">
        <v>552</v>
      </c>
      <c r="N154" s="503"/>
      <c r="O154" s="503"/>
      <c r="P154" s="503" t="s">
        <v>552</v>
      </c>
      <c r="Q154" s="503" t="s">
        <v>552</v>
      </c>
      <c r="R154" s="503" t="s">
        <v>552</v>
      </c>
      <c r="S154" s="503" t="s">
        <v>552</v>
      </c>
      <c r="T154" s="503" t="s">
        <v>552</v>
      </c>
      <c r="U154" s="503"/>
      <c r="V154" s="503"/>
      <c r="W154" s="503" t="s">
        <v>552</v>
      </c>
      <c r="X154" s="503" t="s">
        <v>552</v>
      </c>
      <c r="Y154" s="503" t="s">
        <v>552</v>
      </c>
      <c r="Z154" s="503" t="s">
        <v>552</v>
      </c>
      <c r="AA154" s="503" t="s">
        <v>552</v>
      </c>
      <c r="AB154" s="503"/>
      <c r="AC154" s="503"/>
      <c r="AD154" s="503" t="s">
        <v>552</v>
      </c>
      <c r="AE154" s="503" t="s">
        <v>552</v>
      </c>
      <c r="AF154" s="503" t="s">
        <v>552</v>
      </c>
      <c r="AG154" s="503"/>
      <c r="AH154" s="648">
        <v>67</v>
      </c>
      <c r="AI154" s="649">
        <v>37</v>
      </c>
    </row>
    <row r="155" spans="1:35" ht="21" customHeight="1" x14ac:dyDescent="0.2">
      <c r="A155" s="441"/>
      <c r="B155" s="673" t="s">
        <v>613</v>
      </c>
      <c r="C155" s="503" t="s">
        <v>552</v>
      </c>
      <c r="D155" s="503" t="s">
        <v>552</v>
      </c>
      <c r="E155" s="503" t="s">
        <v>552</v>
      </c>
      <c r="F155" s="503" t="s">
        <v>552</v>
      </c>
      <c r="G155" s="503"/>
      <c r="H155" s="503"/>
      <c r="I155" s="1510" t="s">
        <v>617</v>
      </c>
      <c r="J155" s="503" t="s">
        <v>552</v>
      </c>
      <c r="K155" s="503" t="s">
        <v>552</v>
      </c>
      <c r="L155" s="503" t="s">
        <v>552</v>
      </c>
      <c r="M155" s="503" t="s">
        <v>552</v>
      </c>
      <c r="N155" s="503"/>
      <c r="O155" s="503"/>
      <c r="P155" s="503" t="s">
        <v>552</v>
      </c>
      <c r="Q155" s="503" t="s">
        <v>552</v>
      </c>
      <c r="R155" s="503" t="s">
        <v>552</v>
      </c>
      <c r="S155" s="503" t="s">
        <v>552</v>
      </c>
      <c r="T155" s="503" t="s">
        <v>552</v>
      </c>
      <c r="U155" s="503"/>
      <c r="V155" s="503"/>
      <c r="W155" s="503" t="s">
        <v>552</v>
      </c>
      <c r="X155" s="503" t="s">
        <v>552</v>
      </c>
      <c r="Y155" s="503" t="s">
        <v>552</v>
      </c>
      <c r="Z155" s="503" t="s">
        <v>552</v>
      </c>
      <c r="AA155" s="503" t="s">
        <v>552</v>
      </c>
      <c r="AB155" s="503"/>
      <c r="AC155" s="503"/>
      <c r="AD155" s="503" t="s">
        <v>552</v>
      </c>
      <c r="AE155" s="503" t="s">
        <v>552</v>
      </c>
      <c r="AF155" s="503" t="s">
        <v>552</v>
      </c>
      <c r="AG155" s="503"/>
      <c r="AH155" s="648">
        <v>22</v>
      </c>
      <c r="AI155" s="649">
        <v>37</v>
      </c>
    </row>
    <row r="156" spans="1:35" ht="21" customHeight="1" x14ac:dyDescent="0.2">
      <c r="A156" s="441">
        <v>8521</v>
      </c>
      <c r="B156" s="673" t="s">
        <v>614</v>
      </c>
      <c r="C156" s="503" t="s">
        <v>552</v>
      </c>
      <c r="D156" s="503" t="s">
        <v>552</v>
      </c>
      <c r="E156" s="503" t="s">
        <v>552</v>
      </c>
      <c r="F156" s="503" t="s">
        <v>552</v>
      </c>
      <c r="G156" s="503"/>
      <c r="H156" s="503"/>
      <c r="I156" s="503" t="s">
        <v>552</v>
      </c>
      <c r="J156" s="503" t="s">
        <v>552</v>
      </c>
      <c r="K156" s="503" t="s">
        <v>552</v>
      </c>
      <c r="L156" s="503" t="s">
        <v>552</v>
      </c>
      <c r="M156" s="503" t="s">
        <v>552</v>
      </c>
      <c r="N156" s="503"/>
      <c r="O156" s="503"/>
      <c r="P156" s="503" t="s">
        <v>552</v>
      </c>
      <c r="Q156" s="503" t="s">
        <v>552</v>
      </c>
      <c r="R156" s="503" t="s">
        <v>552</v>
      </c>
      <c r="S156" s="503" t="s">
        <v>552</v>
      </c>
      <c r="T156" s="503" t="s">
        <v>552</v>
      </c>
      <c r="U156" s="503"/>
      <c r="V156" s="503"/>
      <c r="W156" s="503" t="s">
        <v>552</v>
      </c>
      <c r="X156" s="503" t="s">
        <v>552</v>
      </c>
      <c r="Y156" s="503" t="s">
        <v>552</v>
      </c>
      <c r="Z156" s="503" t="s">
        <v>552</v>
      </c>
      <c r="AA156" s="503" t="s">
        <v>552</v>
      </c>
      <c r="AB156" s="503"/>
      <c r="AC156" s="503"/>
      <c r="AD156" s="503" t="s">
        <v>552</v>
      </c>
      <c r="AE156" s="503" t="s">
        <v>552</v>
      </c>
      <c r="AF156" s="503" t="s">
        <v>552</v>
      </c>
      <c r="AG156" s="503"/>
      <c r="AH156" s="648">
        <v>88</v>
      </c>
      <c r="AI156" s="649">
        <v>37</v>
      </c>
    </row>
    <row r="157" spans="1:35" ht="21" customHeight="1" x14ac:dyDescent="0.2">
      <c r="A157" s="441"/>
      <c r="B157" s="676" t="s">
        <v>615</v>
      </c>
      <c r="C157" s="503" t="s">
        <v>552</v>
      </c>
      <c r="D157" s="503" t="s">
        <v>552</v>
      </c>
      <c r="E157" s="503" t="s">
        <v>552</v>
      </c>
      <c r="F157" s="503" t="s">
        <v>552</v>
      </c>
      <c r="G157" s="503"/>
      <c r="H157" s="503"/>
      <c r="I157" s="503" t="s">
        <v>552</v>
      </c>
      <c r="J157" s="503" t="s">
        <v>552</v>
      </c>
      <c r="K157" s="503" t="s">
        <v>552</v>
      </c>
      <c r="L157" s="503" t="s">
        <v>552</v>
      </c>
      <c r="M157" s="503" t="s">
        <v>552</v>
      </c>
      <c r="N157" s="503"/>
      <c r="O157" s="503"/>
      <c r="P157" s="503" t="s">
        <v>552</v>
      </c>
      <c r="Q157" s="503" t="s">
        <v>552</v>
      </c>
      <c r="R157" s="1530" t="s">
        <v>552</v>
      </c>
      <c r="S157" s="503" t="s">
        <v>552</v>
      </c>
      <c r="T157" s="503" t="s">
        <v>552</v>
      </c>
      <c r="U157" s="503"/>
      <c r="V157" s="503"/>
      <c r="W157" s="503" t="s">
        <v>552</v>
      </c>
      <c r="X157" s="503" t="s">
        <v>552</v>
      </c>
      <c r="Y157" s="503" t="s">
        <v>552</v>
      </c>
      <c r="Z157" s="503" t="s">
        <v>552</v>
      </c>
      <c r="AA157" s="503" t="s">
        <v>552</v>
      </c>
      <c r="AB157" s="503"/>
      <c r="AC157" s="503"/>
      <c r="AD157" s="503" t="s">
        <v>552</v>
      </c>
      <c r="AE157" s="503" t="s">
        <v>552</v>
      </c>
      <c r="AF157" s="503" t="s">
        <v>552</v>
      </c>
      <c r="AG157" s="503"/>
      <c r="AH157" s="648">
        <v>59</v>
      </c>
      <c r="AI157" s="649">
        <v>37</v>
      </c>
    </row>
    <row r="158" spans="1:35" ht="21" customHeight="1" x14ac:dyDescent="0.2">
      <c r="A158" s="441">
        <v>8514</v>
      </c>
      <c r="B158" s="673" t="s">
        <v>433</v>
      </c>
      <c r="C158" s="503" t="s">
        <v>552</v>
      </c>
      <c r="D158" s="503" t="s">
        <v>552</v>
      </c>
      <c r="E158" s="503" t="s">
        <v>552</v>
      </c>
      <c r="F158" s="1513" t="s">
        <v>552</v>
      </c>
      <c r="G158" s="503"/>
      <c r="H158" s="503"/>
      <c r="I158" s="1059" t="s">
        <v>552</v>
      </c>
      <c r="J158" s="1059" t="s">
        <v>552</v>
      </c>
      <c r="K158" s="1059" t="s">
        <v>552</v>
      </c>
      <c r="L158" s="1059" t="s">
        <v>552</v>
      </c>
      <c r="M158" s="1059" t="s">
        <v>552</v>
      </c>
      <c r="N158" s="1059"/>
      <c r="O158" s="1059"/>
      <c r="P158" s="1513" t="s">
        <v>552</v>
      </c>
      <c r="Q158" s="1513" t="s">
        <v>552</v>
      </c>
      <c r="R158" s="503" t="s">
        <v>552</v>
      </c>
      <c r="S158" s="503" t="s">
        <v>552</v>
      </c>
      <c r="T158" s="503" t="s">
        <v>552</v>
      </c>
      <c r="U158" s="503"/>
      <c r="V158" s="503"/>
      <c r="W158" s="503" t="s">
        <v>552</v>
      </c>
      <c r="X158" s="503" t="s">
        <v>552</v>
      </c>
      <c r="Y158" s="503" t="s">
        <v>552</v>
      </c>
      <c r="Z158" s="503" t="s">
        <v>552</v>
      </c>
      <c r="AA158" s="503" t="s">
        <v>552</v>
      </c>
      <c r="AB158" s="503"/>
      <c r="AC158" s="503"/>
      <c r="AD158" s="503" t="s">
        <v>552</v>
      </c>
      <c r="AE158" s="503" t="s">
        <v>552</v>
      </c>
      <c r="AF158" s="503" t="s">
        <v>552</v>
      </c>
      <c r="AG158" s="503"/>
      <c r="AH158" s="648">
        <v>72</v>
      </c>
      <c r="AI158" s="649">
        <v>37</v>
      </c>
    </row>
    <row r="159" spans="1:35" ht="21.95" customHeight="1" x14ac:dyDescent="0.2">
      <c r="A159" s="441">
        <v>3701</v>
      </c>
      <c r="B159" s="673" t="s">
        <v>431</v>
      </c>
      <c r="C159" s="503" t="s">
        <v>552</v>
      </c>
      <c r="D159" s="503" t="s">
        <v>552</v>
      </c>
      <c r="E159" s="503" t="s">
        <v>552</v>
      </c>
      <c r="F159" s="503" t="s">
        <v>552</v>
      </c>
      <c r="G159" s="503"/>
      <c r="H159" s="503"/>
      <c r="I159" s="503" t="s">
        <v>552</v>
      </c>
      <c r="J159" s="503" t="s">
        <v>552</v>
      </c>
      <c r="K159" s="503" t="s">
        <v>552</v>
      </c>
      <c r="L159" s="503" t="s">
        <v>552</v>
      </c>
      <c r="M159" s="503" t="s">
        <v>552</v>
      </c>
      <c r="N159" s="503"/>
      <c r="O159" s="503"/>
      <c r="P159" s="503" t="s">
        <v>552</v>
      </c>
      <c r="Q159" s="503" t="s">
        <v>552</v>
      </c>
      <c r="R159" s="503" t="s">
        <v>552</v>
      </c>
      <c r="S159" s="503" t="s">
        <v>552</v>
      </c>
      <c r="T159" s="1513" t="s">
        <v>552</v>
      </c>
      <c r="U159" s="503"/>
      <c r="V159" s="503"/>
      <c r="W159" s="503" t="s">
        <v>552</v>
      </c>
      <c r="X159" s="503" t="s">
        <v>552</v>
      </c>
      <c r="Y159" s="503" t="s">
        <v>552</v>
      </c>
      <c r="Z159" s="503" t="s">
        <v>552</v>
      </c>
      <c r="AA159" s="503" t="s">
        <v>552</v>
      </c>
      <c r="AB159" s="503"/>
      <c r="AC159" s="503"/>
      <c r="AD159" s="503" t="s">
        <v>552</v>
      </c>
      <c r="AE159" s="503" t="s">
        <v>552</v>
      </c>
      <c r="AF159" s="503" t="s">
        <v>552</v>
      </c>
      <c r="AG159" s="503"/>
      <c r="AH159" s="648">
        <v>82</v>
      </c>
      <c r="AI159" s="649">
        <v>37</v>
      </c>
    </row>
    <row r="160" spans="1:35" ht="21.95" customHeight="1" x14ac:dyDescent="0.2">
      <c r="A160" s="441">
        <v>3701</v>
      </c>
      <c r="B160" s="673" t="s">
        <v>434</v>
      </c>
      <c r="C160" s="1104" t="s">
        <v>552</v>
      </c>
      <c r="D160" s="1104" t="s">
        <v>552</v>
      </c>
      <c r="E160" s="1104" t="s">
        <v>552</v>
      </c>
      <c r="F160" s="1104" t="s">
        <v>617</v>
      </c>
      <c r="G160" s="503"/>
      <c r="H160" s="503"/>
      <c r="I160" s="1078" t="s">
        <v>552</v>
      </c>
      <c r="J160" s="1078" t="s">
        <v>552</v>
      </c>
      <c r="K160" s="1078" t="s">
        <v>552</v>
      </c>
      <c r="L160" s="503" t="s">
        <v>552</v>
      </c>
      <c r="M160" s="503" t="s">
        <v>552</v>
      </c>
      <c r="N160" s="503"/>
      <c r="O160" s="503"/>
      <c r="P160" s="503">
        <v>19</v>
      </c>
      <c r="Q160" s="1440">
        <v>19</v>
      </c>
      <c r="R160" s="1440">
        <v>19</v>
      </c>
      <c r="S160" s="1440">
        <v>19</v>
      </c>
      <c r="T160" s="1440">
        <v>17</v>
      </c>
      <c r="U160" s="503"/>
      <c r="V160" s="503"/>
      <c r="W160" s="503" t="s">
        <v>552</v>
      </c>
      <c r="X160" s="503" t="s">
        <v>552</v>
      </c>
      <c r="Y160" s="503" t="s">
        <v>552</v>
      </c>
      <c r="Z160" s="503" t="s">
        <v>552</v>
      </c>
      <c r="AA160" s="503" t="s">
        <v>552</v>
      </c>
      <c r="AB160" s="503"/>
      <c r="AC160" s="503"/>
      <c r="AD160" s="503" t="s">
        <v>552</v>
      </c>
      <c r="AE160" s="1440" t="s">
        <v>552</v>
      </c>
      <c r="AF160" s="1440" t="s">
        <v>552</v>
      </c>
      <c r="AG160" s="503"/>
      <c r="AH160" s="648">
        <v>22</v>
      </c>
      <c r="AI160" s="649">
        <v>0</v>
      </c>
    </row>
    <row r="161" spans="1:35" ht="21.95" customHeight="1" x14ac:dyDescent="0.2">
      <c r="A161" s="441">
        <v>3701</v>
      </c>
      <c r="B161" s="673" t="s">
        <v>436</v>
      </c>
      <c r="C161" s="1078" t="s">
        <v>552</v>
      </c>
      <c r="D161" s="1078" t="s">
        <v>552</v>
      </c>
      <c r="E161" s="1078" t="s">
        <v>552</v>
      </c>
      <c r="F161" s="503" t="s">
        <v>552</v>
      </c>
      <c r="G161" s="503"/>
      <c r="H161" s="503"/>
      <c r="I161" s="503" t="s">
        <v>552</v>
      </c>
      <c r="J161" s="1440" t="s">
        <v>552</v>
      </c>
      <c r="K161" s="1440" t="s">
        <v>552</v>
      </c>
      <c r="L161" s="1440" t="s">
        <v>552</v>
      </c>
      <c r="M161" s="1440" t="s">
        <v>552</v>
      </c>
      <c r="N161" s="503"/>
      <c r="O161" s="503"/>
      <c r="P161" s="503" t="s">
        <v>552</v>
      </c>
      <c r="Q161" s="503" t="s">
        <v>552</v>
      </c>
      <c r="R161" s="503" t="s">
        <v>552</v>
      </c>
      <c r="S161" s="503" t="s">
        <v>552</v>
      </c>
      <c r="T161" s="503" t="s">
        <v>552</v>
      </c>
      <c r="U161" s="503"/>
      <c r="V161" s="503"/>
      <c r="W161" s="503" t="s">
        <v>552</v>
      </c>
      <c r="X161" s="503" t="s">
        <v>552</v>
      </c>
      <c r="Y161" s="503" t="s">
        <v>552</v>
      </c>
      <c r="Z161" s="503" t="s">
        <v>552</v>
      </c>
      <c r="AA161" s="503" t="s">
        <v>552</v>
      </c>
      <c r="AB161" s="503"/>
      <c r="AC161" s="503"/>
      <c r="AD161" s="503" t="s">
        <v>552</v>
      </c>
      <c r="AE161" s="503" t="s">
        <v>552</v>
      </c>
      <c r="AF161" s="503" t="s">
        <v>552</v>
      </c>
      <c r="AG161" s="503"/>
      <c r="AH161" s="648">
        <v>74</v>
      </c>
      <c r="AI161" s="649">
        <v>37</v>
      </c>
    </row>
    <row r="162" spans="1:35" ht="21.95" customHeight="1" x14ac:dyDescent="0.2">
      <c r="A162" s="441">
        <v>3701</v>
      </c>
      <c r="B162" s="673" t="s">
        <v>437</v>
      </c>
      <c r="C162" s="1078" t="s">
        <v>552</v>
      </c>
      <c r="D162" s="1078" t="s">
        <v>552</v>
      </c>
      <c r="E162" s="1078" t="s">
        <v>552</v>
      </c>
      <c r="F162" s="503" t="s">
        <v>552</v>
      </c>
      <c r="G162" s="503"/>
      <c r="H162" s="503"/>
      <c r="I162" s="503">
        <v>19</v>
      </c>
      <c r="J162" s="1440">
        <v>19</v>
      </c>
      <c r="K162" s="1440">
        <v>19</v>
      </c>
      <c r="L162" s="1440">
        <v>19</v>
      </c>
      <c r="M162" s="1440">
        <v>17</v>
      </c>
      <c r="N162" s="503"/>
      <c r="O162" s="503"/>
      <c r="P162" s="1059" t="s">
        <v>552</v>
      </c>
      <c r="Q162" s="1059" t="s">
        <v>552</v>
      </c>
      <c r="R162" s="1059" t="s">
        <v>552</v>
      </c>
      <c r="S162" s="1059" t="s">
        <v>552</v>
      </c>
      <c r="T162" s="1059" t="s">
        <v>552</v>
      </c>
      <c r="U162" s="1059"/>
      <c r="V162" s="1059"/>
      <c r="W162" s="503" t="s">
        <v>552</v>
      </c>
      <c r="X162" s="1440" t="s">
        <v>552</v>
      </c>
      <c r="Y162" s="1440" t="s">
        <v>552</v>
      </c>
      <c r="Z162" s="1440" t="s">
        <v>552</v>
      </c>
      <c r="AA162" s="1440" t="s">
        <v>552</v>
      </c>
      <c r="AB162" s="503"/>
      <c r="AC162" s="503"/>
      <c r="AD162" s="503" t="s">
        <v>552</v>
      </c>
      <c r="AE162" s="503" t="s">
        <v>552</v>
      </c>
      <c r="AF162" s="503" t="s">
        <v>552</v>
      </c>
      <c r="AG162" s="503"/>
      <c r="AH162" s="648">
        <v>0</v>
      </c>
      <c r="AI162" s="649">
        <v>37</v>
      </c>
    </row>
    <row r="163" spans="1:35" ht="21.95" customHeight="1" x14ac:dyDescent="0.2">
      <c r="A163" s="441">
        <v>3701</v>
      </c>
      <c r="B163" s="673" t="s">
        <v>618</v>
      </c>
      <c r="C163" s="503" t="s">
        <v>552</v>
      </c>
      <c r="D163" s="503" t="s">
        <v>552</v>
      </c>
      <c r="E163" s="503" t="s">
        <v>552</v>
      </c>
      <c r="F163" s="503" t="s">
        <v>552</v>
      </c>
      <c r="G163" s="503"/>
      <c r="H163" s="503"/>
      <c r="I163" s="503" t="s">
        <v>552</v>
      </c>
      <c r="J163" s="503" t="s">
        <v>552</v>
      </c>
      <c r="K163" s="503" t="s">
        <v>552</v>
      </c>
      <c r="L163" s="503" t="s">
        <v>552</v>
      </c>
      <c r="M163" s="503" t="s">
        <v>552</v>
      </c>
      <c r="N163" s="503"/>
      <c r="O163" s="503"/>
      <c r="P163" s="503" t="s">
        <v>552</v>
      </c>
      <c r="Q163" s="503" t="s">
        <v>552</v>
      </c>
      <c r="R163" s="503" t="s">
        <v>552</v>
      </c>
      <c r="S163" s="503" t="s">
        <v>552</v>
      </c>
      <c r="T163" s="503" t="s">
        <v>552</v>
      </c>
      <c r="U163" s="503"/>
      <c r="V163" s="503"/>
      <c r="W163" s="503">
        <v>19</v>
      </c>
      <c r="X163" s="1440">
        <v>19</v>
      </c>
      <c r="Y163" s="1440">
        <v>19</v>
      </c>
      <c r="Z163" s="1440">
        <v>19</v>
      </c>
      <c r="AA163" s="1440">
        <v>17</v>
      </c>
      <c r="AB163" s="503"/>
      <c r="AC163" s="503"/>
      <c r="AD163" s="1078" t="s">
        <v>552</v>
      </c>
      <c r="AE163" s="1078" t="s">
        <v>552</v>
      </c>
      <c r="AF163" s="1078" t="s">
        <v>552</v>
      </c>
      <c r="AG163" s="503"/>
      <c r="AH163" s="648">
        <v>50</v>
      </c>
      <c r="AI163" s="649">
        <v>37</v>
      </c>
    </row>
    <row r="164" spans="1:35" ht="21.95" customHeight="1" x14ac:dyDescent="0.2">
      <c r="A164" s="441">
        <v>3701</v>
      </c>
      <c r="B164" s="552" t="s">
        <v>619</v>
      </c>
      <c r="C164" s="1440">
        <v>19</v>
      </c>
      <c r="D164" s="1440">
        <v>19</v>
      </c>
      <c r="E164" s="1440">
        <v>19</v>
      </c>
      <c r="F164" s="1440">
        <v>17</v>
      </c>
      <c r="G164" s="503"/>
      <c r="H164" s="503"/>
      <c r="I164" s="503" t="s">
        <v>552</v>
      </c>
      <c r="J164" s="503" t="s">
        <v>552</v>
      </c>
      <c r="K164" s="503" t="s">
        <v>552</v>
      </c>
      <c r="L164" s="503" t="s">
        <v>552</v>
      </c>
      <c r="M164" s="503" t="s">
        <v>552</v>
      </c>
      <c r="N164" s="503"/>
      <c r="O164" s="503"/>
      <c r="P164" s="503" t="s">
        <v>552</v>
      </c>
      <c r="Q164" s="1440" t="s">
        <v>552</v>
      </c>
      <c r="R164" s="1440" t="s">
        <v>552</v>
      </c>
      <c r="S164" s="1440" t="s">
        <v>552</v>
      </c>
      <c r="T164" s="1440" t="s">
        <v>552</v>
      </c>
      <c r="U164" s="503"/>
      <c r="V164" s="503"/>
      <c r="W164" s="503" t="s">
        <v>552</v>
      </c>
      <c r="X164" s="503" t="s">
        <v>552</v>
      </c>
      <c r="Y164" s="503" t="s">
        <v>552</v>
      </c>
      <c r="Z164" s="503" t="s">
        <v>552</v>
      </c>
      <c r="AA164" s="503" t="s">
        <v>552</v>
      </c>
      <c r="AB164" s="503"/>
      <c r="AC164" s="503"/>
      <c r="AD164" s="503" t="s">
        <v>552</v>
      </c>
      <c r="AE164" s="503" t="s">
        <v>552</v>
      </c>
      <c r="AF164" s="503" t="s">
        <v>552</v>
      </c>
      <c r="AG164" s="503"/>
      <c r="AH164" s="648">
        <v>37</v>
      </c>
      <c r="AI164" s="649">
        <v>37</v>
      </c>
    </row>
    <row r="165" spans="1:35" ht="21.95" customHeight="1" x14ac:dyDescent="0.2">
      <c r="A165" s="441">
        <v>3701</v>
      </c>
      <c r="B165" s="1434" t="s">
        <v>620</v>
      </c>
      <c r="C165" s="1440" t="s">
        <v>552</v>
      </c>
      <c r="D165" s="1440" t="s">
        <v>552</v>
      </c>
      <c r="E165" s="1440" t="s">
        <v>552</v>
      </c>
      <c r="F165" s="1440" t="s">
        <v>552</v>
      </c>
      <c r="G165" s="503"/>
      <c r="H165" s="503"/>
      <c r="I165" s="503" t="s">
        <v>552</v>
      </c>
      <c r="J165" s="503" t="s">
        <v>552</v>
      </c>
      <c r="K165" s="503" t="s">
        <v>552</v>
      </c>
      <c r="L165" s="503" t="s">
        <v>552</v>
      </c>
      <c r="M165" s="503" t="s">
        <v>552</v>
      </c>
      <c r="N165" s="503"/>
      <c r="O165" s="503"/>
      <c r="P165" s="503" t="s">
        <v>552</v>
      </c>
      <c r="Q165" s="503" t="s">
        <v>552</v>
      </c>
      <c r="R165" s="503" t="s">
        <v>552</v>
      </c>
      <c r="S165" s="503" t="s">
        <v>552</v>
      </c>
      <c r="T165" s="503" t="s">
        <v>552</v>
      </c>
      <c r="U165" s="503"/>
      <c r="V165" s="503"/>
      <c r="W165" s="503" t="s">
        <v>552</v>
      </c>
      <c r="X165" s="503" t="s">
        <v>552</v>
      </c>
      <c r="Y165" s="503" t="s">
        <v>552</v>
      </c>
      <c r="Z165" s="503" t="s">
        <v>552</v>
      </c>
      <c r="AA165" s="503" t="s">
        <v>552</v>
      </c>
      <c r="AB165" s="503"/>
      <c r="AC165" s="503"/>
      <c r="AD165" s="503">
        <v>19</v>
      </c>
      <c r="AE165" s="1440">
        <v>19</v>
      </c>
      <c r="AF165" s="1440">
        <v>19</v>
      </c>
      <c r="AG165" s="503"/>
      <c r="AH165" s="648">
        <v>74</v>
      </c>
      <c r="AI165" s="649">
        <v>37</v>
      </c>
    </row>
    <row r="166" spans="1:35" ht="21.95" customHeight="1" x14ac:dyDescent="0.2">
      <c r="A166" s="1433">
        <v>3701</v>
      </c>
      <c r="B166" s="552" t="s">
        <v>621</v>
      </c>
      <c r="C166" s="503" t="s">
        <v>552</v>
      </c>
      <c r="D166" s="503" t="s">
        <v>552</v>
      </c>
      <c r="E166" s="503" t="s">
        <v>552</v>
      </c>
      <c r="F166" s="503" t="s">
        <v>552</v>
      </c>
      <c r="G166" s="503"/>
      <c r="H166" s="503"/>
      <c r="I166" s="503" t="s">
        <v>552</v>
      </c>
      <c r="J166" s="503" t="s">
        <v>552</v>
      </c>
      <c r="K166" s="503" t="s">
        <v>552</v>
      </c>
      <c r="L166" s="503" t="s">
        <v>552</v>
      </c>
      <c r="M166" s="503" t="s">
        <v>552</v>
      </c>
      <c r="N166" s="503"/>
      <c r="O166" s="503"/>
      <c r="P166" s="503" t="s">
        <v>552</v>
      </c>
      <c r="Q166" s="503" t="s">
        <v>552</v>
      </c>
      <c r="R166" s="503" t="s">
        <v>552</v>
      </c>
      <c r="S166" s="503" t="s">
        <v>552</v>
      </c>
      <c r="T166" s="503" t="s">
        <v>552</v>
      </c>
      <c r="U166" s="503"/>
      <c r="V166" s="503"/>
      <c r="W166" s="503" t="s">
        <v>552</v>
      </c>
      <c r="X166" s="503" t="s">
        <v>552</v>
      </c>
      <c r="Y166" s="503" t="s">
        <v>552</v>
      </c>
      <c r="Z166" s="503" t="s">
        <v>552</v>
      </c>
      <c r="AA166" s="503" t="s">
        <v>552</v>
      </c>
      <c r="AB166" s="503"/>
      <c r="AC166" s="503"/>
      <c r="AD166" s="503" t="s">
        <v>552</v>
      </c>
      <c r="AE166" s="503" t="s">
        <v>552</v>
      </c>
      <c r="AF166" s="503" t="s">
        <v>552</v>
      </c>
      <c r="AG166" s="503"/>
      <c r="AH166" s="648">
        <v>35</v>
      </c>
      <c r="AI166" s="649">
        <v>29</v>
      </c>
    </row>
    <row r="167" spans="1:35" ht="21.95" customHeight="1" x14ac:dyDescent="0.2">
      <c r="A167" s="441">
        <v>3701</v>
      </c>
      <c r="B167" s="673" t="s">
        <v>622</v>
      </c>
      <c r="C167" s="503" t="s">
        <v>552</v>
      </c>
      <c r="D167" s="503" t="s">
        <v>552</v>
      </c>
      <c r="E167" s="503" t="s">
        <v>552</v>
      </c>
      <c r="F167" s="503" t="s">
        <v>552</v>
      </c>
      <c r="G167" s="503"/>
      <c r="H167" s="503"/>
      <c r="I167" s="503" t="s">
        <v>552</v>
      </c>
      <c r="J167" s="503" t="s">
        <v>552</v>
      </c>
      <c r="K167" s="503" t="s">
        <v>552</v>
      </c>
      <c r="L167" s="503" t="s">
        <v>552</v>
      </c>
      <c r="M167" s="503" t="s">
        <v>552</v>
      </c>
      <c r="N167" s="503"/>
      <c r="O167" s="503"/>
      <c r="P167" s="503" t="s">
        <v>552</v>
      </c>
      <c r="Q167" s="503" t="s">
        <v>552</v>
      </c>
      <c r="R167" s="503" t="s">
        <v>552</v>
      </c>
      <c r="S167" s="503" t="s">
        <v>552</v>
      </c>
      <c r="T167" s="503" t="s">
        <v>552</v>
      </c>
      <c r="U167" s="503"/>
      <c r="V167" s="503"/>
      <c r="W167" s="1538" t="s">
        <v>552</v>
      </c>
      <c r="X167" s="1538" t="s">
        <v>552</v>
      </c>
      <c r="Y167" s="503" t="s">
        <v>552</v>
      </c>
      <c r="Z167" s="503" t="s">
        <v>552</v>
      </c>
      <c r="AA167" s="503" t="s">
        <v>552</v>
      </c>
      <c r="AB167" s="503"/>
      <c r="AC167" s="503"/>
      <c r="AD167" s="503" t="s">
        <v>552</v>
      </c>
      <c r="AE167" s="503" t="s">
        <v>552</v>
      </c>
      <c r="AF167" s="503" t="s">
        <v>552</v>
      </c>
      <c r="AG167" s="503"/>
      <c r="AH167" s="648">
        <v>81</v>
      </c>
      <c r="AI167" s="649">
        <v>29</v>
      </c>
    </row>
    <row r="168" spans="1:35" ht="21.95" customHeight="1" x14ac:dyDescent="0.2">
      <c r="A168" s="441">
        <v>3701</v>
      </c>
      <c r="B168" s="673" t="s">
        <v>623</v>
      </c>
      <c r="C168" s="1109" t="s">
        <v>552</v>
      </c>
      <c r="D168" s="1109" t="s">
        <v>552</v>
      </c>
      <c r="E168" s="1517" t="s">
        <v>552</v>
      </c>
      <c r="F168" s="1109" t="s">
        <v>552</v>
      </c>
      <c r="G168" s="1109"/>
      <c r="H168" s="1109"/>
      <c r="I168" s="1109" t="s">
        <v>552</v>
      </c>
      <c r="J168" s="1109" t="s">
        <v>552</v>
      </c>
      <c r="K168" s="1109" t="s">
        <v>552</v>
      </c>
      <c r="L168" s="1109" t="s">
        <v>552</v>
      </c>
      <c r="M168" s="1109" t="s">
        <v>552</v>
      </c>
      <c r="N168" s="1109"/>
      <c r="O168" s="1109"/>
      <c r="P168" s="1109" t="s">
        <v>552</v>
      </c>
      <c r="Q168" s="1109" t="s">
        <v>552</v>
      </c>
      <c r="R168" s="1109" t="s">
        <v>552</v>
      </c>
      <c r="S168" s="1109" t="s">
        <v>552</v>
      </c>
      <c r="T168" s="1109" t="s">
        <v>552</v>
      </c>
      <c r="U168" s="1109"/>
      <c r="V168" s="1109"/>
      <c r="W168" s="1109" t="s">
        <v>552</v>
      </c>
      <c r="X168" s="1109" t="s">
        <v>552</v>
      </c>
      <c r="Y168" s="1109" t="s">
        <v>552</v>
      </c>
      <c r="Z168" s="1109" t="s">
        <v>552</v>
      </c>
      <c r="AA168" s="1109" t="s">
        <v>552</v>
      </c>
      <c r="AB168" s="1109"/>
      <c r="AC168" s="1109"/>
      <c r="AD168" s="1109" t="s">
        <v>552</v>
      </c>
      <c r="AE168" s="1109" t="s">
        <v>552</v>
      </c>
      <c r="AF168" s="1109" t="s">
        <v>552</v>
      </c>
      <c r="AG168" s="1109"/>
      <c r="AH168" s="648">
        <v>37</v>
      </c>
      <c r="AI168" s="649">
        <v>31</v>
      </c>
    </row>
    <row r="169" spans="1:35" ht="21.95" customHeight="1" x14ac:dyDescent="0.2">
      <c r="A169" s="441">
        <v>3701</v>
      </c>
      <c r="B169" s="1111" t="s">
        <v>735</v>
      </c>
      <c r="C169" s="1112" t="s">
        <v>552</v>
      </c>
      <c r="D169" s="1112" t="s">
        <v>552</v>
      </c>
      <c r="E169" s="1112" t="s">
        <v>552</v>
      </c>
      <c r="F169" s="1112" t="s">
        <v>552</v>
      </c>
      <c r="G169" s="1112"/>
      <c r="H169" s="1112"/>
      <c r="I169" s="1112" t="s">
        <v>552</v>
      </c>
      <c r="J169" s="1112" t="s">
        <v>552</v>
      </c>
      <c r="K169" s="1112" t="s">
        <v>552</v>
      </c>
      <c r="L169" s="1112" t="s">
        <v>552</v>
      </c>
      <c r="M169" s="1112" t="s">
        <v>552</v>
      </c>
      <c r="N169" s="1112"/>
      <c r="O169" s="1112"/>
      <c r="P169" s="1112" t="s">
        <v>552</v>
      </c>
      <c r="Q169" s="1112" t="s">
        <v>552</v>
      </c>
      <c r="R169" s="1112" t="s">
        <v>552</v>
      </c>
      <c r="S169" s="1112" t="s">
        <v>552</v>
      </c>
      <c r="T169" s="1112" t="s">
        <v>552</v>
      </c>
      <c r="U169" s="1112"/>
      <c r="V169" s="1112"/>
      <c r="W169" s="1112" t="s">
        <v>552</v>
      </c>
      <c r="X169" s="1112" t="s">
        <v>552</v>
      </c>
      <c r="Y169" s="1112" t="s">
        <v>552</v>
      </c>
      <c r="Z169" s="1112" t="s">
        <v>552</v>
      </c>
      <c r="AA169" s="1112" t="s">
        <v>552</v>
      </c>
      <c r="AB169" s="1112"/>
      <c r="AC169" s="1112"/>
      <c r="AD169" s="1112" t="s">
        <v>552</v>
      </c>
      <c r="AE169" s="1112" t="s">
        <v>552</v>
      </c>
      <c r="AF169" s="1112" t="s">
        <v>552</v>
      </c>
      <c r="AG169" s="1481"/>
      <c r="AH169" s="1113"/>
      <c r="AI169" s="1113"/>
    </row>
    <row r="170" spans="1:35" ht="21.95" customHeight="1" x14ac:dyDescent="0.2">
      <c r="A170" s="621"/>
      <c r="B170" s="1111"/>
      <c r="C170" s="1485"/>
      <c r="D170" s="1485"/>
      <c r="E170" s="1485"/>
      <c r="F170" s="1485"/>
      <c r="G170" s="1485"/>
      <c r="H170" s="1485"/>
      <c r="I170" s="1485"/>
      <c r="J170" s="1485"/>
      <c r="K170" s="1485"/>
      <c r="L170" s="1485"/>
      <c r="M170" s="1485"/>
      <c r="N170" s="1485"/>
      <c r="O170" s="1485"/>
      <c r="P170" s="1485"/>
      <c r="Q170" s="1485"/>
      <c r="R170" s="1485"/>
      <c r="S170" s="1485"/>
      <c r="T170" s="1485"/>
      <c r="U170" s="1485"/>
      <c r="V170" s="1485"/>
      <c r="W170" s="1485"/>
      <c r="X170" s="1485"/>
      <c r="Y170" s="1485"/>
      <c r="Z170" s="1485"/>
      <c r="AA170" s="1485"/>
      <c r="AB170" s="1485"/>
      <c r="AC170" s="1485"/>
      <c r="AD170" s="1485"/>
      <c r="AE170" s="1485"/>
      <c r="AF170" s="1485"/>
      <c r="AG170" s="590"/>
      <c r="AH170" s="591"/>
      <c r="AI170" s="591"/>
    </row>
    <row r="171" spans="1:35" ht="21" customHeight="1" x14ac:dyDescent="0.2">
      <c r="A171" s="1" t="s">
        <v>624</v>
      </c>
    </row>
    <row r="172" spans="1:35" ht="21" customHeight="1" x14ac:dyDescent="0.2">
      <c r="B172" s="200" t="s">
        <v>604</v>
      </c>
      <c r="C172" s="7"/>
      <c r="D172" s="530" t="s">
        <v>2</v>
      </c>
      <c r="E172" s="51"/>
      <c r="F172" s="573"/>
      <c r="G172" s="7"/>
      <c r="H172" s="530" t="s">
        <v>3</v>
      </c>
      <c r="I172" s="51"/>
      <c r="J172" s="573"/>
      <c r="K172" s="7"/>
      <c r="L172" s="530" t="s">
        <v>4</v>
      </c>
      <c r="M172" s="51"/>
      <c r="N172" s="573"/>
      <c r="O172" s="7"/>
      <c r="P172" s="530" t="s">
        <v>5</v>
      </c>
      <c r="Q172" s="51"/>
      <c r="R172" s="573"/>
      <c r="S172" s="7"/>
      <c r="T172" s="530" t="s">
        <v>6</v>
      </c>
      <c r="U172" s="51"/>
      <c r="V172" s="573"/>
      <c r="W172" s="7"/>
      <c r="X172" s="530" t="s">
        <v>7</v>
      </c>
      <c r="Y172" s="51"/>
      <c r="Z172" s="573"/>
      <c r="AA172" s="7"/>
      <c r="AB172" s="530" t="s">
        <v>8</v>
      </c>
      <c r="AC172" s="51"/>
      <c r="AD172" s="51"/>
      <c r="AE172" s="424" t="s">
        <v>10</v>
      </c>
      <c r="AF172" s="51"/>
      <c r="AG172" s="51"/>
      <c r="AH172" s="51"/>
      <c r="AI172" s="531"/>
    </row>
    <row r="173" spans="1:35" ht="21" customHeight="1" x14ac:dyDescent="0.2">
      <c r="B173" s="9">
        <v>8502</v>
      </c>
      <c r="C173" s="14" t="s">
        <v>11</v>
      </c>
      <c r="D173" s="659"/>
      <c r="E173" s="55"/>
      <c r="F173" s="580"/>
      <c r="G173" s="14" t="s">
        <v>11</v>
      </c>
      <c r="H173" s="659"/>
      <c r="I173" s="55"/>
      <c r="J173" s="580"/>
      <c r="K173" s="14" t="s">
        <v>11</v>
      </c>
      <c r="L173" s="659"/>
      <c r="M173" s="55"/>
      <c r="N173" s="580"/>
      <c r="O173" s="14" t="s">
        <v>11</v>
      </c>
      <c r="P173" s="659"/>
      <c r="Q173" s="55"/>
      <c r="R173" s="580"/>
      <c r="S173" s="14" t="s">
        <v>12</v>
      </c>
      <c r="T173" s="659"/>
      <c r="U173" s="55"/>
      <c r="V173" s="580"/>
      <c r="W173" s="14"/>
      <c r="X173" s="659"/>
      <c r="Y173" s="55"/>
      <c r="Z173" s="580"/>
      <c r="AA173" s="14"/>
      <c r="AB173" s="659"/>
      <c r="AC173" s="55"/>
      <c r="AD173" s="55"/>
      <c r="AE173" s="660"/>
      <c r="AF173" s="55"/>
      <c r="AG173" s="55"/>
      <c r="AH173" s="55"/>
      <c r="AI173" s="661"/>
    </row>
    <row r="174" spans="1:35" ht="21" customHeight="1" x14ac:dyDescent="0.2">
      <c r="B174" s="662">
        <v>3701</v>
      </c>
      <c r="C174" s="121" t="s">
        <v>11</v>
      </c>
      <c r="D174" s="130"/>
      <c r="E174" s="55"/>
      <c r="F174" s="580"/>
      <c r="G174" s="121" t="s">
        <v>11</v>
      </c>
      <c r="H174" s="659"/>
      <c r="I174" s="55"/>
      <c r="J174" s="580"/>
      <c r="K174" s="121" t="s">
        <v>11</v>
      </c>
      <c r="L174" s="659"/>
      <c r="M174" s="55"/>
      <c r="N174" s="580"/>
      <c r="O174" s="121" t="s">
        <v>11</v>
      </c>
      <c r="P174" s="659"/>
      <c r="Q174" s="55"/>
      <c r="R174" s="580"/>
      <c r="S174" s="14" t="s">
        <v>12</v>
      </c>
      <c r="T174" s="659"/>
      <c r="U174" s="55"/>
      <c r="V174" s="580"/>
      <c r="W174" s="14"/>
      <c r="X174" s="659"/>
      <c r="Y174" s="55"/>
      <c r="Z174" s="580"/>
      <c r="AA174" s="14"/>
      <c r="AB174" s="659"/>
      <c r="AC174" s="55"/>
      <c r="AD174" s="55"/>
      <c r="AE174" s="660"/>
      <c r="AF174" s="55"/>
      <c r="AG174" s="55"/>
      <c r="AH174" s="55"/>
      <c r="AI174" s="661"/>
    </row>
    <row r="175" spans="1:35" ht="21" customHeight="1" x14ac:dyDescent="0.2">
      <c r="B175" s="662">
        <v>3705</v>
      </c>
      <c r="C175" s="121" t="s">
        <v>147</v>
      </c>
      <c r="D175" s="130"/>
      <c r="E175" s="55"/>
      <c r="F175" s="580"/>
      <c r="G175" s="121" t="s">
        <v>147</v>
      </c>
      <c r="H175" s="659"/>
      <c r="I175" s="55"/>
      <c r="J175" s="580"/>
      <c r="K175" s="121" t="s">
        <v>147</v>
      </c>
      <c r="L175" s="659"/>
      <c r="M175" s="55"/>
      <c r="N175" s="580"/>
      <c r="O175" s="121" t="s">
        <v>147</v>
      </c>
      <c r="P175" s="659"/>
      <c r="Q175" s="55"/>
      <c r="R175" s="580"/>
      <c r="S175" s="121" t="s">
        <v>536</v>
      </c>
      <c r="T175" s="659"/>
      <c r="U175" s="55"/>
      <c r="V175" s="580"/>
      <c r="W175" s="14"/>
      <c r="X175" s="659"/>
      <c r="Y175" s="55"/>
      <c r="Z175" s="580"/>
      <c r="AA175" s="14"/>
      <c r="AB175" s="659"/>
      <c r="AC175" s="55"/>
      <c r="AD175" s="55"/>
      <c r="AE175" s="660"/>
      <c r="AF175" s="55"/>
      <c r="AG175" s="55"/>
      <c r="AH175" s="55"/>
      <c r="AI175" s="661"/>
    </row>
    <row r="176" spans="1:35" ht="21" customHeight="1" x14ac:dyDescent="0.2">
      <c r="B176" s="662" t="s">
        <v>625</v>
      </c>
      <c r="C176" s="611" t="s">
        <v>626</v>
      </c>
      <c r="D176" s="130"/>
      <c r="E176" s="55"/>
      <c r="F176" s="580"/>
      <c r="G176" s="611" t="s">
        <v>626</v>
      </c>
      <c r="H176" s="659"/>
      <c r="I176" s="55"/>
      <c r="J176" s="580"/>
      <c r="K176" s="611" t="s">
        <v>626</v>
      </c>
      <c r="L176" s="659"/>
      <c r="M176" s="55"/>
      <c r="N176" s="580"/>
      <c r="O176" s="611" t="s">
        <v>626</v>
      </c>
      <c r="P176" s="659"/>
      <c r="Q176" s="55"/>
      <c r="R176" s="580"/>
      <c r="S176" s="611" t="s">
        <v>626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5" ht="21" customHeight="1" x14ac:dyDescent="0.2">
      <c r="B177" s="662" t="s">
        <v>627</v>
      </c>
      <c r="C177" s="611" t="s">
        <v>628</v>
      </c>
      <c r="D177" s="130"/>
      <c r="E177" s="55"/>
      <c r="F177" s="580"/>
      <c r="G177" s="659" t="s">
        <v>629</v>
      </c>
      <c r="H177" s="659"/>
      <c r="I177" s="55"/>
      <c r="J177" s="580"/>
      <c r="K177" s="659" t="s">
        <v>630</v>
      </c>
      <c r="L177" s="659"/>
      <c r="M177" s="55"/>
      <c r="N177" s="580"/>
      <c r="O177" s="659" t="s">
        <v>630</v>
      </c>
      <c r="P177" s="659"/>
      <c r="Q177" s="55"/>
      <c r="R177" s="580"/>
      <c r="S177" s="659" t="s">
        <v>631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5" ht="21" customHeight="1" x14ac:dyDescent="0.2">
      <c r="B178" s="662" t="s">
        <v>324</v>
      </c>
      <c r="C178" s="611" t="s">
        <v>632</v>
      </c>
      <c r="D178" s="130"/>
      <c r="E178" s="55"/>
      <c r="F178" s="580"/>
      <c r="G178" s="611" t="s">
        <v>632</v>
      </c>
      <c r="H178" s="130"/>
      <c r="I178" s="55"/>
      <c r="J178" s="580"/>
      <c r="K178" s="611" t="s">
        <v>632</v>
      </c>
      <c r="L178" s="130"/>
      <c r="M178" s="55"/>
      <c r="N178" s="580"/>
      <c r="O178" s="611" t="s">
        <v>632</v>
      </c>
      <c r="P178" s="130"/>
      <c r="Q178" s="55"/>
      <c r="R178" s="580"/>
      <c r="S178" s="659" t="s">
        <v>633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5" ht="21" customHeight="1" x14ac:dyDescent="0.2">
      <c r="B179" s="662" t="s">
        <v>325</v>
      </c>
      <c r="C179" s="611" t="s">
        <v>634</v>
      </c>
      <c r="D179" s="130"/>
      <c r="E179" s="55"/>
      <c r="F179" s="580"/>
      <c r="G179" s="611" t="s">
        <v>634</v>
      </c>
      <c r="H179" s="130"/>
      <c r="I179" s="55"/>
      <c r="J179" s="580"/>
      <c r="K179" s="611" t="s">
        <v>634</v>
      </c>
      <c r="L179" s="130"/>
      <c r="M179" s="55"/>
      <c r="N179" s="580"/>
      <c r="O179" s="611" t="s">
        <v>634</v>
      </c>
      <c r="P179" s="130"/>
      <c r="Q179" s="55"/>
      <c r="R179" s="580"/>
      <c r="S179" s="659" t="s">
        <v>635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5" ht="21" customHeight="1" x14ac:dyDescent="0.2">
      <c r="B180" s="671" t="s">
        <v>326</v>
      </c>
      <c r="C180" s="618" t="s">
        <v>722</v>
      </c>
      <c r="D180" s="48"/>
      <c r="E180" s="678"/>
      <c r="F180" s="239"/>
      <c r="G180" s="618" t="s">
        <v>722</v>
      </c>
      <c r="H180" s="48"/>
      <c r="I180" s="678"/>
      <c r="J180" s="239"/>
      <c r="K180" s="618" t="s">
        <v>752</v>
      </c>
      <c r="L180" s="48"/>
      <c r="M180" s="678"/>
      <c r="N180" s="239"/>
      <c r="O180" s="618" t="s">
        <v>722</v>
      </c>
      <c r="P180" s="48"/>
      <c r="Q180" s="678"/>
      <c r="R180" s="239"/>
      <c r="S180" s="148" t="s">
        <v>723</v>
      </c>
      <c r="T180" s="148"/>
      <c r="U180" s="678"/>
      <c r="V180" s="239"/>
      <c r="W180" s="679"/>
      <c r="X180" s="148"/>
      <c r="Y180" s="678"/>
      <c r="Z180" s="239"/>
      <c r="AA180" s="679"/>
      <c r="AB180" s="148"/>
      <c r="AC180" s="678"/>
      <c r="AD180" s="678"/>
      <c r="AE180" s="680"/>
      <c r="AF180" s="678"/>
      <c r="AG180" s="678"/>
      <c r="AH180" s="678"/>
      <c r="AI180" s="681"/>
    </row>
    <row r="181" spans="1:35" ht="21" customHeight="1" x14ac:dyDescent="0.2">
      <c r="B181" s="273"/>
      <c r="C181" s="311"/>
      <c r="D181" s="72"/>
      <c r="G181" s="311"/>
      <c r="H181" s="72"/>
      <c r="K181" s="311"/>
      <c r="L181" s="72"/>
      <c r="O181" s="311"/>
      <c r="P181" s="72"/>
      <c r="S181" s="311"/>
      <c r="T181" s="311"/>
      <c r="X181" s="311"/>
      <c r="AB181" s="311"/>
      <c r="AE181" s="311"/>
    </row>
    <row r="182" spans="1:35" ht="21" customHeight="1" x14ac:dyDescent="0.2">
      <c r="A182" s="682" t="s">
        <v>638</v>
      </c>
    </row>
    <row r="183" spans="1:35" ht="21" customHeight="1" x14ac:dyDescent="0.2">
      <c r="A183" s="585"/>
      <c r="B183" s="296" t="s">
        <v>469</v>
      </c>
      <c r="C183" s="177">
        <v>1</v>
      </c>
      <c r="D183" s="177">
        <v>2</v>
      </c>
      <c r="E183" s="177">
        <v>3</v>
      </c>
      <c r="F183" s="177">
        <v>4</v>
      </c>
      <c r="G183" s="497">
        <v>5</v>
      </c>
      <c r="H183" s="497">
        <v>6</v>
      </c>
      <c r="I183" s="177">
        <v>7</v>
      </c>
      <c r="J183" s="177">
        <v>8</v>
      </c>
      <c r="K183" s="177">
        <v>9</v>
      </c>
      <c r="L183" s="177">
        <v>10</v>
      </c>
      <c r="M183" s="177">
        <v>11</v>
      </c>
      <c r="N183" s="497">
        <v>12</v>
      </c>
      <c r="O183" s="497">
        <v>13</v>
      </c>
      <c r="P183" s="177">
        <v>14</v>
      </c>
      <c r="Q183" s="177">
        <v>15</v>
      </c>
      <c r="R183" s="177">
        <v>16</v>
      </c>
      <c r="S183" s="177">
        <v>17</v>
      </c>
      <c r="T183" s="177">
        <v>18</v>
      </c>
      <c r="U183" s="497">
        <v>19</v>
      </c>
      <c r="V183" s="497">
        <v>20</v>
      </c>
      <c r="W183" s="177">
        <v>21</v>
      </c>
      <c r="X183" s="177">
        <v>22</v>
      </c>
      <c r="Y183" s="177">
        <v>23</v>
      </c>
      <c r="Z183" s="177">
        <v>24</v>
      </c>
      <c r="AA183" s="177">
        <v>25</v>
      </c>
      <c r="AB183" s="497">
        <v>26</v>
      </c>
      <c r="AC183" s="497">
        <v>27</v>
      </c>
      <c r="AD183" s="177">
        <v>28</v>
      </c>
      <c r="AE183" s="177">
        <v>29</v>
      </c>
      <c r="AF183" s="177">
        <v>30</v>
      </c>
      <c r="AG183" s="177"/>
      <c r="AH183" s="499" t="s">
        <v>470</v>
      </c>
      <c r="AI183" s="500" t="s">
        <v>471</v>
      </c>
    </row>
    <row r="184" spans="1:35" ht="21" customHeight="1" x14ac:dyDescent="0.2">
      <c r="A184" s="441">
        <v>3702</v>
      </c>
      <c r="B184" s="152" t="s">
        <v>639</v>
      </c>
      <c r="C184" s="587">
        <v>1</v>
      </c>
      <c r="D184" s="587">
        <v>1</v>
      </c>
      <c r="E184" s="587">
        <v>1</v>
      </c>
      <c r="F184" s="587">
        <v>1</v>
      </c>
      <c r="G184" s="587"/>
      <c r="H184" s="587"/>
      <c r="I184" s="1516">
        <v>2</v>
      </c>
      <c r="J184" s="1516">
        <v>2</v>
      </c>
      <c r="K184" s="1516" t="s">
        <v>703</v>
      </c>
      <c r="L184" s="587">
        <v>2</v>
      </c>
      <c r="M184" s="587">
        <v>2</v>
      </c>
      <c r="N184" s="587"/>
      <c r="O184" s="587"/>
      <c r="P184" s="587">
        <v>1</v>
      </c>
      <c r="Q184" s="587">
        <v>1</v>
      </c>
      <c r="R184" s="587">
        <v>1</v>
      </c>
      <c r="S184" s="587">
        <v>1</v>
      </c>
      <c r="T184" s="587">
        <v>1</v>
      </c>
      <c r="U184" s="587"/>
      <c r="V184" s="587"/>
      <c r="W184" s="587">
        <v>2</v>
      </c>
      <c r="X184" s="587">
        <v>2</v>
      </c>
      <c r="Y184" s="587">
        <v>2</v>
      </c>
      <c r="Z184" s="587">
        <v>2</v>
      </c>
      <c r="AA184" s="587">
        <v>2</v>
      </c>
      <c r="AB184" s="503"/>
      <c r="AC184" s="503"/>
      <c r="AD184" s="587">
        <v>1</v>
      </c>
      <c r="AE184" s="587">
        <v>1</v>
      </c>
      <c r="AF184" s="587">
        <v>1</v>
      </c>
      <c r="AG184" s="504"/>
      <c r="AH184" s="505">
        <v>72</v>
      </c>
      <c r="AI184" s="506">
        <v>0</v>
      </c>
    </row>
    <row r="185" spans="1:35" ht="21" customHeight="1" x14ac:dyDescent="0.2">
      <c r="A185" s="441">
        <v>3701</v>
      </c>
      <c r="B185" s="152" t="s">
        <v>640</v>
      </c>
      <c r="C185" s="587" t="s">
        <v>482</v>
      </c>
      <c r="D185" s="587" t="s">
        <v>482</v>
      </c>
      <c r="E185" s="587" t="s">
        <v>482</v>
      </c>
      <c r="F185" s="587" t="s">
        <v>482</v>
      </c>
      <c r="G185" s="587"/>
      <c r="H185" s="587"/>
      <c r="I185" s="587" t="s">
        <v>482</v>
      </c>
      <c r="J185" s="587" t="s">
        <v>482</v>
      </c>
      <c r="K185" s="587" t="s">
        <v>482</v>
      </c>
      <c r="L185" s="587" t="s">
        <v>482</v>
      </c>
      <c r="M185" s="587" t="s">
        <v>482</v>
      </c>
      <c r="N185" s="587"/>
      <c r="O185" s="587"/>
      <c r="P185" s="587" t="s">
        <v>482</v>
      </c>
      <c r="Q185" s="587" t="s">
        <v>482</v>
      </c>
      <c r="R185" s="587" t="s">
        <v>482</v>
      </c>
      <c r="S185" s="587" t="s">
        <v>482</v>
      </c>
      <c r="T185" s="587" t="s">
        <v>482</v>
      </c>
      <c r="U185" s="587"/>
      <c r="V185" s="587"/>
      <c r="W185" s="587" t="s">
        <v>482</v>
      </c>
      <c r="X185" s="587" t="s">
        <v>482</v>
      </c>
      <c r="Y185" s="587" t="s">
        <v>482</v>
      </c>
      <c r="Z185" s="587" t="s">
        <v>482</v>
      </c>
      <c r="AA185" s="1524" t="s">
        <v>482</v>
      </c>
      <c r="AB185" s="503"/>
      <c r="AC185" s="503"/>
      <c r="AD185" s="1516" t="s">
        <v>482</v>
      </c>
      <c r="AE185" s="1516" t="s">
        <v>482</v>
      </c>
      <c r="AF185" s="1516" t="s">
        <v>482</v>
      </c>
      <c r="AG185" s="503"/>
      <c r="AH185" s="505">
        <v>74</v>
      </c>
      <c r="AI185" s="506">
        <v>37</v>
      </c>
    </row>
    <row r="186" spans="1:35" ht="21" customHeight="1" x14ac:dyDescent="0.2">
      <c r="A186" s="441">
        <v>3702</v>
      </c>
      <c r="B186" s="152" t="s">
        <v>641</v>
      </c>
      <c r="C186" s="587">
        <v>2</v>
      </c>
      <c r="D186" s="587">
        <v>2</v>
      </c>
      <c r="E186" s="587">
        <v>2</v>
      </c>
      <c r="F186" s="587">
        <v>2</v>
      </c>
      <c r="G186" s="587"/>
      <c r="H186" s="587"/>
      <c r="I186" s="587">
        <v>1</v>
      </c>
      <c r="J186" s="587">
        <v>1</v>
      </c>
      <c r="K186" s="587">
        <v>1</v>
      </c>
      <c r="L186" s="587">
        <v>1</v>
      </c>
      <c r="M186" s="587">
        <v>1</v>
      </c>
      <c r="N186" s="587"/>
      <c r="O186" s="587"/>
      <c r="P186" s="587">
        <v>2</v>
      </c>
      <c r="Q186" s="1516">
        <v>2</v>
      </c>
      <c r="R186" s="1516">
        <v>2</v>
      </c>
      <c r="S186" s="1516">
        <v>2</v>
      </c>
      <c r="T186" s="1516">
        <v>2</v>
      </c>
      <c r="U186" s="1516"/>
      <c r="V186" s="1516"/>
      <c r="W186" s="1516">
        <v>1</v>
      </c>
      <c r="X186" s="1516">
        <v>1</v>
      </c>
      <c r="Y186" s="1516" t="s">
        <v>737</v>
      </c>
      <c r="Z186" s="587">
        <v>1</v>
      </c>
      <c r="AA186" s="587">
        <v>1</v>
      </c>
      <c r="AB186" s="503"/>
      <c r="AC186" s="503"/>
      <c r="AD186" s="587">
        <v>2</v>
      </c>
      <c r="AE186" s="587">
        <v>2</v>
      </c>
      <c r="AF186" s="587">
        <v>2</v>
      </c>
      <c r="AG186" s="503"/>
      <c r="AH186" s="505">
        <v>65</v>
      </c>
      <c r="AI186" s="506">
        <v>37</v>
      </c>
    </row>
    <row r="187" spans="1:35" ht="21" customHeight="1" x14ac:dyDescent="0.2">
      <c r="A187" s="683"/>
      <c r="B187" s="552"/>
      <c r="C187" s="503"/>
      <c r="D187" s="503"/>
      <c r="E187" s="503"/>
      <c r="F187" s="503"/>
      <c r="G187" s="503"/>
      <c r="H187" s="503"/>
      <c r="I187" s="503"/>
      <c r="J187" s="503"/>
      <c r="K187" s="503"/>
      <c r="L187" s="503"/>
      <c r="M187" s="503"/>
      <c r="N187" s="503"/>
      <c r="O187" s="503"/>
      <c r="P187" s="503"/>
      <c r="Q187" s="503"/>
      <c r="R187" s="503"/>
      <c r="S187" s="503"/>
      <c r="T187" s="503"/>
      <c r="U187" s="503"/>
      <c r="V187" s="503"/>
      <c r="W187" s="503"/>
      <c r="X187" s="503"/>
      <c r="Y187" s="503"/>
      <c r="Z187" s="503"/>
      <c r="AA187" s="503"/>
      <c r="AB187" s="503"/>
      <c r="AC187" s="503"/>
      <c r="AD187" s="503"/>
      <c r="AE187" s="503"/>
      <c r="AF187" s="503"/>
      <c r="AG187" s="503"/>
      <c r="AH187" s="505"/>
      <c r="AI187" s="506"/>
    </row>
    <row r="188" spans="1:35" ht="21" customHeight="1" x14ac:dyDescent="0.2">
      <c r="A188" s="684"/>
      <c r="B188" s="685" t="s">
        <v>642</v>
      </c>
      <c r="C188" s="686"/>
      <c r="D188" s="686"/>
      <c r="E188" s="686"/>
      <c r="F188" s="686"/>
      <c r="G188" s="686"/>
      <c r="H188" s="686"/>
      <c r="I188" s="686"/>
      <c r="J188" s="686"/>
      <c r="K188" s="686"/>
      <c r="L188" s="686"/>
      <c r="M188" s="686"/>
      <c r="N188" s="686"/>
      <c r="O188" s="686"/>
      <c r="P188" s="686"/>
      <c r="Q188" s="686"/>
      <c r="R188" s="686"/>
      <c r="S188" s="686"/>
      <c r="T188" s="686"/>
      <c r="U188" s="686"/>
      <c r="V188" s="686"/>
      <c r="W188" s="686"/>
      <c r="X188" s="686"/>
      <c r="Y188" s="686"/>
      <c r="Z188" s="686"/>
      <c r="AA188" s="686"/>
      <c r="AB188" s="686"/>
      <c r="AC188" s="686"/>
      <c r="AD188" s="686"/>
      <c r="AE188" s="686"/>
      <c r="AF188" s="686"/>
      <c r="AG188" s="687"/>
      <c r="AH188" s="688"/>
      <c r="AI188" s="689"/>
    </row>
    <row r="189" spans="1:35" ht="21" customHeight="1" x14ac:dyDescent="0.2">
      <c r="A189" s="441">
        <v>3702</v>
      </c>
      <c r="B189" s="133" t="s">
        <v>724</v>
      </c>
      <c r="C189" s="587" t="s">
        <v>644</v>
      </c>
      <c r="D189" s="587" t="s">
        <v>644</v>
      </c>
      <c r="E189" s="587" t="s">
        <v>644</v>
      </c>
      <c r="F189" s="587" t="s">
        <v>644</v>
      </c>
      <c r="G189" s="587"/>
      <c r="H189" s="587"/>
      <c r="I189" s="587" t="s">
        <v>643</v>
      </c>
      <c r="J189" s="587" t="s">
        <v>643</v>
      </c>
      <c r="K189" s="587" t="s">
        <v>643</v>
      </c>
      <c r="L189" s="587" t="s">
        <v>643</v>
      </c>
      <c r="M189" s="587" t="s">
        <v>643</v>
      </c>
      <c r="N189" s="587"/>
      <c r="O189" s="587"/>
      <c r="P189" s="587" t="s">
        <v>596</v>
      </c>
      <c r="Q189" s="587" t="s">
        <v>596</v>
      </c>
      <c r="R189" s="587" t="s">
        <v>596</v>
      </c>
      <c r="S189" s="587" t="s">
        <v>596</v>
      </c>
      <c r="T189" s="587" t="s">
        <v>596</v>
      </c>
      <c r="U189" s="587"/>
      <c r="V189" s="587"/>
      <c r="W189" s="587" t="s">
        <v>644</v>
      </c>
      <c r="X189" s="587" t="s">
        <v>644</v>
      </c>
      <c r="Y189" s="587" t="s">
        <v>644</v>
      </c>
      <c r="Z189" s="587" t="s">
        <v>644</v>
      </c>
      <c r="AA189" s="587" t="s">
        <v>644</v>
      </c>
      <c r="AB189" s="587"/>
      <c r="AC189" s="587"/>
      <c r="AD189" s="1524" t="s">
        <v>643</v>
      </c>
      <c r="AE189" s="1524" t="s">
        <v>643</v>
      </c>
      <c r="AF189" s="1524" t="s">
        <v>643</v>
      </c>
      <c r="AG189" s="154"/>
      <c r="AH189" s="505">
        <v>74</v>
      </c>
      <c r="AI189" s="506">
        <v>37</v>
      </c>
    </row>
    <row r="190" spans="1:35" ht="21" customHeight="1" x14ac:dyDescent="0.2">
      <c r="A190" s="441"/>
      <c r="B190" s="152" t="s">
        <v>645</v>
      </c>
      <c r="C190" s="587" t="s">
        <v>643</v>
      </c>
      <c r="D190" s="587" t="s">
        <v>643</v>
      </c>
      <c r="E190" s="587" t="s">
        <v>643</v>
      </c>
      <c r="F190" s="587" t="s">
        <v>643</v>
      </c>
      <c r="G190" s="587"/>
      <c r="H190" s="587"/>
      <c r="I190" s="587" t="s">
        <v>596</v>
      </c>
      <c r="J190" s="587" t="s">
        <v>596</v>
      </c>
      <c r="K190" s="587" t="s">
        <v>596</v>
      </c>
      <c r="L190" s="587" t="s">
        <v>596</v>
      </c>
      <c r="M190" s="587" t="s">
        <v>596</v>
      </c>
      <c r="N190" s="587"/>
      <c r="O190" s="587"/>
      <c r="P190" s="587" t="s">
        <v>644</v>
      </c>
      <c r="Q190" s="587" t="s">
        <v>644</v>
      </c>
      <c r="R190" s="587" t="s">
        <v>644</v>
      </c>
      <c r="S190" s="587" t="s">
        <v>644</v>
      </c>
      <c r="T190" s="587" t="s">
        <v>644</v>
      </c>
      <c r="U190" s="587"/>
      <c r="V190" s="587"/>
      <c r="W190" s="587" t="s">
        <v>643</v>
      </c>
      <c r="X190" s="587" t="s">
        <v>643</v>
      </c>
      <c r="Y190" s="587" t="s">
        <v>643</v>
      </c>
      <c r="Z190" s="587" t="s">
        <v>643</v>
      </c>
      <c r="AA190" s="587" t="s">
        <v>643</v>
      </c>
      <c r="AB190" s="587"/>
      <c r="AC190" s="587"/>
      <c r="AD190" s="587" t="s">
        <v>596</v>
      </c>
      <c r="AE190" s="587" t="s">
        <v>596</v>
      </c>
      <c r="AF190" s="587" t="s">
        <v>596</v>
      </c>
      <c r="AG190" s="154"/>
      <c r="AH190" s="505">
        <v>97</v>
      </c>
      <c r="AI190" s="506">
        <v>37</v>
      </c>
    </row>
    <row r="191" spans="1:35" ht="21" customHeight="1" x14ac:dyDescent="0.2">
      <c r="A191" s="441"/>
      <c r="B191" s="152" t="s">
        <v>646</v>
      </c>
      <c r="C191" s="587" t="s">
        <v>596</v>
      </c>
      <c r="D191" s="587" t="s">
        <v>596</v>
      </c>
      <c r="E191" s="587" t="s">
        <v>596</v>
      </c>
      <c r="F191" s="587" t="s">
        <v>596</v>
      </c>
      <c r="G191" s="587"/>
      <c r="H191" s="587"/>
      <c r="I191" s="587" t="s">
        <v>644</v>
      </c>
      <c r="J191" s="587" t="s">
        <v>644</v>
      </c>
      <c r="K191" s="587" t="s">
        <v>644</v>
      </c>
      <c r="L191" s="587" t="s">
        <v>644</v>
      </c>
      <c r="M191" s="587" t="s">
        <v>644</v>
      </c>
      <c r="N191" s="587"/>
      <c r="O191" s="587"/>
      <c r="P191" s="587" t="s">
        <v>643</v>
      </c>
      <c r="Q191" s="587" t="s">
        <v>643</v>
      </c>
      <c r="R191" s="587" t="s">
        <v>643</v>
      </c>
      <c r="S191" s="587" t="s">
        <v>643</v>
      </c>
      <c r="T191" s="587" t="s">
        <v>643</v>
      </c>
      <c r="U191" s="587"/>
      <c r="V191" s="587"/>
      <c r="W191" s="587" t="s">
        <v>596</v>
      </c>
      <c r="X191" s="587" t="s">
        <v>596</v>
      </c>
      <c r="Y191" s="587" t="s">
        <v>596</v>
      </c>
      <c r="Z191" s="587" t="s">
        <v>596</v>
      </c>
      <c r="AA191" s="587" t="s">
        <v>596</v>
      </c>
      <c r="AB191" s="587"/>
      <c r="AC191" s="587"/>
      <c r="AD191" s="587" t="s">
        <v>644</v>
      </c>
      <c r="AE191" s="587" t="s">
        <v>644</v>
      </c>
      <c r="AF191" s="587" t="s">
        <v>644</v>
      </c>
      <c r="AG191" s="154"/>
      <c r="AH191" s="505">
        <v>74</v>
      </c>
      <c r="AI191" s="506">
        <v>37</v>
      </c>
    </row>
    <row r="192" spans="1:35" ht="21" customHeight="1" x14ac:dyDescent="0.2"/>
    <row r="193" spans="1:36" ht="21" customHeight="1" x14ac:dyDescent="0.2"/>
    <row r="194" spans="1:36" ht="21" customHeight="1" x14ac:dyDescent="0.2">
      <c r="A194" s="1" t="s">
        <v>647</v>
      </c>
    </row>
    <row r="195" spans="1:36" ht="21" customHeight="1" x14ac:dyDescent="0.2">
      <c r="B195" s="200" t="s">
        <v>604</v>
      </c>
      <c r="C195" s="7"/>
      <c r="D195" s="530" t="s">
        <v>2</v>
      </c>
      <c r="E195" s="51"/>
      <c r="F195" s="573"/>
      <c r="G195" s="7"/>
      <c r="H195" s="530" t="s">
        <v>3</v>
      </c>
      <c r="I195" s="51"/>
      <c r="J195" s="573"/>
      <c r="K195" s="7"/>
      <c r="L195" s="530" t="s">
        <v>4</v>
      </c>
      <c r="M195" s="51"/>
      <c r="N195" s="573"/>
      <c r="O195" s="7"/>
      <c r="P195" s="530" t="s">
        <v>5</v>
      </c>
      <c r="Q195" s="51"/>
      <c r="R195" s="573"/>
      <c r="S195" s="7"/>
      <c r="T195" s="530" t="s">
        <v>6</v>
      </c>
      <c r="U195" s="51"/>
      <c r="V195" s="573"/>
      <c r="W195" s="7"/>
      <c r="X195" s="530" t="s">
        <v>7</v>
      </c>
      <c r="Y195" s="51"/>
      <c r="Z195" s="573"/>
      <c r="AA195" s="7"/>
      <c r="AB195" s="530" t="s">
        <v>8</v>
      </c>
      <c r="AC195" s="51"/>
      <c r="AD195" s="51"/>
      <c r="AE195" s="424" t="s">
        <v>10</v>
      </c>
      <c r="AF195" s="51"/>
      <c r="AG195" s="51"/>
      <c r="AH195" s="51"/>
      <c r="AI195" s="531"/>
    </row>
    <row r="196" spans="1:36" ht="21" customHeight="1" x14ac:dyDescent="0.2">
      <c r="B196" s="9">
        <v>8500</v>
      </c>
      <c r="C196" s="121" t="s">
        <v>33</v>
      </c>
      <c r="D196" s="659"/>
      <c r="E196" s="55"/>
      <c r="F196" s="580"/>
      <c r="G196" s="121" t="s">
        <v>33</v>
      </c>
      <c r="H196" s="659"/>
      <c r="I196" s="55"/>
      <c r="J196" s="580"/>
      <c r="K196" s="121" t="s">
        <v>33</v>
      </c>
      <c r="L196" s="659"/>
      <c r="M196" s="55"/>
      <c r="N196" s="580"/>
      <c r="O196" s="121" t="s">
        <v>33</v>
      </c>
      <c r="P196" s="659"/>
      <c r="Q196" s="55"/>
      <c r="R196" s="580"/>
      <c r="S196" s="121" t="s">
        <v>34</v>
      </c>
      <c r="T196" s="659"/>
      <c r="U196" s="55"/>
      <c r="V196" s="580"/>
      <c r="W196" s="14"/>
      <c r="X196" s="659"/>
      <c r="Y196" s="55"/>
      <c r="Z196" s="580"/>
      <c r="AA196" s="14"/>
      <c r="AB196" s="659"/>
      <c r="AC196" s="55"/>
      <c r="AD196" s="55"/>
      <c r="AE196" s="660"/>
      <c r="AF196" s="55"/>
      <c r="AG196" s="55"/>
      <c r="AH196" s="55"/>
      <c r="AI196" s="661"/>
      <c r="AJ196" s="1532"/>
    </row>
    <row r="197" spans="1:36" ht="21" customHeight="1" x14ac:dyDescent="0.2">
      <c r="B197" s="162" t="s">
        <v>648</v>
      </c>
      <c r="C197" s="690" t="s">
        <v>649</v>
      </c>
      <c r="D197" s="607"/>
      <c r="E197" s="678"/>
      <c r="F197" s="239"/>
      <c r="G197" s="690" t="s">
        <v>649</v>
      </c>
      <c r="H197" s="148"/>
      <c r="I197" s="678"/>
      <c r="J197" s="239"/>
      <c r="K197" s="690" t="s">
        <v>649</v>
      </c>
      <c r="L197" s="148"/>
      <c r="M197" s="678"/>
      <c r="N197" s="239"/>
      <c r="O197" s="690" t="s">
        <v>650</v>
      </c>
      <c r="P197" s="148"/>
      <c r="Q197" s="678"/>
      <c r="R197" s="239"/>
      <c r="S197" s="690" t="s">
        <v>16</v>
      </c>
      <c r="T197" s="148"/>
      <c r="U197" s="678"/>
      <c r="V197" s="239"/>
      <c r="W197" s="679"/>
      <c r="X197" s="148"/>
      <c r="Y197" s="678"/>
      <c r="Z197" s="239"/>
      <c r="AA197" s="679"/>
      <c r="AB197" s="148"/>
      <c r="AC197" s="678"/>
      <c r="AD197" s="678"/>
      <c r="AE197" s="680"/>
      <c r="AF197" s="678"/>
      <c r="AG197" s="678"/>
      <c r="AH197" s="678"/>
      <c r="AI197" s="681"/>
    </row>
    <row r="198" spans="1:36" ht="21" customHeight="1" x14ac:dyDescent="0.2">
      <c r="A198" s="60" t="s">
        <v>651</v>
      </c>
    </row>
    <row r="199" spans="1:36" ht="21" customHeight="1" x14ac:dyDescent="0.2">
      <c r="A199" s="691"/>
      <c r="B199" s="296" t="s">
        <v>469</v>
      </c>
      <c r="C199" s="177">
        <v>1</v>
      </c>
      <c r="D199" s="177">
        <v>2</v>
      </c>
      <c r="E199" s="177">
        <v>3</v>
      </c>
      <c r="F199" s="177">
        <v>4</v>
      </c>
      <c r="G199" s="497">
        <v>5</v>
      </c>
      <c r="H199" s="497">
        <v>6</v>
      </c>
      <c r="I199" s="177">
        <v>7</v>
      </c>
      <c r="J199" s="177">
        <v>8</v>
      </c>
      <c r="K199" s="177">
        <v>9</v>
      </c>
      <c r="L199" s="177">
        <v>10</v>
      </c>
      <c r="M199" s="177">
        <v>11</v>
      </c>
      <c r="N199" s="497">
        <v>12</v>
      </c>
      <c r="O199" s="497">
        <v>13</v>
      </c>
      <c r="P199" s="177">
        <v>14</v>
      </c>
      <c r="Q199" s="177">
        <v>15</v>
      </c>
      <c r="R199" s="177">
        <v>16</v>
      </c>
      <c r="S199" s="177">
        <v>17</v>
      </c>
      <c r="T199" s="177">
        <v>18</v>
      </c>
      <c r="U199" s="497">
        <v>19</v>
      </c>
      <c r="V199" s="497">
        <v>20</v>
      </c>
      <c r="W199" s="177">
        <v>21</v>
      </c>
      <c r="X199" s="177">
        <v>22</v>
      </c>
      <c r="Y199" s="177">
        <v>23</v>
      </c>
      <c r="Z199" s="177">
        <v>24</v>
      </c>
      <c r="AA199" s="177">
        <v>25</v>
      </c>
      <c r="AB199" s="497">
        <v>26</v>
      </c>
      <c r="AC199" s="497">
        <v>27</v>
      </c>
      <c r="AD199" s="177">
        <v>28</v>
      </c>
      <c r="AE199" s="177">
        <v>29</v>
      </c>
      <c r="AF199" s="177">
        <v>30</v>
      </c>
      <c r="AG199" s="177"/>
      <c r="AH199" s="499" t="s">
        <v>470</v>
      </c>
      <c r="AI199" s="500" t="s">
        <v>471</v>
      </c>
    </row>
    <row r="200" spans="1:36" ht="21" customHeight="1" x14ac:dyDescent="0.2">
      <c r="A200" s="154">
        <v>8500</v>
      </c>
      <c r="B200" s="692" t="s">
        <v>652</v>
      </c>
      <c r="C200" s="1510" t="s">
        <v>552</v>
      </c>
      <c r="D200" s="1510" t="s">
        <v>617</v>
      </c>
      <c r="E200" s="503" t="s">
        <v>552</v>
      </c>
      <c r="F200" s="503" t="s">
        <v>552</v>
      </c>
      <c r="G200" s="503"/>
      <c r="H200" s="503"/>
      <c r="I200" s="503" t="s">
        <v>552</v>
      </c>
      <c r="J200" s="503" t="s">
        <v>552</v>
      </c>
      <c r="K200" s="503" t="s">
        <v>552</v>
      </c>
      <c r="L200" s="503" t="s">
        <v>552</v>
      </c>
      <c r="M200" s="503" t="s">
        <v>552</v>
      </c>
      <c r="N200" s="503"/>
      <c r="O200" s="503"/>
      <c r="P200" s="503" t="s">
        <v>552</v>
      </c>
      <c r="Q200" s="503" t="s">
        <v>552</v>
      </c>
      <c r="R200" s="503" t="s">
        <v>552</v>
      </c>
      <c r="S200" s="1531" t="s">
        <v>552</v>
      </c>
      <c r="T200" s="503" t="s">
        <v>552</v>
      </c>
      <c r="U200" s="503"/>
      <c r="V200" s="503"/>
      <c r="W200" s="503" t="s">
        <v>552</v>
      </c>
      <c r="X200" s="503" t="s">
        <v>552</v>
      </c>
      <c r="Y200" s="503" t="s">
        <v>552</v>
      </c>
      <c r="Z200" s="503" t="s">
        <v>552</v>
      </c>
      <c r="AA200" s="503" t="s">
        <v>552</v>
      </c>
      <c r="AB200" s="503"/>
      <c r="AC200" s="503"/>
      <c r="AD200" s="503" t="s">
        <v>552</v>
      </c>
      <c r="AE200" s="503" t="s">
        <v>552</v>
      </c>
      <c r="AF200" s="503" t="s">
        <v>552</v>
      </c>
      <c r="AG200" s="503"/>
      <c r="AH200" s="693">
        <v>111</v>
      </c>
      <c r="AI200" s="694">
        <v>37</v>
      </c>
    </row>
    <row r="201" spans="1:36" ht="21" customHeight="1" x14ac:dyDescent="0.2">
      <c r="A201" s="501" t="s">
        <v>653</v>
      </c>
      <c r="B201" s="152" t="s">
        <v>654</v>
      </c>
      <c r="C201" s="503" t="s">
        <v>552</v>
      </c>
      <c r="D201" s="1510" t="s">
        <v>552</v>
      </c>
      <c r="E201" s="1510" t="s">
        <v>552</v>
      </c>
      <c r="F201" s="1510" t="s">
        <v>617</v>
      </c>
      <c r="G201" s="503"/>
      <c r="H201" s="503"/>
      <c r="I201" s="503" t="s">
        <v>552</v>
      </c>
      <c r="J201" s="503" t="s">
        <v>552</v>
      </c>
      <c r="K201" s="503" t="s">
        <v>552</v>
      </c>
      <c r="L201" s="503" t="s">
        <v>552</v>
      </c>
      <c r="M201" s="503" t="s">
        <v>552</v>
      </c>
      <c r="N201" s="503"/>
      <c r="O201" s="503"/>
      <c r="P201" s="503" t="s">
        <v>552</v>
      </c>
      <c r="Q201" s="503" t="s">
        <v>552</v>
      </c>
      <c r="R201" s="503" t="s">
        <v>552</v>
      </c>
      <c r="S201" s="503" t="s">
        <v>552</v>
      </c>
      <c r="T201" s="503" t="s">
        <v>552</v>
      </c>
      <c r="U201" s="503"/>
      <c r="V201" s="503"/>
      <c r="W201" s="503" t="s">
        <v>552</v>
      </c>
      <c r="X201" s="503" t="s">
        <v>552</v>
      </c>
      <c r="Y201" s="503" t="s">
        <v>552</v>
      </c>
      <c r="Z201" s="503" t="s">
        <v>552</v>
      </c>
      <c r="AA201" s="503" t="s">
        <v>552</v>
      </c>
      <c r="AB201" s="503"/>
      <c r="AC201" s="503"/>
      <c r="AD201" s="503" t="s">
        <v>552</v>
      </c>
      <c r="AE201" s="503" t="s">
        <v>552</v>
      </c>
      <c r="AF201" s="503" t="s">
        <v>552</v>
      </c>
      <c r="AG201" s="503"/>
      <c r="AH201" s="693">
        <v>33</v>
      </c>
      <c r="AI201" s="694">
        <v>37</v>
      </c>
    </row>
    <row r="202" spans="1:36" ht="21" customHeight="1" x14ac:dyDescent="0.2">
      <c r="A202" s="152">
        <v>8500</v>
      </c>
      <c r="B202" s="152" t="s">
        <v>655</v>
      </c>
      <c r="C202" s="503" t="s">
        <v>552</v>
      </c>
      <c r="D202" s="503" t="s">
        <v>552</v>
      </c>
      <c r="E202" s="503" t="s">
        <v>552</v>
      </c>
      <c r="F202" s="503" t="s">
        <v>552</v>
      </c>
      <c r="G202" s="503"/>
      <c r="H202" s="503"/>
      <c r="I202" s="503" t="s">
        <v>552</v>
      </c>
      <c r="J202" s="503" t="s">
        <v>552</v>
      </c>
      <c r="K202" s="503" t="s">
        <v>552</v>
      </c>
      <c r="L202" s="503" t="s">
        <v>552</v>
      </c>
      <c r="M202" s="503" t="s">
        <v>552</v>
      </c>
      <c r="N202" s="503"/>
      <c r="O202" s="503"/>
      <c r="P202" s="503" t="s">
        <v>552</v>
      </c>
      <c r="Q202" s="503" t="s">
        <v>552</v>
      </c>
      <c r="R202" s="503" t="s">
        <v>552</v>
      </c>
      <c r="S202" s="503" t="s">
        <v>552</v>
      </c>
      <c r="T202" s="503" t="s">
        <v>552</v>
      </c>
      <c r="U202" s="503"/>
      <c r="V202" s="503"/>
      <c r="W202" s="503" t="s">
        <v>552</v>
      </c>
      <c r="X202" s="503" t="s">
        <v>552</v>
      </c>
      <c r="Y202" s="503" t="s">
        <v>552</v>
      </c>
      <c r="Z202" s="503" t="s">
        <v>552</v>
      </c>
      <c r="AA202" s="503" t="s">
        <v>552</v>
      </c>
      <c r="AB202" s="503"/>
      <c r="AC202" s="503"/>
      <c r="AD202" s="503" t="s">
        <v>552</v>
      </c>
      <c r="AE202" s="503" t="s">
        <v>552</v>
      </c>
      <c r="AF202" s="503" t="s">
        <v>552</v>
      </c>
      <c r="AG202" s="503"/>
      <c r="AH202" s="693">
        <v>74</v>
      </c>
      <c r="AI202" s="694">
        <v>37</v>
      </c>
    </row>
    <row r="203" spans="1:36" ht="21.95" customHeight="1" x14ac:dyDescent="0.2">
      <c r="A203" s="441"/>
      <c r="B203" s="152" t="s">
        <v>656</v>
      </c>
      <c r="C203" s="503" t="s">
        <v>552</v>
      </c>
      <c r="D203" s="503" t="s">
        <v>552</v>
      </c>
      <c r="E203" s="503" t="s">
        <v>552</v>
      </c>
      <c r="F203" s="503" t="s">
        <v>552</v>
      </c>
      <c r="G203" s="503"/>
      <c r="H203" s="503"/>
      <c r="I203" s="503" t="s">
        <v>552</v>
      </c>
      <c r="J203" s="503" t="s">
        <v>552</v>
      </c>
      <c r="K203" s="503" t="s">
        <v>552</v>
      </c>
      <c r="L203" s="503" t="s">
        <v>552</v>
      </c>
      <c r="M203" s="503" t="s">
        <v>552</v>
      </c>
      <c r="N203" s="503"/>
      <c r="O203" s="503"/>
      <c r="P203" s="503" t="s">
        <v>552</v>
      </c>
      <c r="Q203" s="503" t="s">
        <v>552</v>
      </c>
      <c r="R203" s="503" t="s">
        <v>552</v>
      </c>
      <c r="S203" s="503" t="s">
        <v>552</v>
      </c>
      <c r="T203" s="503" t="s">
        <v>552</v>
      </c>
      <c r="U203" s="503"/>
      <c r="V203" s="503"/>
      <c r="W203" s="503" t="s">
        <v>552</v>
      </c>
      <c r="X203" s="503" t="s">
        <v>552</v>
      </c>
      <c r="Y203" s="503" t="s">
        <v>552</v>
      </c>
      <c r="Z203" s="503" t="s">
        <v>552</v>
      </c>
      <c r="AA203" s="503" t="s">
        <v>552</v>
      </c>
      <c r="AB203" s="503"/>
      <c r="AC203" s="503"/>
      <c r="AD203" s="503" t="s">
        <v>552</v>
      </c>
      <c r="AE203" s="503" t="s">
        <v>552</v>
      </c>
      <c r="AF203" s="503" t="s">
        <v>552</v>
      </c>
      <c r="AG203" s="503"/>
      <c r="AH203" s="693">
        <v>111</v>
      </c>
      <c r="AI203" s="694">
        <v>37</v>
      </c>
    </row>
    <row r="204" spans="1:36" ht="21.95" customHeight="1" x14ac:dyDescent="0.2">
      <c r="A204" s="512">
        <v>3350</v>
      </c>
      <c r="B204" s="54" t="s">
        <v>657</v>
      </c>
      <c r="C204" s="503" t="s">
        <v>552</v>
      </c>
      <c r="D204" s="503" t="s">
        <v>552</v>
      </c>
      <c r="E204" s="503" t="s">
        <v>552</v>
      </c>
      <c r="F204" s="503" t="s">
        <v>552</v>
      </c>
      <c r="G204" s="503"/>
      <c r="H204" s="503"/>
      <c r="I204" s="503" t="s">
        <v>552</v>
      </c>
      <c r="J204" s="503" t="s">
        <v>552</v>
      </c>
      <c r="K204" s="503" t="s">
        <v>552</v>
      </c>
      <c r="L204" s="503" t="s">
        <v>552</v>
      </c>
      <c r="M204" s="503" t="s">
        <v>552</v>
      </c>
      <c r="N204" s="503"/>
      <c r="O204" s="503"/>
      <c r="P204" s="503" t="s">
        <v>552</v>
      </c>
      <c r="Q204" s="503" t="s">
        <v>552</v>
      </c>
      <c r="R204" s="503" t="s">
        <v>552</v>
      </c>
      <c r="S204" s="503" t="s">
        <v>552</v>
      </c>
      <c r="T204" s="503" t="s">
        <v>552</v>
      </c>
      <c r="U204" s="503"/>
      <c r="V204" s="503"/>
      <c r="W204" s="503" t="s">
        <v>552</v>
      </c>
      <c r="X204" s="503" t="s">
        <v>552</v>
      </c>
      <c r="Y204" s="503" t="s">
        <v>552</v>
      </c>
      <c r="Z204" s="503" t="s">
        <v>552</v>
      </c>
      <c r="AA204" s="503" t="s">
        <v>552</v>
      </c>
      <c r="AB204" s="503"/>
      <c r="AC204" s="503"/>
      <c r="AD204" s="503" t="s">
        <v>552</v>
      </c>
      <c r="AE204" s="503" t="s">
        <v>552</v>
      </c>
      <c r="AF204" s="503" t="s">
        <v>552</v>
      </c>
      <c r="AG204" s="503"/>
      <c r="AH204" s="693">
        <v>23</v>
      </c>
      <c r="AI204" s="694">
        <v>37</v>
      </c>
    </row>
    <row r="205" spans="1:36" ht="21.95" customHeight="1" x14ac:dyDescent="0.2">
      <c r="A205" s="524">
        <v>3701</v>
      </c>
      <c r="B205" s="152" t="s">
        <v>658</v>
      </c>
      <c r="C205" s="503" t="s">
        <v>552</v>
      </c>
      <c r="D205" s="503" t="s">
        <v>552</v>
      </c>
      <c r="E205" s="503" t="s">
        <v>552</v>
      </c>
      <c r="F205" s="503" t="s">
        <v>552</v>
      </c>
      <c r="G205" s="503"/>
      <c r="H205" s="503"/>
      <c r="I205" s="503" t="s">
        <v>552</v>
      </c>
      <c r="J205" s="503" t="s">
        <v>552</v>
      </c>
      <c r="K205" s="503" t="s">
        <v>552</v>
      </c>
      <c r="L205" s="503" t="s">
        <v>552</v>
      </c>
      <c r="M205" s="503" t="s">
        <v>552</v>
      </c>
      <c r="N205" s="503"/>
      <c r="O205" s="503"/>
      <c r="P205" s="503" t="s">
        <v>552</v>
      </c>
      <c r="Q205" s="503" t="s">
        <v>552</v>
      </c>
      <c r="R205" s="503" t="s">
        <v>552</v>
      </c>
      <c r="S205" s="503" t="s">
        <v>552</v>
      </c>
      <c r="T205" s="503" t="s">
        <v>552</v>
      </c>
      <c r="U205" s="503"/>
      <c r="V205" s="503"/>
      <c r="W205" s="503" t="s">
        <v>552</v>
      </c>
      <c r="X205" s="503" t="s">
        <v>552</v>
      </c>
      <c r="Y205" s="503" t="s">
        <v>552</v>
      </c>
      <c r="Z205" s="503" t="s">
        <v>552</v>
      </c>
      <c r="AA205" s="503" t="s">
        <v>552</v>
      </c>
      <c r="AB205" s="503"/>
      <c r="AC205" s="503"/>
      <c r="AD205" s="1058" t="s">
        <v>552</v>
      </c>
      <c r="AE205" s="503" t="s">
        <v>552</v>
      </c>
      <c r="AF205" s="503" t="s">
        <v>552</v>
      </c>
      <c r="AG205" s="503"/>
      <c r="AH205" s="705">
        <v>111</v>
      </c>
      <c r="AI205" s="706">
        <v>37</v>
      </c>
    </row>
    <row r="206" spans="1:36" ht="25.5" customHeight="1" x14ac:dyDescent="0.2">
      <c r="A206" s="1" t="s">
        <v>683</v>
      </c>
    </row>
    <row r="207" spans="1:36" ht="21" customHeight="1" x14ac:dyDescent="0.2">
      <c r="A207" s="1"/>
      <c r="B207" s="200" t="s">
        <v>604</v>
      </c>
      <c r="C207" s="7"/>
      <c r="D207" s="530" t="s">
        <v>2</v>
      </c>
      <c r="E207" s="51"/>
      <c r="F207" s="573"/>
      <c r="G207" s="7"/>
      <c r="H207" s="530" t="s">
        <v>3</v>
      </c>
      <c r="I207" s="51"/>
      <c r="J207" s="573"/>
      <c r="K207" s="7"/>
      <c r="L207" s="530" t="s">
        <v>4</v>
      </c>
      <c r="M207" s="51"/>
      <c r="N207" s="573"/>
      <c r="O207" s="7"/>
      <c r="P207" s="530" t="s">
        <v>5</v>
      </c>
      <c r="Q207" s="51"/>
      <c r="R207" s="573"/>
      <c r="S207" s="7"/>
      <c r="T207" s="530" t="s">
        <v>6</v>
      </c>
      <c r="U207" s="51"/>
      <c r="V207" s="573"/>
      <c r="W207" s="7"/>
      <c r="X207" s="530" t="s">
        <v>7</v>
      </c>
      <c r="Y207" s="51"/>
      <c r="Z207" s="573"/>
      <c r="AA207" s="7"/>
      <c r="AB207" s="530" t="s">
        <v>8</v>
      </c>
      <c r="AC207" s="51"/>
      <c r="AD207" s="51"/>
      <c r="AE207" s="424" t="s">
        <v>10</v>
      </c>
      <c r="AF207" s="51"/>
      <c r="AG207" s="51"/>
      <c r="AH207" s="51"/>
      <c r="AI207" s="531"/>
    </row>
    <row r="208" spans="1:36" ht="21" customHeight="1" x14ac:dyDescent="0.2">
      <c r="A208" s="1"/>
      <c r="B208" s="9"/>
      <c r="C208" s="14"/>
      <c r="D208" s="659"/>
      <c r="E208" s="55"/>
      <c r="F208" s="580"/>
      <c r="G208" s="14"/>
      <c r="H208" s="659"/>
      <c r="I208" s="55"/>
      <c r="J208" s="580"/>
      <c r="K208" s="14"/>
      <c r="L208" s="659"/>
      <c r="M208" s="55"/>
      <c r="N208" s="580"/>
      <c r="O208" s="14"/>
      <c r="P208" s="659"/>
      <c r="Q208" s="55"/>
      <c r="R208" s="580"/>
      <c r="S208" s="14"/>
      <c r="T208" s="659"/>
      <c r="U208" s="55"/>
      <c r="V208" s="580"/>
      <c r="W208" s="14"/>
      <c r="X208" s="659"/>
      <c r="Y208" s="55"/>
      <c r="Z208" s="580"/>
      <c r="AA208" s="14"/>
      <c r="AB208" s="659"/>
      <c r="AC208" s="55"/>
      <c r="AD208" s="55"/>
      <c r="AE208" s="660"/>
      <c r="AF208" s="55"/>
      <c r="AG208" s="55"/>
      <c r="AH208" s="55"/>
      <c r="AI208" s="661"/>
    </row>
    <row r="209" spans="1:35" ht="21" customHeight="1" x14ac:dyDescent="0.2">
      <c r="B209" s="662"/>
      <c r="C209" s="121"/>
      <c r="D209" s="156"/>
      <c r="E209" s="156"/>
      <c r="F209" s="612"/>
      <c r="G209" s="121"/>
      <c r="H209" s="156"/>
      <c r="I209" s="156"/>
      <c r="J209" s="612"/>
      <c r="K209" s="121"/>
      <c r="L209" s="156"/>
      <c r="M209" s="156"/>
      <c r="N209" s="612"/>
      <c r="O209" s="121"/>
      <c r="P209" s="156"/>
      <c r="Q209" s="156"/>
      <c r="R209" s="612"/>
      <c r="S209" s="121"/>
      <c r="T209" s="156"/>
      <c r="U209" s="156"/>
      <c r="V209" s="612"/>
      <c r="W209" s="121"/>
      <c r="X209" s="156"/>
      <c r="Y209" s="156"/>
      <c r="Z209" s="612"/>
      <c r="AA209" s="611"/>
      <c r="AB209" s="156"/>
      <c r="AC209" s="156"/>
      <c r="AD209" s="613"/>
      <c r="AE209" s="663"/>
      <c r="AF209" s="156"/>
      <c r="AG209" s="156" t="s">
        <v>28</v>
      </c>
      <c r="AH209" s="613"/>
      <c r="AI209" s="489"/>
    </row>
    <row r="210" spans="1:35" ht="21" customHeight="1" x14ac:dyDescent="0.2">
      <c r="A210" s="1"/>
      <c r="B210" s="47"/>
      <c r="C210" s="618"/>
      <c r="D210" s="53"/>
      <c r="E210" s="53"/>
      <c r="F210" s="619"/>
      <c r="G210" s="618"/>
      <c r="H210" s="53"/>
      <c r="I210" s="53"/>
      <c r="J210" s="619"/>
      <c r="K210" s="618"/>
      <c r="L210" s="53"/>
      <c r="M210" s="53"/>
      <c r="N210" s="619"/>
      <c r="O210" s="618"/>
      <c r="P210" s="53"/>
      <c r="Q210" s="53"/>
      <c r="R210" s="619"/>
      <c r="S210" s="618"/>
      <c r="T210" s="53"/>
      <c r="U210" s="53"/>
      <c r="V210" s="619"/>
      <c r="W210" s="57"/>
      <c r="X210" s="53"/>
      <c r="Y210" s="53"/>
      <c r="Z210" s="619"/>
      <c r="AA210" s="57"/>
      <c r="AB210" s="53"/>
      <c r="AC210" s="53"/>
      <c r="AD210" s="620"/>
      <c r="AE210" s="57"/>
      <c r="AF210" s="53"/>
      <c r="AG210" s="53"/>
      <c r="AH210" s="620"/>
      <c r="AI210" s="544"/>
    </row>
    <row r="211" spans="1:35" ht="33" customHeight="1" x14ac:dyDescent="0.2">
      <c r="A211" s="1"/>
      <c r="B211" s="72"/>
      <c r="C211" s="311"/>
      <c r="F211" s="353"/>
      <c r="G211" s="311"/>
      <c r="J211" s="353"/>
      <c r="K211" s="311"/>
      <c r="N211" s="353"/>
      <c r="O211" s="311"/>
      <c r="R211" s="353"/>
      <c r="S211" s="311"/>
      <c r="V211" s="353"/>
      <c r="W211" s="353"/>
      <c r="Z211" s="353"/>
      <c r="AA211" s="353"/>
      <c r="AD211" s="353"/>
      <c r="AE211" s="353"/>
      <c r="AH211" s="353"/>
    </row>
    <row r="212" spans="1:35" ht="21" customHeight="1" x14ac:dyDescent="0.2">
      <c r="A212" s="585" t="s">
        <v>468</v>
      </c>
      <c r="B212" s="296" t="s">
        <v>469</v>
      </c>
      <c r="C212" s="177">
        <v>1</v>
      </c>
      <c r="D212" s="177">
        <v>2</v>
      </c>
      <c r="E212" s="177">
        <v>3</v>
      </c>
      <c r="F212" s="177">
        <v>4</v>
      </c>
      <c r="G212" s="497">
        <v>5</v>
      </c>
      <c r="H212" s="497">
        <v>6</v>
      </c>
      <c r="I212" s="177">
        <v>7</v>
      </c>
      <c r="J212" s="177">
        <v>8</v>
      </c>
      <c r="K212" s="177">
        <v>9</v>
      </c>
      <c r="L212" s="177">
        <v>10</v>
      </c>
      <c r="M212" s="177">
        <v>11</v>
      </c>
      <c r="N212" s="497">
        <v>12</v>
      </c>
      <c r="O212" s="497">
        <v>13</v>
      </c>
      <c r="P212" s="177">
        <v>14</v>
      </c>
      <c r="Q212" s="177">
        <v>15</v>
      </c>
      <c r="R212" s="177">
        <v>16</v>
      </c>
      <c r="S212" s="177">
        <v>17</v>
      </c>
      <c r="T212" s="177">
        <v>18</v>
      </c>
      <c r="U212" s="497">
        <v>19</v>
      </c>
      <c r="V212" s="497">
        <v>20</v>
      </c>
      <c r="W212" s="177">
        <v>21</v>
      </c>
      <c r="X212" s="177">
        <v>22</v>
      </c>
      <c r="Y212" s="177">
        <v>23</v>
      </c>
      <c r="Z212" s="177">
        <v>24</v>
      </c>
      <c r="AA212" s="177">
        <v>25</v>
      </c>
      <c r="AB212" s="497">
        <v>26</v>
      </c>
      <c r="AC212" s="497">
        <v>27</v>
      </c>
      <c r="AD212" s="177">
        <v>28</v>
      </c>
      <c r="AE212" s="177">
        <v>29</v>
      </c>
      <c r="AF212" s="177">
        <v>30</v>
      </c>
      <c r="AG212" s="177"/>
      <c r="AH212" s="499" t="s">
        <v>470</v>
      </c>
      <c r="AI212" s="500" t="s">
        <v>471</v>
      </c>
    </row>
    <row r="213" spans="1:35" ht="21" customHeight="1" x14ac:dyDescent="0.2">
      <c r="A213" s="441"/>
      <c r="B213" s="673" t="s">
        <v>661</v>
      </c>
      <c r="C213" s="503" t="s">
        <v>552</v>
      </c>
      <c r="D213" s="503" t="s">
        <v>552</v>
      </c>
      <c r="E213" s="503" t="s">
        <v>552</v>
      </c>
      <c r="F213" s="503" t="s">
        <v>552</v>
      </c>
      <c r="G213" s="503"/>
      <c r="H213" s="503"/>
      <c r="I213" s="503" t="s">
        <v>552</v>
      </c>
      <c r="J213" s="503" t="s">
        <v>552</v>
      </c>
      <c r="K213" s="503" t="s">
        <v>552</v>
      </c>
      <c r="L213" s="503" t="s">
        <v>552</v>
      </c>
      <c r="M213" s="503" t="s">
        <v>552</v>
      </c>
      <c r="N213" s="503"/>
      <c r="O213" s="503"/>
      <c r="P213" s="503" t="s">
        <v>552</v>
      </c>
      <c r="Q213" s="503" t="s">
        <v>552</v>
      </c>
      <c r="R213" s="503" t="s">
        <v>552</v>
      </c>
      <c r="S213" s="503" t="s">
        <v>552</v>
      </c>
      <c r="T213" s="503" t="s">
        <v>552</v>
      </c>
      <c r="U213" s="503"/>
      <c r="V213" s="503"/>
      <c r="W213" s="503" t="s">
        <v>552</v>
      </c>
      <c r="X213" s="503" t="s">
        <v>552</v>
      </c>
      <c r="Y213" s="503" t="s">
        <v>552</v>
      </c>
      <c r="Z213" s="503" t="s">
        <v>552</v>
      </c>
      <c r="AA213" s="503" t="s">
        <v>552</v>
      </c>
      <c r="AB213" s="503"/>
      <c r="AC213" s="503"/>
      <c r="AD213" s="503" t="s">
        <v>552</v>
      </c>
      <c r="AE213" s="503" t="s">
        <v>552</v>
      </c>
      <c r="AF213" s="503" t="s">
        <v>552</v>
      </c>
      <c r="AG213" s="503"/>
      <c r="AH213" s="703">
        <v>81</v>
      </c>
      <c r="AI213" s="704">
        <v>37</v>
      </c>
    </row>
    <row r="214" spans="1:35" ht="21" customHeight="1" x14ac:dyDescent="0.2">
      <c r="A214" s="441"/>
      <c r="B214" s="673" t="s">
        <v>662</v>
      </c>
      <c r="C214" s="503" t="s">
        <v>552</v>
      </c>
      <c r="D214" s="503" t="s">
        <v>552</v>
      </c>
      <c r="E214" s="503" t="s">
        <v>552</v>
      </c>
      <c r="F214" s="503" t="s">
        <v>552</v>
      </c>
      <c r="G214" s="503"/>
      <c r="H214" s="503"/>
      <c r="I214" s="503" t="s">
        <v>552</v>
      </c>
      <c r="J214" s="503" t="s">
        <v>552</v>
      </c>
      <c r="K214" s="503" t="s">
        <v>552</v>
      </c>
      <c r="L214" s="503" t="s">
        <v>552</v>
      </c>
      <c r="M214" s="503" t="s">
        <v>552</v>
      </c>
      <c r="N214" s="503"/>
      <c r="O214" s="503"/>
      <c r="P214" s="503" t="s">
        <v>552</v>
      </c>
      <c r="Q214" s="503" t="s">
        <v>552</v>
      </c>
      <c r="R214" s="503" t="s">
        <v>552</v>
      </c>
      <c r="S214" s="503" t="s">
        <v>552</v>
      </c>
      <c r="T214" s="503" t="s">
        <v>552</v>
      </c>
      <c r="U214" s="503"/>
      <c r="V214" s="503"/>
      <c r="W214" s="503" t="s">
        <v>552</v>
      </c>
      <c r="X214" s="503" t="s">
        <v>552</v>
      </c>
      <c r="Y214" s="1547" t="s">
        <v>552</v>
      </c>
      <c r="Z214" s="503" t="s">
        <v>552</v>
      </c>
      <c r="AA214" s="503" t="s">
        <v>552</v>
      </c>
      <c r="AB214" s="503"/>
      <c r="AC214" s="503"/>
      <c r="AD214" s="503" t="s">
        <v>552</v>
      </c>
      <c r="AE214" s="503" t="s">
        <v>552</v>
      </c>
      <c r="AF214" s="503" t="s">
        <v>552</v>
      </c>
      <c r="AG214" s="503"/>
      <c r="AH214" s="648">
        <v>21</v>
      </c>
      <c r="AI214" s="649">
        <v>37</v>
      </c>
    </row>
    <row r="215" spans="1:35" ht="21" customHeight="1" x14ac:dyDescent="0.2">
      <c r="A215" s="441"/>
      <c r="B215" s="673" t="s">
        <v>663</v>
      </c>
      <c r="C215" s="503" t="s">
        <v>552</v>
      </c>
      <c r="D215" s="503" t="s">
        <v>552</v>
      </c>
      <c r="E215" s="503" t="s">
        <v>552</v>
      </c>
      <c r="F215" s="503" t="s">
        <v>552</v>
      </c>
      <c r="G215" s="503"/>
      <c r="H215" s="503"/>
      <c r="I215" s="503" t="s">
        <v>552</v>
      </c>
      <c r="J215" s="503" t="s">
        <v>552</v>
      </c>
      <c r="K215" s="503" t="s">
        <v>552</v>
      </c>
      <c r="L215" s="503" t="s">
        <v>552</v>
      </c>
      <c r="M215" s="503" t="s">
        <v>552</v>
      </c>
      <c r="N215" s="503"/>
      <c r="O215" s="503"/>
      <c r="P215" s="503" t="s">
        <v>552</v>
      </c>
      <c r="Q215" s="503" t="s">
        <v>552</v>
      </c>
      <c r="R215" s="503" t="s">
        <v>552</v>
      </c>
      <c r="S215" s="503" t="s">
        <v>552</v>
      </c>
      <c r="T215" s="503" t="s">
        <v>552</v>
      </c>
      <c r="U215" s="503"/>
      <c r="V215" s="503"/>
      <c r="W215" s="503" t="s">
        <v>552</v>
      </c>
      <c r="X215" s="503" t="s">
        <v>552</v>
      </c>
      <c r="Y215" s="503" t="s">
        <v>552</v>
      </c>
      <c r="Z215" s="503" t="s">
        <v>552</v>
      </c>
      <c r="AA215" s="503" t="s">
        <v>552</v>
      </c>
      <c r="AB215" s="503"/>
      <c r="AC215" s="503"/>
      <c r="AD215" s="503" t="s">
        <v>552</v>
      </c>
      <c r="AE215" s="503" t="s">
        <v>552</v>
      </c>
      <c r="AF215" s="503" t="s">
        <v>552</v>
      </c>
      <c r="AG215" s="503"/>
      <c r="AH215" s="648">
        <v>4</v>
      </c>
      <c r="AI215" s="649">
        <v>19</v>
      </c>
    </row>
    <row r="216" spans="1:35" ht="21" customHeight="1" x14ac:dyDescent="0.2">
      <c r="A216" s="441"/>
      <c r="B216" s="673" t="s">
        <v>664</v>
      </c>
      <c r="C216" s="503" t="s">
        <v>552</v>
      </c>
      <c r="D216" s="503" t="s">
        <v>552</v>
      </c>
      <c r="E216" s="503" t="s">
        <v>552</v>
      </c>
      <c r="F216" s="503" t="s">
        <v>552</v>
      </c>
      <c r="G216" s="503"/>
      <c r="H216" s="503"/>
      <c r="I216" s="503" t="s">
        <v>552</v>
      </c>
      <c r="J216" s="503" t="s">
        <v>552</v>
      </c>
      <c r="K216" s="503" t="s">
        <v>552</v>
      </c>
      <c r="L216" s="503" t="s">
        <v>552</v>
      </c>
      <c r="M216" s="503" t="s">
        <v>552</v>
      </c>
      <c r="N216" s="503"/>
      <c r="O216" s="503"/>
      <c r="P216" s="503" t="s">
        <v>552</v>
      </c>
      <c r="Q216" s="503" t="s">
        <v>552</v>
      </c>
      <c r="R216" s="503" t="s">
        <v>552</v>
      </c>
      <c r="S216" s="503" t="s">
        <v>552</v>
      </c>
      <c r="T216" s="503" t="s">
        <v>552</v>
      </c>
      <c r="U216" s="503"/>
      <c r="V216" s="503"/>
      <c r="W216" s="503" t="s">
        <v>552</v>
      </c>
      <c r="X216" s="503" t="s">
        <v>552</v>
      </c>
      <c r="Y216" s="503" t="s">
        <v>552</v>
      </c>
      <c r="Z216" s="503" t="s">
        <v>552</v>
      </c>
      <c r="AA216" s="503" t="s">
        <v>552</v>
      </c>
      <c r="AB216" s="503"/>
      <c r="AC216" s="503"/>
      <c r="AD216" s="503" t="s">
        <v>552</v>
      </c>
      <c r="AE216" s="503" t="s">
        <v>552</v>
      </c>
      <c r="AF216" s="503" t="s">
        <v>552</v>
      </c>
      <c r="AG216" s="503"/>
      <c r="AH216" s="648">
        <v>140</v>
      </c>
      <c r="AI216" s="649">
        <v>29</v>
      </c>
    </row>
    <row r="217" spans="1:35" ht="21" customHeight="1" x14ac:dyDescent="0.2">
      <c r="A217" s="441"/>
      <c r="B217" s="673" t="s">
        <v>665</v>
      </c>
      <c r="C217" s="503" t="s">
        <v>552</v>
      </c>
      <c r="D217" s="503" t="s">
        <v>552</v>
      </c>
      <c r="E217" s="503" t="s">
        <v>552</v>
      </c>
      <c r="F217" s="503" t="s">
        <v>552</v>
      </c>
      <c r="G217" s="503"/>
      <c r="H217" s="503"/>
      <c r="I217" s="503" t="s">
        <v>552</v>
      </c>
      <c r="J217" s="503" t="s">
        <v>552</v>
      </c>
      <c r="K217" s="503" t="s">
        <v>552</v>
      </c>
      <c r="L217" s="503" t="s">
        <v>552</v>
      </c>
      <c r="M217" s="503" t="s">
        <v>552</v>
      </c>
      <c r="N217" s="503"/>
      <c r="O217" s="503"/>
      <c r="P217" s="503" t="s">
        <v>552</v>
      </c>
      <c r="Q217" s="503" t="s">
        <v>552</v>
      </c>
      <c r="R217" s="503" t="s">
        <v>552</v>
      </c>
      <c r="S217" s="503" t="s">
        <v>552</v>
      </c>
      <c r="T217" s="503" t="s">
        <v>552</v>
      </c>
      <c r="U217" s="503"/>
      <c r="V217" s="503"/>
      <c r="W217" s="1547" t="s">
        <v>552</v>
      </c>
      <c r="X217" s="503" t="s">
        <v>552</v>
      </c>
      <c r="Y217" s="503" t="s">
        <v>552</v>
      </c>
      <c r="Z217" s="1510" t="s">
        <v>552</v>
      </c>
      <c r="AA217" s="1510" t="s">
        <v>552</v>
      </c>
      <c r="AB217" s="1510"/>
      <c r="AC217" s="1510"/>
      <c r="AD217" s="1510" t="s">
        <v>617</v>
      </c>
      <c r="AE217" s="503" t="s">
        <v>552</v>
      </c>
      <c r="AF217" s="503" t="s">
        <v>552</v>
      </c>
      <c r="AG217" s="503"/>
      <c r="AH217" s="648">
        <v>74</v>
      </c>
      <c r="AI217" s="649">
        <v>37</v>
      </c>
    </row>
    <row r="218" spans="1:35" ht="21" customHeight="1" x14ac:dyDescent="0.2">
      <c r="A218" s="441"/>
      <c r="B218" s="673" t="s">
        <v>666</v>
      </c>
      <c r="C218" s="503" t="s">
        <v>552</v>
      </c>
      <c r="D218" s="503" t="s">
        <v>552</v>
      </c>
      <c r="E218" s="503" t="s">
        <v>552</v>
      </c>
      <c r="F218" s="503" t="s">
        <v>552</v>
      </c>
      <c r="G218" s="503"/>
      <c r="H218" s="503"/>
      <c r="I218" s="503" t="s">
        <v>552</v>
      </c>
      <c r="J218" s="503" t="s">
        <v>552</v>
      </c>
      <c r="K218" s="503" t="s">
        <v>552</v>
      </c>
      <c r="L218" s="503" t="s">
        <v>552</v>
      </c>
      <c r="M218" s="503" t="s">
        <v>552</v>
      </c>
      <c r="N218" s="503"/>
      <c r="O218" s="503"/>
      <c r="P218" s="503" t="s">
        <v>552</v>
      </c>
      <c r="Q218" s="503" t="s">
        <v>552</v>
      </c>
      <c r="R218" s="503" t="s">
        <v>552</v>
      </c>
      <c r="S218" s="503" t="s">
        <v>552</v>
      </c>
      <c r="T218" s="1513" t="s">
        <v>552</v>
      </c>
      <c r="U218" s="503"/>
      <c r="V218" s="503"/>
      <c r="W218" s="503" t="s">
        <v>552</v>
      </c>
      <c r="X218" s="503" t="s">
        <v>552</v>
      </c>
      <c r="Y218" s="503" t="s">
        <v>552</v>
      </c>
      <c r="Z218" s="503" t="s">
        <v>552</v>
      </c>
      <c r="AA218" s="503" t="s">
        <v>552</v>
      </c>
      <c r="AB218" s="503"/>
      <c r="AC218" s="503"/>
      <c r="AD218" s="503" t="s">
        <v>552</v>
      </c>
      <c r="AE218" s="503" t="s">
        <v>552</v>
      </c>
      <c r="AF218" s="503" t="s">
        <v>552</v>
      </c>
      <c r="AG218" s="503"/>
      <c r="AH218" s="648">
        <v>37</v>
      </c>
      <c r="AI218" s="649">
        <v>37</v>
      </c>
    </row>
    <row r="219" spans="1:35" ht="21" customHeight="1" x14ac:dyDescent="0.2">
      <c r="A219" s="441"/>
      <c r="B219" s="673" t="s">
        <v>667</v>
      </c>
      <c r="C219" s="503" t="s">
        <v>552</v>
      </c>
      <c r="D219" s="503" t="s">
        <v>552</v>
      </c>
      <c r="E219" s="503" t="s">
        <v>552</v>
      </c>
      <c r="F219" s="503" t="s">
        <v>552</v>
      </c>
      <c r="G219" s="503"/>
      <c r="H219" s="503"/>
      <c r="I219" s="1059" t="s">
        <v>552</v>
      </c>
      <c r="J219" s="1059" t="s">
        <v>552</v>
      </c>
      <c r="K219" s="1059" t="s">
        <v>552</v>
      </c>
      <c r="L219" s="1059" t="s">
        <v>552</v>
      </c>
      <c r="M219" s="1059" t="s">
        <v>552</v>
      </c>
      <c r="N219" s="1059"/>
      <c r="O219" s="1059"/>
      <c r="P219" s="503" t="s">
        <v>552</v>
      </c>
      <c r="Q219" s="503" t="s">
        <v>552</v>
      </c>
      <c r="R219" s="503" t="s">
        <v>552</v>
      </c>
      <c r="S219" s="503" t="s">
        <v>552</v>
      </c>
      <c r="T219" s="503" t="s">
        <v>552</v>
      </c>
      <c r="U219" s="503"/>
      <c r="V219" s="503"/>
      <c r="W219" s="503" t="s">
        <v>552</v>
      </c>
      <c r="X219" s="503" t="s">
        <v>552</v>
      </c>
      <c r="Y219" s="503" t="s">
        <v>552</v>
      </c>
      <c r="Z219" s="503" t="s">
        <v>552</v>
      </c>
      <c r="AA219" s="503" t="s">
        <v>552</v>
      </c>
      <c r="AB219" s="503"/>
      <c r="AC219" s="503"/>
      <c r="AD219" s="503" t="s">
        <v>552</v>
      </c>
      <c r="AE219" s="503" t="s">
        <v>552</v>
      </c>
      <c r="AF219" s="1510" t="s">
        <v>552</v>
      </c>
      <c r="AG219" s="503"/>
      <c r="AH219" s="648">
        <v>111</v>
      </c>
      <c r="AI219" s="649">
        <v>37</v>
      </c>
    </row>
    <row r="220" spans="1:35" ht="21" customHeight="1" x14ac:dyDescent="0.2">
      <c r="A220" s="441"/>
      <c r="B220" s="673" t="s">
        <v>668</v>
      </c>
      <c r="C220" s="503" t="s">
        <v>552</v>
      </c>
      <c r="D220" s="503" t="s">
        <v>552</v>
      </c>
      <c r="E220" s="503" t="s">
        <v>552</v>
      </c>
      <c r="F220" s="503" t="s">
        <v>552</v>
      </c>
      <c r="G220" s="503"/>
      <c r="H220" s="503"/>
      <c r="I220" s="503" t="s">
        <v>552</v>
      </c>
      <c r="J220" s="503" t="s">
        <v>552</v>
      </c>
      <c r="K220" s="503" t="s">
        <v>552</v>
      </c>
      <c r="L220" s="503" t="s">
        <v>552</v>
      </c>
      <c r="M220" s="503" t="s">
        <v>552</v>
      </c>
      <c r="N220" s="503"/>
      <c r="O220" s="503"/>
      <c r="P220" s="503" t="s">
        <v>552</v>
      </c>
      <c r="Q220" s="503" t="s">
        <v>552</v>
      </c>
      <c r="R220" s="503" t="s">
        <v>552</v>
      </c>
      <c r="S220" s="503" t="s">
        <v>552</v>
      </c>
      <c r="T220" s="503" t="s">
        <v>552</v>
      </c>
      <c r="U220" s="503"/>
      <c r="V220" s="503"/>
      <c r="W220" s="503" t="s">
        <v>552</v>
      </c>
      <c r="X220" s="503" t="s">
        <v>552</v>
      </c>
      <c r="Y220" s="503" t="s">
        <v>552</v>
      </c>
      <c r="Z220" s="503" t="s">
        <v>552</v>
      </c>
      <c r="AA220" s="503" t="s">
        <v>552</v>
      </c>
      <c r="AB220" s="503"/>
      <c r="AC220" s="503"/>
      <c r="AD220" s="503" t="s">
        <v>552</v>
      </c>
      <c r="AE220" s="503" t="s">
        <v>552</v>
      </c>
      <c r="AF220" s="503" t="s">
        <v>552</v>
      </c>
      <c r="AG220" s="503"/>
      <c r="AH220" s="648">
        <v>60</v>
      </c>
      <c r="AI220" s="649">
        <v>18</v>
      </c>
    </row>
    <row r="221" spans="1:35" ht="21" customHeight="1" x14ac:dyDescent="0.2">
      <c r="A221" s="441"/>
      <c r="B221" s="673" t="s">
        <v>669</v>
      </c>
      <c r="C221" s="503" t="s">
        <v>552</v>
      </c>
      <c r="D221" s="503" t="s">
        <v>552</v>
      </c>
      <c r="E221" s="503" t="s">
        <v>552</v>
      </c>
      <c r="F221" s="503" t="s">
        <v>552</v>
      </c>
      <c r="G221" s="503"/>
      <c r="H221" s="503"/>
      <c r="I221" s="503" t="s">
        <v>552</v>
      </c>
      <c r="J221" s="503" t="s">
        <v>552</v>
      </c>
      <c r="K221" s="503" t="s">
        <v>552</v>
      </c>
      <c r="L221" s="503" t="s">
        <v>552</v>
      </c>
      <c r="M221" s="503" t="s">
        <v>552</v>
      </c>
      <c r="N221" s="503"/>
      <c r="O221" s="503"/>
      <c r="P221" s="503" t="s">
        <v>552</v>
      </c>
      <c r="Q221" s="503" t="s">
        <v>552</v>
      </c>
      <c r="R221" s="503" t="s">
        <v>552</v>
      </c>
      <c r="S221" s="503" t="s">
        <v>552</v>
      </c>
      <c r="T221" s="503" t="s">
        <v>552</v>
      </c>
      <c r="U221" s="503"/>
      <c r="V221" s="503"/>
      <c r="W221" s="503" t="s">
        <v>552</v>
      </c>
      <c r="X221" s="503" t="s">
        <v>552</v>
      </c>
      <c r="Y221" s="503" t="s">
        <v>552</v>
      </c>
      <c r="Z221" s="503" t="s">
        <v>552</v>
      </c>
      <c r="AA221" s="503" t="s">
        <v>552</v>
      </c>
      <c r="AB221" s="503"/>
      <c r="AC221" s="503"/>
      <c r="AD221" s="503" t="s">
        <v>552</v>
      </c>
      <c r="AE221" s="503" t="s">
        <v>552</v>
      </c>
      <c r="AF221" s="503" t="s">
        <v>552</v>
      </c>
      <c r="AG221" s="503"/>
      <c r="AH221" s="648">
        <v>74</v>
      </c>
      <c r="AI221" s="649">
        <v>37</v>
      </c>
    </row>
    <row r="222" spans="1:35" ht="21" customHeight="1" x14ac:dyDescent="0.2">
      <c r="A222" s="441"/>
      <c r="B222" s="673" t="s">
        <v>670</v>
      </c>
      <c r="C222" s="503" t="s">
        <v>552</v>
      </c>
      <c r="D222" s="503" t="s">
        <v>552</v>
      </c>
      <c r="E222" s="503" t="s">
        <v>552</v>
      </c>
      <c r="F222" s="503" t="s">
        <v>552</v>
      </c>
      <c r="G222" s="503"/>
      <c r="H222" s="503"/>
      <c r="I222" s="503" t="s">
        <v>552</v>
      </c>
      <c r="J222" s="503" t="s">
        <v>552</v>
      </c>
      <c r="K222" s="503" t="s">
        <v>552</v>
      </c>
      <c r="L222" s="503" t="s">
        <v>552</v>
      </c>
      <c r="M222" s="503" t="s">
        <v>552</v>
      </c>
      <c r="N222" s="503"/>
      <c r="O222" s="503"/>
      <c r="P222" s="503" t="s">
        <v>552</v>
      </c>
      <c r="Q222" s="503" t="s">
        <v>552</v>
      </c>
      <c r="R222" s="503" t="s">
        <v>552</v>
      </c>
      <c r="S222" s="503" t="s">
        <v>552</v>
      </c>
      <c r="T222" s="503" t="s">
        <v>552</v>
      </c>
      <c r="U222" s="503"/>
      <c r="V222" s="503"/>
      <c r="W222" s="503" t="s">
        <v>552</v>
      </c>
      <c r="X222" s="503" t="s">
        <v>552</v>
      </c>
      <c r="Y222" s="503" t="s">
        <v>552</v>
      </c>
      <c r="Z222" s="503" t="s">
        <v>552</v>
      </c>
      <c r="AA222" s="503" t="s">
        <v>552</v>
      </c>
      <c r="AB222" s="503"/>
      <c r="AC222" s="503"/>
      <c r="AD222" s="503" t="s">
        <v>552</v>
      </c>
      <c r="AE222" s="503" t="s">
        <v>552</v>
      </c>
      <c r="AF222" s="503" t="s">
        <v>552</v>
      </c>
      <c r="AG222" s="503"/>
      <c r="AH222" s="648">
        <v>49</v>
      </c>
      <c r="AI222" s="649">
        <v>37</v>
      </c>
    </row>
    <row r="223" spans="1:35" ht="21" customHeight="1" x14ac:dyDescent="0.2">
      <c r="A223" s="441"/>
      <c r="B223" s="152" t="s">
        <v>671</v>
      </c>
      <c r="C223" s="503" t="s">
        <v>552</v>
      </c>
      <c r="D223" s="503" t="s">
        <v>552</v>
      </c>
      <c r="E223" s="503" t="s">
        <v>552</v>
      </c>
      <c r="F223" s="503" t="s">
        <v>552</v>
      </c>
      <c r="G223" s="503"/>
      <c r="H223" s="503"/>
      <c r="I223" s="503" t="s">
        <v>552</v>
      </c>
      <c r="J223" s="503" t="s">
        <v>552</v>
      </c>
      <c r="K223" s="503" t="s">
        <v>552</v>
      </c>
      <c r="L223" s="503" t="s">
        <v>552</v>
      </c>
      <c r="M223" s="503" t="s">
        <v>552</v>
      </c>
      <c r="N223" s="503"/>
      <c r="O223" s="503"/>
      <c r="P223" s="503" t="s">
        <v>552</v>
      </c>
      <c r="Q223" s="503" t="s">
        <v>552</v>
      </c>
      <c r="R223" s="503" t="s">
        <v>552</v>
      </c>
      <c r="S223" s="503" t="s">
        <v>552</v>
      </c>
      <c r="T223" s="503" t="s">
        <v>552</v>
      </c>
      <c r="U223" s="503"/>
      <c r="V223" s="503"/>
      <c r="W223" s="503" t="s">
        <v>552</v>
      </c>
      <c r="X223" s="503" t="s">
        <v>552</v>
      </c>
      <c r="Y223" s="503" t="s">
        <v>552</v>
      </c>
      <c r="Z223" s="503" t="s">
        <v>552</v>
      </c>
      <c r="AA223" s="503" t="s">
        <v>552</v>
      </c>
      <c r="AB223" s="503"/>
      <c r="AC223" s="503"/>
      <c r="AD223" s="1510" t="s">
        <v>552</v>
      </c>
      <c r="AE223" s="1510" t="s">
        <v>552</v>
      </c>
      <c r="AF223" s="1510" t="s">
        <v>552</v>
      </c>
      <c r="AG223" s="503"/>
      <c r="AH223" s="648">
        <v>114</v>
      </c>
      <c r="AI223" s="649">
        <v>37</v>
      </c>
    </row>
    <row r="224" spans="1:35" ht="21" customHeight="1" x14ac:dyDescent="0.2">
      <c r="A224" s="441"/>
      <c r="B224" s="152" t="s">
        <v>672</v>
      </c>
      <c r="C224" s="1510" t="s">
        <v>552</v>
      </c>
      <c r="D224" s="1510" t="s">
        <v>552</v>
      </c>
      <c r="E224" s="1510" t="s">
        <v>552</v>
      </c>
      <c r="F224" s="1510" t="s">
        <v>617</v>
      </c>
      <c r="G224" s="503"/>
      <c r="H224" s="503"/>
      <c r="I224" s="503" t="s">
        <v>552</v>
      </c>
      <c r="J224" s="503" t="s">
        <v>552</v>
      </c>
      <c r="K224" s="503" t="s">
        <v>552</v>
      </c>
      <c r="L224" s="503" t="s">
        <v>552</v>
      </c>
      <c r="M224" s="503" t="s">
        <v>552</v>
      </c>
      <c r="N224" s="503"/>
      <c r="O224" s="503"/>
      <c r="P224" s="503" t="s">
        <v>552</v>
      </c>
      <c r="Q224" s="503" t="s">
        <v>552</v>
      </c>
      <c r="R224" s="503" t="s">
        <v>552</v>
      </c>
      <c r="S224" s="503" t="s">
        <v>552</v>
      </c>
      <c r="T224" s="503" t="s">
        <v>552</v>
      </c>
      <c r="U224" s="503"/>
      <c r="V224" s="503"/>
      <c r="W224" s="1538" t="s">
        <v>552</v>
      </c>
      <c r="X224" s="503" t="s">
        <v>552</v>
      </c>
      <c r="Y224" s="503" t="s">
        <v>552</v>
      </c>
      <c r="Z224" s="503" t="s">
        <v>552</v>
      </c>
      <c r="AA224" s="503" t="s">
        <v>552</v>
      </c>
      <c r="AB224" s="503"/>
      <c r="AC224" s="503"/>
      <c r="AD224" s="503" t="s">
        <v>552</v>
      </c>
      <c r="AE224" s="503" t="s">
        <v>552</v>
      </c>
      <c r="AF224" s="503" t="s">
        <v>552</v>
      </c>
      <c r="AG224" s="503"/>
      <c r="AH224" s="648">
        <v>115</v>
      </c>
      <c r="AI224" s="649">
        <v>37</v>
      </c>
    </row>
    <row r="225" spans="1:35" ht="21" customHeight="1" x14ac:dyDescent="0.2">
      <c r="A225" s="152"/>
      <c r="B225" s="152" t="s">
        <v>673</v>
      </c>
      <c r="C225" s="503" t="s">
        <v>552</v>
      </c>
      <c r="D225" s="503" t="s">
        <v>552</v>
      </c>
      <c r="E225" s="503" t="s">
        <v>552</v>
      </c>
      <c r="F225" s="503" t="s">
        <v>552</v>
      </c>
      <c r="G225" s="503"/>
      <c r="H225" s="503"/>
      <c r="I225" s="503" t="s">
        <v>552</v>
      </c>
      <c r="J225" s="503" t="s">
        <v>552</v>
      </c>
      <c r="K225" s="503" t="s">
        <v>552</v>
      </c>
      <c r="L225" s="503" t="s">
        <v>552</v>
      </c>
      <c r="M225" s="503" t="s">
        <v>552</v>
      </c>
      <c r="N225" s="503"/>
      <c r="O225" s="503"/>
      <c r="P225" s="503" t="s">
        <v>552</v>
      </c>
      <c r="Q225" s="503" t="s">
        <v>552</v>
      </c>
      <c r="R225" s="503" t="s">
        <v>552</v>
      </c>
      <c r="S225" s="503" t="s">
        <v>552</v>
      </c>
      <c r="T225" s="503" t="s">
        <v>552</v>
      </c>
      <c r="U225" s="503"/>
      <c r="V225" s="503"/>
      <c r="W225" s="503" t="s">
        <v>552</v>
      </c>
      <c r="X225" s="503" t="s">
        <v>552</v>
      </c>
      <c r="Y225" s="503" t="s">
        <v>552</v>
      </c>
      <c r="Z225" s="503" t="s">
        <v>552</v>
      </c>
      <c r="AA225" s="503" t="s">
        <v>552</v>
      </c>
      <c r="AB225" s="503"/>
      <c r="AC225" s="503"/>
      <c r="AD225" s="503" t="s">
        <v>552</v>
      </c>
      <c r="AE225" s="503" t="s">
        <v>552</v>
      </c>
      <c r="AF225" s="503" t="s">
        <v>552</v>
      </c>
      <c r="AG225" s="503"/>
      <c r="AH225" s="648">
        <v>30</v>
      </c>
      <c r="AI225" s="649">
        <v>25</v>
      </c>
    </row>
    <row r="226" spans="1:35" ht="21" customHeight="1" x14ac:dyDescent="0.2">
      <c r="A226" s="152"/>
      <c r="B226" s="152"/>
      <c r="C226" s="503"/>
      <c r="D226" s="503"/>
      <c r="E226" s="503"/>
      <c r="F226" s="503"/>
      <c r="G226" s="503"/>
      <c r="H226" s="503"/>
      <c r="I226" s="503"/>
      <c r="J226" s="503"/>
      <c r="K226" s="503"/>
      <c r="L226" s="503"/>
      <c r="M226" s="503"/>
      <c r="N226" s="503"/>
      <c r="O226" s="503"/>
      <c r="P226" s="503"/>
      <c r="Q226" s="503"/>
      <c r="R226" s="503"/>
      <c r="S226" s="503"/>
      <c r="T226" s="503"/>
      <c r="U226" s="503"/>
      <c r="V226" s="503"/>
      <c r="W226" s="503"/>
      <c r="X226" s="503"/>
      <c r="Y226" s="503"/>
      <c r="Z226" s="503"/>
      <c r="AA226" s="503"/>
      <c r="AB226" s="503"/>
      <c r="AC226" s="503"/>
      <c r="AD226" s="503"/>
      <c r="AE226" s="503"/>
      <c r="AF226" s="503"/>
      <c r="AG226" s="503"/>
      <c r="AH226" s="648"/>
      <c r="AI226" s="649"/>
    </row>
    <row r="227" spans="1:35" ht="21" customHeight="1" x14ac:dyDescent="0.2">
      <c r="A227" s="152"/>
      <c r="B227" s="152"/>
      <c r="C227" s="503"/>
      <c r="D227" s="503"/>
      <c r="E227" s="503"/>
      <c r="F227" s="503"/>
      <c r="G227" s="503"/>
      <c r="H227" s="503"/>
      <c r="I227" s="503"/>
      <c r="J227" s="503"/>
      <c r="K227" s="503"/>
      <c r="L227" s="503"/>
      <c r="M227" s="503"/>
      <c r="N227" s="503"/>
      <c r="O227" s="503"/>
      <c r="P227" s="503"/>
      <c r="Q227" s="503"/>
      <c r="R227" s="503"/>
      <c r="S227" s="503"/>
      <c r="T227" s="503"/>
      <c r="U227" s="503"/>
      <c r="V227" s="503"/>
      <c r="W227" s="503"/>
      <c r="X227" s="503"/>
      <c r="Y227" s="503"/>
      <c r="Z227" s="503"/>
      <c r="AA227" s="503"/>
      <c r="AB227" s="503"/>
      <c r="AC227" s="503"/>
      <c r="AD227" s="503"/>
      <c r="AE227" s="503"/>
      <c r="AF227" s="503"/>
      <c r="AG227" s="503"/>
      <c r="AH227" s="648"/>
      <c r="AI227" s="649"/>
    </row>
    <row r="228" spans="1:35" ht="21" customHeight="1" x14ac:dyDescent="0.2">
      <c r="A228" s="152"/>
      <c r="B228" s="152"/>
      <c r="C228" s="503"/>
      <c r="D228" s="503"/>
      <c r="E228" s="503"/>
      <c r="F228" s="503"/>
      <c r="G228" s="503"/>
      <c r="H228" s="503"/>
      <c r="I228" s="503"/>
      <c r="J228" s="503"/>
      <c r="K228" s="503"/>
      <c r="L228" s="503"/>
      <c r="M228" s="503"/>
      <c r="N228" s="503"/>
      <c r="O228" s="503"/>
      <c r="P228" s="503"/>
      <c r="Q228" s="503"/>
      <c r="R228" s="503"/>
      <c r="S228" s="503"/>
      <c r="T228" s="503"/>
      <c r="U228" s="503"/>
      <c r="V228" s="503"/>
      <c r="W228" s="503"/>
      <c r="X228" s="503"/>
      <c r="Y228" s="503"/>
      <c r="Z228" s="503"/>
      <c r="AA228" s="503"/>
      <c r="AB228" s="503"/>
      <c r="AC228" s="503"/>
      <c r="AD228" s="503"/>
      <c r="AE228" s="503"/>
      <c r="AF228" s="503"/>
      <c r="AG228" s="154"/>
      <c r="AH228" s="693"/>
      <c r="AI228" s="694"/>
    </row>
    <row r="229" spans="1:35" ht="21" customHeight="1" x14ac:dyDescent="0.2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4"/>
      <c r="AH229" s="328"/>
      <c r="AI229" s="190"/>
    </row>
    <row r="230" spans="1:35" ht="21" customHeight="1" x14ac:dyDescent="0.2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4"/>
      <c r="AH230" s="328"/>
      <c r="AI230" s="190"/>
    </row>
    <row r="231" spans="1:35" ht="21" customHeight="1" x14ac:dyDescent="0.2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4"/>
      <c r="AH231" s="330"/>
      <c r="AI231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0" max="16383" man="1"/>
  </rowBreaks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11"/>
  <dimension ref="A1:AK232"/>
  <sheetViews>
    <sheetView topLeftCell="A211" zoomScale="67" zoomScaleNormal="67" workbookViewId="0">
      <selection activeCell="AH201" sqref="AH201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thickBot="1" x14ac:dyDescent="0.25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177">
        <v>1</v>
      </c>
      <c r="D10" s="177">
        <v>2</v>
      </c>
      <c r="E10" s="497">
        <v>3</v>
      </c>
      <c r="F10" s="497">
        <v>4</v>
      </c>
      <c r="G10" s="177">
        <v>5</v>
      </c>
      <c r="H10" s="177">
        <v>6</v>
      </c>
      <c r="I10" s="177">
        <v>7</v>
      </c>
      <c r="J10" s="177">
        <v>8</v>
      </c>
      <c r="K10" s="177">
        <v>9</v>
      </c>
      <c r="L10" s="497">
        <v>10</v>
      </c>
      <c r="M10" s="497">
        <v>11</v>
      </c>
      <c r="N10" s="177">
        <v>12</v>
      </c>
      <c r="O10" s="177">
        <v>13</v>
      </c>
      <c r="P10" s="177">
        <v>14</v>
      </c>
      <c r="Q10" s="177">
        <v>15</v>
      </c>
      <c r="R10" s="177">
        <v>16</v>
      </c>
      <c r="S10" s="497">
        <v>17</v>
      </c>
      <c r="T10" s="497">
        <v>18</v>
      </c>
      <c r="U10" s="177">
        <v>19</v>
      </c>
      <c r="V10" s="177">
        <v>20</v>
      </c>
      <c r="W10" s="177">
        <v>21</v>
      </c>
      <c r="X10" s="177">
        <v>22</v>
      </c>
      <c r="Y10" s="177">
        <v>23</v>
      </c>
      <c r="Z10" s="497">
        <v>24</v>
      </c>
      <c r="AA10" s="497">
        <v>25</v>
      </c>
      <c r="AB10" s="497">
        <v>26</v>
      </c>
      <c r="AC10" s="177">
        <v>27</v>
      </c>
      <c r="AD10" s="177">
        <v>28</v>
      </c>
      <c r="AE10" s="177">
        <v>29</v>
      </c>
      <c r="AF10" s="177">
        <v>30</v>
      </c>
      <c r="AG10" s="497">
        <v>31</v>
      </c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177"/>
      <c r="D11" s="177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16"/>
      <c r="AI11" s="517"/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05"/>
      <c r="AI12" s="506"/>
    </row>
    <row r="13" spans="1:35" ht="21.95" customHeight="1" x14ac:dyDescent="0.2">
      <c r="A13" s="512">
        <v>8546</v>
      </c>
      <c r="B13" s="513" t="s">
        <v>473</v>
      </c>
      <c r="C13" s="514" t="s">
        <v>475</v>
      </c>
      <c r="D13" s="514" t="s">
        <v>475</v>
      </c>
      <c r="E13" s="514"/>
      <c r="F13" s="514"/>
      <c r="G13" s="514">
        <v>3</v>
      </c>
      <c r="H13" s="514">
        <v>3</v>
      </c>
      <c r="I13" s="1534">
        <v>3</v>
      </c>
      <c r="J13" s="1534">
        <v>3</v>
      </c>
      <c r="K13" s="1534" t="s">
        <v>685</v>
      </c>
      <c r="L13" s="514"/>
      <c r="M13" s="514"/>
      <c r="N13" s="514">
        <v>4</v>
      </c>
      <c r="O13" s="514">
        <v>4</v>
      </c>
      <c r="P13" s="514">
        <v>4</v>
      </c>
      <c r="Q13" s="514">
        <v>4</v>
      </c>
      <c r="R13" s="514">
        <v>4</v>
      </c>
      <c r="S13" s="514" t="s">
        <v>476</v>
      </c>
      <c r="T13" s="514" t="s">
        <v>476</v>
      </c>
      <c r="U13" s="514" t="s">
        <v>475</v>
      </c>
      <c r="V13" s="514" t="s">
        <v>475</v>
      </c>
      <c r="W13" s="514" t="s">
        <v>475</v>
      </c>
      <c r="X13" s="514" t="s">
        <v>475</v>
      </c>
      <c r="Y13" s="514" t="s">
        <v>475</v>
      </c>
      <c r="Z13" s="514"/>
      <c r="AA13" s="514"/>
      <c r="AB13" s="514">
        <v>1</v>
      </c>
      <c r="AC13" s="514">
        <v>1</v>
      </c>
      <c r="AD13" s="514">
        <v>1</v>
      </c>
      <c r="AE13" s="514">
        <v>1</v>
      </c>
      <c r="AF13" s="514">
        <v>1</v>
      </c>
      <c r="AG13" s="514"/>
      <c r="AH13" s="505">
        <v>88</v>
      </c>
      <c r="AI13" s="506">
        <v>37</v>
      </c>
    </row>
    <row r="14" spans="1:35" ht="21.95" customHeight="1" x14ac:dyDescent="0.2">
      <c r="A14" s="501">
        <v>8546</v>
      </c>
      <c r="B14" s="346" t="s">
        <v>477</v>
      </c>
      <c r="C14" s="514">
        <v>1</v>
      </c>
      <c r="D14" s="514">
        <v>1</v>
      </c>
      <c r="E14" s="514"/>
      <c r="F14" s="514"/>
      <c r="G14" s="514">
        <v>2</v>
      </c>
      <c r="H14" s="514">
        <v>2</v>
      </c>
      <c r="I14" s="514">
        <v>2</v>
      </c>
      <c r="J14" s="514">
        <v>2</v>
      </c>
      <c r="K14" s="514">
        <v>2</v>
      </c>
      <c r="L14" s="514" t="s">
        <v>474</v>
      </c>
      <c r="M14" s="514" t="s">
        <v>474</v>
      </c>
      <c r="N14" s="514" t="s">
        <v>475</v>
      </c>
      <c r="O14" s="514" t="s">
        <v>475</v>
      </c>
      <c r="P14" s="514" t="s">
        <v>475</v>
      </c>
      <c r="Q14" s="514" t="s">
        <v>475</v>
      </c>
      <c r="R14" s="514" t="s">
        <v>475</v>
      </c>
      <c r="S14" s="514"/>
      <c r="T14" s="514"/>
      <c r="U14" s="514">
        <v>3</v>
      </c>
      <c r="V14" s="514">
        <v>3</v>
      </c>
      <c r="W14" s="514">
        <v>3</v>
      </c>
      <c r="X14" s="514">
        <v>3</v>
      </c>
      <c r="Y14" s="514">
        <v>3</v>
      </c>
      <c r="Z14" s="514"/>
      <c r="AA14" s="514"/>
      <c r="AB14" s="514">
        <v>4</v>
      </c>
      <c r="AC14" s="514">
        <v>4</v>
      </c>
      <c r="AD14" s="514">
        <v>4</v>
      </c>
      <c r="AE14" s="514">
        <v>4</v>
      </c>
      <c r="AF14" s="514">
        <v>4</v>
      </c>
      <c r="AG14" s="514" t="s">
        <v>476</v>
      </c>
      <c r="AH14" s="505">
        <v>83</v>
      </c>
      <c r="AI14" s="506">
        <v>37</v>
      </c>
    </row>
    <row r="15" spans="1:35" ht="21.95" customHeight="1" x14ac:dyDescent="0.2">
      <c r="A15" s="501">
        <v>8546</v>
      </c>
      <c r="B15" s="346" t="s">
        <v>174</v>
      </c>
      <c r="C15" s="514">
        <v>2</v>
      </c>
      <c r="D15" s="514" t="s">
        <v>616</v>
      </c>
      <c r="E15" s="514" t="s">
        <v>474</v>
      </c>
      <c r="F15" s="514" t="s">
        <v>474</v>
      </c>
      <c r="G15" s="514" t="s">
        <v>475</v>
      </c>
      <c r="H15" s="514" t="s">
        <v>475</v>
      </c>
      <c r="I15" s="514" t="s">
        <v>475</v>
      </c>
      <c r="J15" s="514" t="s">
        <v>475</v>
      </c>
      <c r="K15" s="514" t="s">
        <v>475</v>
      </c>
      <c r="L15" s="514"/>
      <c r="M15" s="514"/>
      <c r="N15" s="514">
        <v>3</v>
      </c>
      <c r="O15" s="514">
        <v>3</v>
      </c>
      <c r="P15" s="1066">
        <v>3</v>
      </c>
      <c r="Q15" s="1066">
        <v>3</v>
      </c>
      <c r="R15" s="1066">
        <v>3</v>
      </c>
      <c r="S15" s="514"/>
      <c r="T15" s="514"/>
      <c r="U15" s="514">
        <v>4</v>
      </c>
      <c r="V15" s="514">
        <v>4</v>
      </c>
      <c r="W15" s="514">
        <v>4</v>
      </c>
      <c r="X15" s="514">
        <v>4</v>
      </c>
      <c r="Y15" s="514">
        <v>4</v>
      </c>
      <c r="Z15" s="514" t="s">
        <v>476</v>
      </c>
      <c r="AA15" s="514" t="s">
        <v>476</v>
      </c>
      <c r="AB15" s="514" t="s">
        <v>475</v>
      </c>
      <c r="AC15" s="514" t="s">
        <v>475</v>
      </c>
      <c r="AD15" s="514" t="s">
        <v>475</v>
      </c>
      <c r="AE15" s="514" t="s">
        <v>475</v>
      </c>
      <c r="AF15" s="514" t="s">
        <v>475</v>
      </c>
      <c r="AG15" s="514"/>
      <c r="AH15" s="505">
        <v>21</v>
      </c>
      <c r="AI15" s="506">
        <v>37</v>
      </c>
    </row>
    <row r="16" spans="1:35" ht="21.95" customHeight="1" x14ac:dyDescent="0.2">
      <c r="A16" s="501">
        <v>8546</v>
      </c>
      <c r="B16" s="346" t="s">
        <v>478</v>
      </c>
      <c r="C16" s="514">
        <v>4</v>
      </c>
      <c r="D16" s="514">
        <v>4</v>
      </c>
      <c r="E16" s="514" t="s">
        <v>476</v>
      </c>
      <c r="F16" s="514" t="s">
        <v>476</v>
      </c>
      <c r="G16" s="514" t="s">
        <v>475</v>
      </c>
      <c r="H16" s="514" t="s">
        <v>475</v>
      </c>
      <c r="I16" s="514" t="s">
        <v>475</v>
      </c>
      <c r="J16" s="514" t="s">
        <v>475</v>
      </c>
      <c r="K16" s="514" t="s">
        <v>475</v>
      </c>
      <c r="L16" s="514"/>
      <c r="M16" s="514"/>
      <c r="N16" s="514">
        <v>1</v>
      </c>
      <c r="O16" s="514">
        <v>1</v>
      </c>
      <c r="P16" s="514">
        <v>1</v>
      </c>
      <c r="Q16" s="514">
        <v>1</v>
      </c>
      <c r="R16" s="514">
        <v>1</v>
      </c>
      <c r="S16" s="514"/>
      <c r="T16" s="514"/>
      <c r="U16" s="514">
        <v>2</v>
      </c>
      <c r="V16" s="514">
        <v>2</v>
      </c>
      <c r="W16" s="514">
        <v>2</v>
      </c>
      <c r="X16" s="514">
        <v>2</v>
      </c>
      <c r="Y16" s="514">
        <v>2</v>
      </c>
      <c r="Z16" s="514" t="s">
        <v>474</v>
      </c>
      <c r="AA16" s="514" t="s">
        <v>474</v>
      </c>
      <c r="AB16" s="514" t="s">
        <v>475</v>
      </c>
      <c r="AC16" s="514" t="s">
        <v>475</v>
      </c>
      <c r="AD16" s="514" t="s">
        <v>475</v>
      </c>
      <c r="AE16" s="514" t="s">
        <v>475</v>
      </c>
      <c r="AF16" s="514" t="s">
        <v>475</v>
      </c>
      <c r="AG16" s="514"/>
      <c r="AH16" s="505">
        <v>12</v>
      </c>
      <c r="AI16" s="506">
        <v>37</v>
      </c>
    </row>
    <row r="17" spans="1:37" ht="21.95" customHeight="1" x14ac:dyDescent="0.2">
      <c r="A17" s="501">
        <v>8546</v>
      </c>
      <c r="B17" s="346" t="s">
        <v>479</v>
      </c>
      <c r="C17" s="1066">
        <v>3</v>
      </c>
      <c r="D17" s="1066">
        <v>3</v>
      </c>
      <c r="E17" s="1066"/>
      <c r="F17" s="1066"/>
      <c r="G17" s="514">
        <v>4</v>
      </c>
      <c r="H17" s="514">
        <v>4</v>
      </c>
      <c r="I17" s="1486">
        <v>4</v>
      </c>
      <c r="J17" s="514">
        <v>4</v>
      </c>
      <c r="K17" s="514">
        <v>4</v>
      </c>
      <c r="L17" s="514" t="s">
        <v>476</v>
      </c>
      <c r="M17" s="514" t="s">
        <v>476</v>
      </c>
      <c r="N17" s="514" t="s">
        <v>475</v>
      </c>
      <c r="O17" s="1486" t="s">
        <v>475</v>
      </c>
      <c r="P17" s="514" t="s">
        <v>475</v>
      </c>
      <c r="Q17" s="514" t="s">
        <v>475</v>
      </c>
      <c r="R17" s="514" t="s">
        <v>475</v>
      </c>
      <c r="S17" s="514"/>
      <c r="T17" s="514"/>
      <c r="U17" s="514">
        <v>1</v>
      </c>
      <c r="V17" s="514">
        <v>1</v>
      </c>
      <c r="W17" s="514">
        <v>1</v>
      </c>
      <c r="X17" s="514">
        <v>1</v>
      </c>
      <c r="Y17" s="514">
        <v>1</v>
      </c>
      <c r="Z17" s="514"/>
      <c r="AA17" s="514"/>
      <c r="AB17" s="514">
        <v>2</v>
      </c>
      <c r="AC17" s="514">
        <v>2</v>
      </c>
      <c r="AD17" s="514">
        <v>2</v>
      </c>
      <c r="AE17" s="514">
        <v>2</v>
      </c>
      <c r="AF17" s="514">
        <v>2</v>
      </c>
      <c r="AG17" s="514" t="s">
        <v>474</v>
      </c>
      <c r="AH17" s="505">
        <v>27</v>
      </c>
      <c r="AI17" s="506">
        <v>37</v>
      </c>
    </row>
    <row r="18" spans="1:37" ht="21.95" customHeight="1" x14ac:dyDescent="0.2">
      <c r="A18" s="501">
        <v>8546</v>
      </c>
      <c r="B18" s="346" t="s">
        <v>480</v>
      </c>
      <c r="C18" s="514" t="s">
        <v>475</v>
      </c>
      <c r="D18" s="514" t="s">
        <v>475</v>
      </c>
      <c r="E18" s="514"/>
      <c r="F18" s="514"/>
      <c r="G18" s="514">
        <v>1</v>
      </c>
      <c r="H18" s="514">
        <v>1</v>
      </c>
      <c r="I18" s="1551">
        <v>1</v>
      </c>
      <c r="J18" s="514">
        <v>3</v>
      </c>
      <c r="K18" s="514">
        <v>3</v>
      </c>
      <c r="L18" s="514"/>
      <c r="M18" s="514"/>
      <c r="N18" s="514">
        <v>2</v>
      </c>
      <c r="O18" s="514">
        <v>2</v>
      </c>
      <c r="P18" s="514">
        <v>2</v>
      </c>
      <c r="Q18" s="514">
        <v>2</v>
      </c>
      <c r="R18" s="514">
        <v>2</v>
      </c>
      <c r="S18" s="514" t="s">
        <v>474</v>
      </c>
      <c r="T18" s="514" t="s">
        <v>474</v>
      </c>
      <c r="U18" s="514" t="s">
        <v>475</v>
      </c>
      <c r="V18" s="514" t="s">
        <v>475</v>
      </c>
      <c r="W18" s="514" t="s">
        <v>475</v>
      </c>
      <c r="X18" s="514" t="s">
        <v>475</v>
      </c>
      <c r="Y18" s="514" t="s">
        <v>475</v>
      </c>
      <c r="Z18" s="514"/>
      <c r="AA18" s="514"/>
      <c r="AB18" s="514">
        <v>3</v>
      </c>
      <c r="AC18" s="514">
        <v>3</v>
      </c>
      <c r="AD18" s="514">
        <v>3</v>
      </c>
      <c r="AE18" s="514">
        <v>3</v>
      </c>
      <c r="AF18" s="514">
        <v>3</v>
      </c>
      <c r="AG18" s="514"/>
      <c r="AH18" s="505">
        <v>38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05"/>
      <c r="AI19" s="506"/>
    </row>
    <row r="20" spans="1:37" ht="21.95" customHeight="1" x14ac:dyDescent="0.2">
      <c r="A20" s="501">
        <v>8500</v>
      </c>
      <c r="B20" s="185" t="s">
        <v>188</v>
      </c>
      <c r="C20" s="514">
        <v>3</v>
      </c>
      <c r="D20" s="514">
        <v>3</v>
      </c>
      <c r="E20" s="514" t="s">
        <v>550</v>
      </c>
      <c r="F20" s="514" t="s">
        <v>550</v>
      </c>
      <c r="G20" s="1567" t="s">
        <v>482</v>
      </c>
      <c r="H20" s="1568" t="s">
        <v>482</v>
      </c>
      <c r="I20" s="1486" t="s">
        <v>552</v>
      </c>
      <c r="J20" s="1518" t="s">
        <v>552</v>
      </c>
      <c r="K20" s="1518" t="s">
        <v>552</v>
      </c>
      <c r="L20" s="514" t="s">
        <v>484</v>
      </c>
      <c r="M20" s="514"/>
      <c r="N20" s="1567">
        <v>6</v>
      </c>
      <c r="O20" s="1486" t="s">
        <v>552</v>
      </c>
      <c r="P20" s="514">
        <v>3</v>
      </c>
      <c r="Q20" s="514">
        <v>3</v>
      </c>
      <c r="R20" s="514" t="s">
        <v>552</v>
      </c>
      <c r="S20" s="514"/>
      <c r="T20" s="514"/>
      <c r="U20" s="514" t="s">
        <v>552</v>
      </c>
      <c r="V20" s="1518" t="s">
        <v>552</v>
      </c>
      <c r="W20" s="1518" t="s">
        <v>552</v>
      </c>
      <c r="X20" s="1518" t="s">
        <v>552</v>
      </c>
      <c r="Y20" s="1518" t="s">
        <v>552</v>
      </c>
      <c r="Z20" s="514"/>
      <c r="AA20" s="514"/>
      <c r="AB20" s="514"/>
      <c r="AC20" s="1066" t="s">
        <v>552</v>
      </c>
      <c r="AD20" s="1066" t="s">
        <v>552</v>
      </c>
      <c r="AE20" s="1066" t="s">
        <v>552</v>
      </c>
      <c r="AF20" s="1066" t="s">
        <v>552</v>
      </c>
      <c r="AG20" s="514"/>
      <c r="AH20" s="505">
        <v>58</v>
      </c>
      <c r="AI20" s="506">
        <v>37</v>
      </c>
    </row>
    <row r="21" spans="1:37" ht="21.95" customHeight="1" x14ac:dyDescent="0.2">
      <c r="A21" s="501">
        <v>8500</v>
      </c>
      <c r="B21" s="185" t="s">
        <v>483</v>
      </c>
      <c r="C21" s="514" t="s">
        <v>552</v>
      </c>
      <c r="D21" s="514">
        <v>2</v>
      </c>
      <c r="E21" s="514"/>
      <c r="F21" s="514"/>
      <c r="G21" s="514" t="s">
        <v>552</v>
      </c>
      <c r="H21" s="514" t="s">
        <v>552</v>
      </c>
      <c r="I21" s="514" t="s">
        <v>552</v>
      </c>
      <c r="J21" s="514">
        <v>1</v>
      </c>
      <c r="K21" s="514">
        <v>1</v>
      </c>
      <c r="L21" s="514" t="s">
        <v>484</v>
      </c>
      <c r="M21" s="514" t="s">
        <v>484</v>
      </c>
      <c r="N21" s="1549" t="s">
        <v>482</v>
      </c>
      <c r="O21" s="1066" t="s">
        <v>552</v>
      </c>
      <c r="P21" s="1066" t="s">
        <v>552</v>
      </c>
      <c r="Q21" s="1066" t="s">
        <v>552</v>
      </c>
      <c r="R21" s="1066" t="s">
        <v>552</v>
      </c>
      <c r="S21" s="1066"/>
      <c r="T21" s="1066"/>
      <c r="U21" s="514" t="s">
        <v>552</v>
      </c>
      <c r="V21" s="514" t="s">
        <v>552</v>
      </c>
      <c r="W21" s="514" t="s">
        <v>552</v>
      </c>
      <c r="X21" s="514" t="s">
        <v>552</v>
      </c>
      <c r="Y21" s="514" t="s">
        <v>552</v>
      </c>
      <c r="Z21" s="514"/>
      <c r="AA21" s="514"/>
      <c r="AB21" s="514"/>
      <c r="AC21" s="1103" t="s">
        <v>552</v>
      </c>
      <c r="AD21" s="1103" t="s">
        <v>552</v>
      </c>
      <c r="AE21" s="1103" t="s">
        <v>552</v>
      </c>
      <c r="AF21" s="1103" t="s">
        <v>552</v>
      </c>
      <c r="AG21" s="514"/>
      <c r="AH21" s="505">
        <v>37</v>
      </c>
      <c r="AI21" s="506">
        <v>37</v>
      </c>
    </row>
    <row r="22" spans="1:37" ht="21.95" customHeight="1" thickBot="1" x14ac:dyDescent="0.25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1585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  <c r="AI25" s="828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91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thickBot="1" x14ac:dyDescent="0.25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360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thickBot="1" x14ac:dyDescent="0.25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527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27" t="s">
        <v>706</v>
      </c>
      <c r="N31" s="134"/>
      <c r="O31" s="527"/>
      <c r="P31" s="527"/>
      <c r="Q31" s="527"/>
      <c r="R31" s="527"/>
      <c r="S31" s="529"/>
      <c r="T31" s="529" t="s">
        <v>489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56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thickBot="1" x14ac:dyDescent="0.3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53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thickBot="1" x14ac:dyDescent="0.3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46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thickBot="1" x14ac:dyDescent="0.25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177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thickBot="1" x14ac:dyDescent="0.25">
      <c r="A36" s="547" t="s">
        <v>468</v>
      </c>
      <c r="B36" s="181" t="s">
        <v>469</v>
      </c>
      <c r="C36" s="177">
        <v>1</v>
      </c>
      <c r="D36" s="177">
        <v>2</v>
      </c>
      <c r="E36" s="497">
        <v>3</v>
      </c>
      <c r="F36" s="497">
        <v>4</v>
      </c>
      <c r="G36" s="177">
        <v>5</v>
      </c>
      <c r="H36" s="177">
        <v>6</v>
      </c>
      <c r="I36" s="177">
        <v>7</v>
      </c>
      <c r="J36" s="177">
        <v>8</v>
      </c>
      <c r="K36" s="177">
        <v>9</v>
      </c>
      <c r="L36" s="497">
        <v>10</v>
      </c>
      <c r="M36" s="497">
        <v>11</v>
      </c>
      <c r="N36" s="177">
        <v>12</v>
      </c>
      <c r="O36" s="177">
        <v>13</v>
      </c>
      <c r="P36" s="177">
        <v>14</v>
      </c>
      <c r="Q36" s="177">
        <v>15</v>
      </c>
      <c r="R36" s="177">
        <v>16</v>
      </c>
      <c r="S36" s="497">
        <v>17</v>
      </c>
      <c r="T36" s="497">
        <v>18</v>
      </c>
      <c r="U36" s="177">
        <v>19</v>
      </c>
      <c r="V36" s="177">
        <v>20</v>
      </c>
      <c r="W36" s="177">
        <v>21</v>
      </c>
      <c r="X36" s="177">
        <v>22</v>
      </c>
      <c r="Y36" s="177">
        <v>23</v>
      </c>
      <c r="Z36" s="497">
        <v>24</v>
      </c>
      <c r="AA36" s="497">
        <v>25</v>
      </c>
      <c r="AB36" s="497">
        <v>26</v>
      </c>
      <c r="AC36" s="177">
        <v>27</v>
      </c>
      <c r="AD36" s="177">
        <v>28</v>
      </c>
      <c r="AE36" s="177">
        <v>29</v>
      </c>
      <c r="AF36" s="177">
        <v>30</v>
      </c>
      <c r="AG36" s="497">
        <v>31</v>
      </c>
      <c r="AH36" s="499" t="s">
        <v>470</v>
      </c>
      <c r="AI36" s="500" t="s">
        <v>471</v>
      </c>
    </row>
    <row r="37" spans="1:37" ht="21.95" customHeight="1" x14ac:dyDescent="0.2">
      <c r="A37" s="548">
        <v>1</v>
      </c>
      <c r="B37" s="45" t="s">
        <v>502</v>
      </c>
      <c r="C37" s="549" t="s">
        <v>475</v>
      </c>
      <c r="D37" s="549" t="s">
        <v>475</v>
      </c>
      <c r="E37" s="549"/>
      <c r="F37" s="549"/>
      <c r="G37" s="549">
        <v>8</v>
      </c>
      <c r="H37" s="549">
        <v>8</v>
      </c>
      <c r="I37" s="549">
        <v>8</v>
      </c>
      <c r="J37" s="549">
        <v>8</v>
      </c>
      <c r="K37" s="549">
        <v>8</v>
      </c>
      <c r="L37" s="549" t="s">
        <v>504</v>
      </c>
      <c r="M37" s="549" t="s">
        <v>504</v>
      </c>
      <c r="N37" s="553" t="s">
        <v>475</v>
      </c>
      <c r="O37" s="549" t="s">
        <v>475</v>
      </c>
      <c r="P37" s="549" t="s">
        <v>475</v>
      </c>
      <c r="Q37" s="549" t="s">
        <v>475</v>
      </c>
      <c r="R37" s="549" t="s">
        <v>475</v>
      </c>
      <c r="S37" s="549"/>
      <c r="T37" s="549"/>
      <c r="U37" s="549">
        <v>1</v>
      </c>
      <c r="V37" s="549">
        <v>1</v>
      </c>
      <c r="W37" s="549">
        <v>1</v>
      </c>
      <c r="X37" s="549">
        <v>1</v>
      </c>
      <c r="Y37" s="549">
        <v>1</v>
      </c>
      <c r="Z37" s="549"/>
      <c r="AA37" s="549"/>
      <c r="AB37" s="549">
        <v>9</v>
      </c>
      <c r="AC37" s="549">
        <v>9</v>
      </c>
      <c r="AD37" s="549">
        <v>9</v>
      </c>
      <c r="AE37" s="549">
        <v>9</v>
      </c>
      <c r="AF37" s="549">
        <v>9</v>
      </c>
      <c r="AG37" s="550" t="s">
        <v>511</v>
      </c>
      <c r="AH37" s="505">
        <v>56</v>
      </c>
      <c r="AI37" s="506">
        <v>37</v>
      </c>
    </row>
    <row r="38" spans="1:37" ht="21.95" customHeight="1" thickBot="1" x14ac:dyDescent="0.25">
      <c r="A38" s="551">
        <v>6</v>
      </c>
      <c r="B38" s="552" t="s">
        <v>506</v>
      </c>
      <c r="C38" s="553" t="s">
        <v>475</v>
      </c>
      <c r="D38" s="553" t="s">
        <v>475</v>
      </c>
      <c r="E38" s="553"/>
      <c r="F38" s="553"/>
      <c r="G38" s="553">
        <v>6</v>
      </c>
      <c r="H38" s="553">
        <v>6</v>
      </c>
      <c r="I38" s="1084">
        <v>6</v>
      </c>
      <c r="J38" s="553">
        <v>6</v>
      </c>
      <c r="K38" s="553">
        <v>6</v>
      </c>
      <c r="L38" s="553" t="s">
        <v>508</v>
      </c>
      <c r="M38" s="553" t="s">
        <v>504</v>
      </c>
      <c r="N38" s="557" t="s">
        <v>475</v>
      </c>
      <c r="O38" s="1084" t="s">
        <v>475</v>
      </c>
      <c r="P38" s="553" t="s">
        <v>475</v>
      </c>
      <c r="Q38" s="553" t="s">
        <v>475</v>
      </c>
      <c r="R38" s="553" t="s">
        <v>475</v>
      </c>
      <c r="S38" s="553"/>
      <c r="T38" s="553"/>
      <c r="U38" s="553" t="s">
        <v>540</v>
      </c>
      <c r="V38" s="553">
        <v>3</v>
      </c>
      <c r="W38" s="553">
        <v>5</v>
      </c>
      <c r="X38" s="1511">
        <v>5</v>
      </c>
      <c r="Y38" s="1511">
        <v>5</v>
      </c>
      <c r="Z38" s="553"/>
      <c r="AA38" s="553"/>
      <c r="AB38" s="553">
        <v>10</v>
      </c>
      <c r="AC38" s="553">
        <v>10</v>
      </c>
      <c r="AD38" s="553">
        <v>10</v>
      </c>
      <c r="AE38" s="553">
        <v>10</v>
      </c>
      <c r="AF38" s="553">
        <v>10</v>
      </c>
      <c r="AG38" s="554" t="s">
        <v>507</v>
      </c>
      <c r="AH38" s="505">
        <v>75</v>
      </c>
      <c r="AI38" s="506">
        <v>37</v>
      </c>
    </row>
    <row r="39" spans="1:37" ht="21.95" customHeight="1" thickBot="1" x14ac:dyDescent="0.25">
      <c r="A39" s="555">
        <v>11</v>
      </c>
      <c r="B39" s="556" t="s">
        <v>509</v>
      </c>
      <c r="C39" s="1097" t="s">
        <v>475</v>
      </c>
      <c r="D39" s="1097" t="s">
        <v>475</v>
      </c>
      <c r="E39" s="1097" t="s">
        <v>505</v>
      </c>
      <c r="F39" s="1097" t="s">
        <v>505</v>
      </c>
      <c r="G39" s="1061">
        <v>7</v>
      </c>
      <c r="H39" s="1061">
        <v>7</v>
      </c>
      <c r="I39" s="1479">
        <v>7</v>
      </c>
      <c r="J39" s="1479">
        <v>7</v>
      </c>
      <c r="K39" s="1479">
        <v>7</v>
      </c>
      <c r="L39" s="1479"/>
      <c r="M39" s="1479"/>
      <c r="N39" s="1479">
        <v>4</v>
      </c>
      <c r="O39" s="1479">
        <v>4</v>
      </c>
      <c r="P39" s="1479">
        <v>4</v>
      </c>
      <c r="Q39" s="1479">
        <v>4</v>
      </c>
      <c r="R39" s="1479">
        <v>4</v>
      </c>
      <c r="S39" s="1479"/>
      <c r="T39" s="1479"/>
      <c r="U39" s="1097">
        <v>3</v>
      </c>
      <c r="V39" s="1097">
        <v>3</v>
      </c>
      <c r="W39" s="1097">
        <v>3</v>
      </c>
      <c r="X39" s="1097">
        <v>3</v>
      </c>
      <c r="Y39" s="1097">
        <v>3</v>
      </c>
      <c r="Z39" s="1097"/>
      <c r="AA39" s="1097"/>
      <c r="AB39" s="1097">
        <v>11</v>
      </c>
      <c r="AC39" s="1518">
        <v>11</v>
      </c>
      <c r="AD39" s="1518">
        <v>11</v>
      </c>
      <c r="AE39" s="1518">
        <v>11</v>
      </c>
      <c r="AF39" s="1518">
        <v>11</v>
      </c>
      <c r="AG39" s="1097" t="s">
        <v>503</v>
      </c>
      <c r="AH39" s="505">
        <v>23</v>
      </c>
      <c r="AI39" s="506">
        <v>37</v>
      </c>
    </row>
    <row r="40" spans="1:37" ht="21.95" customHeight="1" x14ac:dyDescent="0.2">
      <c r="A40" s="548">
        <v>2</v>
      </c>
      <c r="B40" s="45" t="s">
        <v>510</v>
      </c>
      <c r="C40" s="549">
        <v>8</v>
      </c>
      <c r="D40" s="1474">
        <v>8</v>
      </c>
      <c r="E40" s="1474" t="s">
        <v>504</v>
      </c>
      <c r="F40" s="1474" t="s">
        <v>504</v>
      </c>
      <c r="G40" s="559" t="s">
        <v>475</v>
      </c>
      <c r="H40" s="549" t="s">
        <v>475</v>
      </c>
      <c r="I40" s="1572">
        <v>3</v>
      </c>
      <c r="J40" s="549" t="s">
        <v>475</v>
      </c>
      <c r="K40" s="549" t="s">
        <v>475</v>
      </c>
      <c r="L40" s="549"/>
      <c r="M40" s="549"/>
      <c r="N40" s="553">
        <v>1</v>
      </c>
      <c r="O40" s="549">
        <v>1</v>
      </c>
      <c r="P40" s="549">
        <v>1</v>
      </c>
      <c r="Q40" s="549">
        <v>1</v>
      </c>
      <c r="R40" s="549">
        <v>1</v>
      </c>
      <c r="S40" s="549"/>
      <c r="T40" s="559"/>
      <c r="U40" s="559">
        <v>9</v>
      </c>
      <c r="V40" s="549">
        <v>9</v>
      </c>
      <c r="W40" s="549">
        <v>9</v>
      </c>
      <c r="X40" s="549">
        <v>9</v>
      </c>
      <c r="Y40" s="549">
        <v>9</v>
      </c>
      <c r="Z40" s="549" t="s">
        <v>511</v>
      </c>
      <c r="AA40" s="549" t="s">
        <v>507</v>
      </c>
      <c r="AB40" s="549" t="s">
        <v>475</v>
      </c>
      <c r="AC40" s="559" t="s">
        <v>475</v>
      </c>
      <c r="AD40" s="559" t="s">
        <v>475</v>
      </c>
      <c r="AE40" s="549" t="s">
        <v>475</v>
      </c>
      <c r="AF40" s="549" t="s">
        <v>475</v>
      </c>
      <c r="AG40" s="550"/>
      <c r="AH40" s="696">
        <v>4</v>
      </c>
      <c r="AI40" s="506">
        <v>37</v>
      </c>
    </row>
    <row r="41" spans="1:37" ht="21.95" customHeight="1" thickBot="1" x14ac:dyDescent="0.25">
      <c r="A41" s="551">
        <v>7</v>
      </c>
      <c r="B41" s="152" t="s">
        <v>512</v>
      </c>
      <c r="C41" s="553">
        <v>6</v>
      </c>
      <c r="D41" s="553">
        <v>6</v>
      </c>
      <c r="E41" s="553" t="s">
        <v>508</v>
      </c>
      <c r="F41" s="553" t="s">
        <v>504</v>
      </c>
      <c r="G41" s="553" t="s">
        <v>475</v>
      </c>
      <c r="H41" s="553" t="s">
        <v>475</v>
      </c>
      <c r="I41" s="553" t="s">
        <v>475</v>
      </c>
      <c r="J41" s="553" t="s">
        <v>475</v>
      </c>
      <c r="K41" s="553" t="s">
        <v>475</v>
      </c>
      <c r="L41" s="553"/>
      <c r="M41" s="553"/>
      <c r="N41" s="557" t="s">
        <v>552</v>
      </c>
      <c r="O41" s="553">
        <v>6</v>
      </c>
      <c r="P41" s="553">
        <v>6</v>
      </c>
      <c r="Q41" s="553">
        <v>6</v>
      </c>
      <c r="R41" s="553">
        <v>3</v>
      </c>
      <c r="S41" s="553"/>
      <c r="T41" s="553"/>
      <c r="U41" s="553">
        <v>10</v>
      </c>
      <c r="V41" s="553">
        <v>10</v>
      </c>
      <c r="W41" s="553">
        <v>10</v>
      </c>
      <c r="X41" s="553">
        <v>10</v>
      </c>
      <c r="Y41" s="553">
        <v>10</v>
      </c>
      <c r="Z41" s="553" t="s">
        <v>507</v>
      </c>
      <c r="AA41" s="553" t="s">
        <v>507</v>
      </c>
      <c r="AB41" s="553" t="s">
        <v>475</v>
      </c>
      <c r="AC41" s="553" t="s">
        <v>475</v>
      </c>
      <c r="AD41" s="553" t="s">
        <v>475</v>
      </c>
      <c r="AE41" s="553" t="s">
        <v>475</v>
      </c>
      <c r="AF41" s="553" t="s">
        <v>475</v>
      </c>
      <c r="AG41" s="554" t="s">
        <v>505</v>
      </c>
      <c r="AH41" s="505">
        <v>57</v>
      </c>
      <c r="AI41" s="506">
        <v>37</v>
      </c>
    </row>
    <row r="42" spans="1:37" ht="21.95" customHeight="1" thickBot="1" x14ac:dyDescent="0.25">
      <c r="A42" s="555">
        <v>12</v>
      </c>
      <c r="B42" s="560" t="s">
        <v>514</v>
      </c>
      <c r="C42" s="557">
        <v>7</v>
      </c>
      <c r="D42" s="557">
        <v>7</v>
      </c>
      <c r="E42" s="557"/>
      <c r="F42" s="557"/>
      <c r="G42" s="1061">
        <v>4</v>
      </c>
      <c r="H42" s="1061">
        <v>4</v>
      </c>
      <c r="I42" s="1061">
        <v>4</v>
      </c>
      <c r="J42" s="1061">
        <v>4</v>
      </c>
      <c r="K42" s="1061">
        <v>4</v>
      </c>
      <c r="L42" s="1061"/>
      <c r="M42" s="1061"/>
      <c r="N42" s="1569">
        <v>9</v>
      </c>
      <c r="O42" s="1061">
        <v>3</v>
      </c>
      <c r="P42" s="1061">
        <v>3</v>
      </c>
      <c r="Q42" s="1061">
        <v>3</v>
      </c>
      <c r="R42" s="1061">
        <v>3</v>
      </c>
      <c r="S42" s="1061"/>
      <c r="T42" s="1061"/>
      <c r="U42" s="557">
        <v>11</v>
      </c>
      <c r="V42" s="557">
        <v>11</v>
      </c>
      <c r="W42" s="557">
        <v>11</v>
      </c>
      <c r="X42" s="557">
        <v>11</v>
      </c>
      <c r="Y42" s="557">
        <v>11</v>
      </c>
      <c r="Z42" s="557" t="s">
        <v>503</v>
      </c>
      <c r="AA42" s="557" t="s">
        <v>503</v>
      </c>
      <c r="AB42" s="557" t="s">
        <v>475</v>
      </c>
      <c r="AC42" s="557" t="s">
        <v>475</v>
      </c>
      <c r="AD42" s="557" t="s">
        <v>475</v>
      </c>
      <c r="AE42" s="557" t="s">
        <v>475</v>
      </c>
      <c r="AF42" s="557" t="s">
        <v>475</v>
      </c>
      <c r="AG42" s="558"/>
      <c r="AH42" s="696">
        <v>0</v>
      </c>
      <c r="AI42" s="506">
        <v>18</v>
      </c>
    </row>
    <row r="43" spans="1:37" ht="21.95" customHeight="1" x14ac:dyDescent="0.2">
      <c r="A43" s="561">
        <v>3</v>
      </c>
      <c r="B43" s="562" t="s">
        <v>515</v>
      </c>
      <c r="C43" s="1097" t="s">
        <v>475</v>
      </c>
      <c r="D43" s="1097" t="s">
        <v>475</v>
      </c>
      <c r="E43" s="1097"/>
      <c r="F43" s="1097"/>
      <c r="G43" s="1066">
        <v>1</v>
      </c>
      <c r="H43" s="1066">
        <v>1</v>
      </c>
      <c r="I43" s="1097">
        <v>1</v>
      </c>
      <c r="J43" s="1097">
        <v>1</v>
      </c>
      <c r="K43" s="1097">
        <v>1</v>
      </c>
      <c r="L43" s="1097"/>
      <c r="M43" s="1097"/>
      <c r="N43" s="1097">
        <v>9</v>
      </c>
      <c r="O43" s="1097">
        <v>9</v>
      </c>
      <c r="P43" s="1097">
        <v>9</v>
      </c>
      <c r="Q43" s="1097">
        <v>9</v>
      </c>
      <c r="R43" s="1098">
        <v>9</v>
      </c>
      <c r="S43" s="1097" t="s">
        <v>511</v>
      </c>
      <c r="T43" s="1097" t="s">
        <v>507</v>
      </c>
      <c r="U43" s="1097" t="s">
        <v>475</v>
      </c>
      <c r="V43" s="1097" t="s">
        <v>475</v>
      </c>
      <c r="W43" s="1097" t="s">
        <v>475</v>
      </c>
      <c r="X43" s="1097" t="s">
        <v>475</v>
      </c>
      <c r="Y43" s="1097" t="s">
        <v>475</v>
      </c>
      <c r="Z43" s="1097"/>
      <c r="AA43" s="1097"/>
      <c r="AB43" s="1097">
        <v>6</v>
      </c>
      <c r="AC43" s="1543">
        <v>6</v>
      </c>
      <c r="AD43" s="1543">
        <v>6</v>
      </c>
      <c r="AE43" s="1543">
        <v>6</v>
      </c>
      <c r="AF43" s="1518">
        <v>6</v>
      </c>
      <c r="AG43" s="1105" t="s">
        <v>508</v>
      </c>
      <c r="AH43" s="505">
        <v>1</v>
      </c>
      <c r="AI43" s="506">
        <v>37</v>
      </c>
    </row>
    <row r="44" spans="1:37" ht="21.95" customHeight="1" thickBot="1" x14ac:dyDescent="0.25">
      <c r="A44" s="551">
        <v>8</v>
      </c>
      <c r="B44" s="318" t="s">
        <v>516</v>
      </c>
      <c r="C44" s="553" t="s">
        <v>475</v>
      </c>
      <c r="D44" s="553" t="s">
        <v>475</v>
      </c>
      <c r="E44" s="553"/>
      <c r="F44" s="553"/>
      <c r="G44" s="546">
        <v>7</v>
      </c>
      <c r="H44" s="553">
        <v>7</v>
      </c>
      <c r="I44" s="553">
        <v>6</v>
      </c>
      <c r="J44" s="553">
        <v>3</v>
      </c>
      <c r="K44" s="553">
        <v>3</v>
      </c>
      <c r="L44" s="553"/>
      <c r="M44" s="553"/>
      <c r="N44" s="557">
        <v>10</v>
      </c>
      <c r="O44" s="553">
        <v>10</v>
      </c>
      <c r="P44" s="1515">
        <v>10</v>
      </c>
      <c r="Q44" s="1609">
        <v>10</v>
      </c>
      <c r="R44" s="1515" t="s">
        <v>747</v>
      </c>
      <c r="S44" s="566" t="s">
        <v>507</v>
      </c>
      <c r="T44" s="553" t="s">
        <v>507</v>
      </c>
      <c r="U44" s="553" t="s">
        <v>475</v>
      </c>
      <c r="V44" s="553" t="s">
        <v>475</v>
      </c>
      <c r="W44" s="553" t="s">
        <v>475</v>
      </c>
      <c r="X44" s="553" t="s">
        <v>475</v>
      </c>
      <c r="Y44" s="553" t="s">
        <v>475</v>
      </c>
      <c r="Z44" s="553" t="s">
        <v>505</v>
      </c>
      <c r="AA44" s="553" t="s">
        <v>505</v>
      </c>
      <c r="AB44" s="553">
        <v>7</v>
      </c>
      <c r="AC44" s="553">
        <v>7</v>
      </c>
      <c r="AD44" s="553">
        <v>7</v>
      </c>
      <c r="AE44" s="553">
        <v>7</v>
      </c>
      <c r="AF44" s="553">
        <v>7</v>
      </c>
      <c r="AG44" s="554"/>
      <c r="AH44" s="505">
        <v>83</v>
      </c>
      <c r="AI44" s="506">
        <v>37</v>
      </c>
    </row>
    <row r="45" spans="1:37" ht="21.95" customHeight="1" thickBot="1" x14ac:dyDescent="0.25">
      <c r="A45" s="555">
        <v>13</v>
      </c>
      <c r="B45" s="52" t="s">
        <v>517</v>
      </c>
      <c r="C45" s="1514">
        <v>4</v>
      </c>
      <c r="D45" s="1514">
        <v>4</v>
      </c>
      <c r="E45" s="1514"/>
      <c r="F45" s="1514"/>
      <c r="G45" s="1514">
        <v>3</v>
      </c>
      <c r="H45" s="1514">
        <v>3</v>
      </c>
      <c r="I45" s="1514" t="s">
        <v>685</v>
      </c>
      <c r="J45" s="557">
        <v>4</v>
      </c>
      <c r="K45" s="557">
        <v>4</v>
      </c>
      <c r="L45" s="557"/>
      <c r="M45" s="557"/>
      <c r="N45" s="514">
        <v>11</v>
      </c>
      <c r="O45" s="557">
        <v>11</v>
      </c>
      <c r="P45" s="557">
        <v>11</v>
      </c>
      <c r="Q45" s="557">
        <v>11</v>
      </c>
      <c r="R45" s="567">
        <v>11</v>
      </c>
      <c r="S45" s="557" t="s">
        <v>503</v>
      </c>
      <c r="T45" s="557" t="s">
        <v>503</v>
      </c>
      <c r="U45" s="557" t="s">
        <v>475</v>
      </c>
      <c r="V45" s="557" t="s">
        <v>475</v>
      </c>
      <c r="W45" s="557" t="s">
        <v>475</v>
      </c>
      <c r="X45" s="557" t="s">
        <v>475</v>
      </c>
      <c r="Y45" s="557" t="s">
        <v>475</v>
      </c>
      <c r="Z45" s="557"/>
      <c r="AA45" s="557"/>
      <c r="AB45" s="557">
        <v>8</v>
      </c>
      <c r="AC45" s="557">
        <v>8</v>
      </c>
      <c r="AD45" s="557">
        <v>8</v>
      </c>
      <c r="AE45" s="557">
        <v>8</v>
      </c>
      <c r="AF45" s="557">
        <v>8</v>
      </c>
      <c r="AG45" s="558" t="s">
        <v>504</v>
      </c>
      <c r="AH45" s="505">
        <v>56</v>
      </c>
      <c r="AI45" s="506">
        <v>37</v>
      </c>
    </row>
    <row r="46" spans="1:37" ht="21.95" customHeight="1" x14ac:dyDescent="0.2">
      <c r="A46" s="561">
        <v>4</v>
      </c>
      <c r="B46" s="318" t="s">
        <v>518</v>
      </c>
      <c r="C46" s="1486">
        <v>1</v>
      </c>
      <c r="D46" s="1486">
        <v>1</v>
      </c>
      <c r="E46" s="1486"/>
      <c r="F46" s="1486"/>
      <c r="G46" s="1486">
        <v>9</v>
      </c>
      <c r="H46" s="1486">
        <v>9</v>
      </c>
      <c r="I46" s="1486">
        <v>9</v>
      </c>
      <c r="J46" s="1486">
        <v>9</v>
      </c>
      <c r="K46" s="1486">
        <v>9</v>
      </c>
      <c r="L46" s="1486" t="s">
        <v>511</v>
      </c>
      <c r="M46" s="1486" t="s">
        <v>507</v>
      </c>
      <c r="N46" s="1580" t="s">
        <v>475</v>
      </c>
      <c r="O46" s="1486" t="s">
        <v>475</v>
      </c>
      <c r="P46" s="1486" t="s">
        <v>475</v>
      </c>
      <c r="Q46" s="1486" t="s">
        <v>475</v>
      </c>
      <c r="R46" s="1486" t="s">
        <v>475</v>
      </c>
      <c r="S46" s="514"/>
      <c r="T46" s="514"/>
      <c r="U46" s="514">
        <v>6</v>
      </c>
      <c r="V46" s="514">
        <v>6</v>
      </c>
      <c r="W46" s="514">
        <v>6</v>
      </c>
      <c r="X46" s="514" t="s">
        <v>552</v>
      </c>
      <c r="Y46" s="514" t="s">
        <v>552</v>
      </c>
      <c r="Z46" s="514" t="s">
        <v>508</v>
      </c>
      <c r="AA46" s="514" t="s">
        <v>504</v>
      </c>
      <c r="AB46" s="514" t="s">
        <v>475</v>
      </c>
      <c r="AC46" s="514" t="s">
        <v>475</v>
      </c>
      <c r="AD46" s="514" t="s">
        <v>475</v>
      </c>
      <c r="AE46" s="514" t="s">
        <v>475</v>
      </c>
      <c r="AF46" s="514" t="s">
        <v>475</v>
      </c>
      <c r="AG46" s="515"/>
      <c r="AH46" s="505">
        <v>141</v>
      </c>
      <c r="AI46" s="506">
        <v>0</v>
      </c>
    </row>
    <row r="47" spans="1:37" ht="21.95" customHeight="1" thickBot="1" x14ac:dyDescent="0.25">
      <c r="A47" s="551">
        <v>9</v>
      </c>
      <c r="B47" s="318" t="s">
        <v>519</v>
      </c>
      <c r="C47" s="1083">
        <v>5</v>
      </c>
      <c r="D47" s="1083">
        <v>5</v>
      </c>
      <c r="E47" s="553"/>
      <c r="F47" s="553"/>
      <c r="G47" s="1083">
        <v>10</v>
      </c>
      <c r="H47" s="1083">
        <v>10</v>
      </c>
      <c r="I47" s="1084">
        <v>10</v>
      </c>
      <c r="J47" s="1083">
        <v>10</v>
      </c>
      <c r="K47" s="1083">
        <v>10</v>
      </c>
      <c r="L47" s="1083" t="s">
        <v>507</v>
      </c>
      <c r="M47" s="1083" t="s">
        <v>507</v>
      </c>
      <c r="N47" s="557" t="s">
        <v>475</v>
      </c>
      <c r="O47" s="1084" t="s">
        <v>475</v>
      </c>
      <c r="P47" s="553" t="s">
        <v>475</v>
      </c>
      <c r="Q47" s="553" t="s">
        <v>475</v>
      </c>
      <c r="R47" s="553" t="s">
        <v>475</v>
      </c>
      <c r="S47" s="553" t="s">
        <v>505</v>
      </c>
      <c r="T47" s="553" t="s">
        <v>505</v>
      </c>
      <c r="U47" s="553">
        <v>7</v>
      </c>
      <c r="V47" s="553">
        <v>7</v>
      </c>
      <c r="W47" s="553">
        <v>7</v>
      </c>
      <c r="X47" s="553">
        <v>7</v>
      </c>
      <c r="Y47" s="553">
        <v>7</v>
      </c>
      <c r="Z47" s="553"/>
      <c r="AA47" s="553"/>
      <c r="AB47" s="553">
        <v>4</v>
      </c>
      <c r="AC47" s="553">
        <v>4</v>
      </c>
      <c r="AD47" s="553">
        <v>4</v>
      </c>
      <c r="AE47" s="553">
        <v>4</v>
      </c>
      <c r="AF47" s="553">
        <v>4</v>
      </c>
      <c r="AG47" s="565"/>
      <c r="AH47" s="505">
        <v>1</v>
      </c>
      <c r="AI47" s="506">
        <v>37</v>
      </c>
    </row>
    <row r="48" spans="1:37" ht="21.95" customHeight="1" thickBot="1" x14ac:dyDescent="0.25">
      <c r="A48" s="555">
        <v>14</v>
      </c>
      <c r="B48" s="560" t="s">
        <v>520</v>
      </c>
      <c r="C48" s="557">
        <v>3</v>
      </c>
      <c r="D48" s="1102">
        <v>3</v>
      </c>
      <c r="E48" s="557"/>
      <c r="F48" s="557"/>
      <c r="G48" s="557">
        <v>11</v>
      </c>
      <c r="H48" s="557">
        <v>11</v>
      </c>
      <c r="I48" s="557">
        <v>11</v>
      </c>
      <c r="J48" s="557">
        <v>11</v>
      </c>
      <c r="K48" s="557">
        <v>11</v>
      </c>
      <c r="L48" s="557" t="s">
        <v>503</v>
      </c>
      <c r="M48" s="557" t="s">
        <v>503</v>
      </c>
      <c r="N48" s="549" t="s">
        <v>475</v>
      </c>
      <c r="O48" s="557" t="s">
        <v>475</v>
      </c>
      <c r="P48" s="557" t="s">
        <v>475</v>
      </c>
      <c r="Q48" s="557" t="s">
        <v>475</v>
      </c>
      <c r="R48" s="557" t="s">
        <v>475</v>
      </c>
      <c r="S48" s="557"/>
      <c r="T48" s="557"/>
      <c r="U48" s="557">
        <v>8</v>
      </c>
      <c r="V48" s="557">
        <v>8</v>
      </c>
      <c r="W48" s="557">
        <v>8</v>
      </c>
      <c r="X48" s="557">
        <v>8</v>
      </c>
      <c r="Y48" s="557">
        <v>8</v>
      </c>
      <c r="Z48" s="557" t="s">
        <v>504</v>
      </c>
      <c r="AA48" s="557" t="s">
        <v>504</v>
      </c>
      <c r="AB48" s="557" t="s">
        <v>475</v>
      </c>
      <c r="AC48" s="557" t="s">
        <v>475</v>
      </c>
      <c r="AD48" s="557" t="s">
        <v>475</v>
      </c>
      <c r="AE48" s="557" t="s">
        <v>475</v>
      </c>
      <c r="AF48" s="557" t="s">
        <v>475</v>
      </c>
      <c r="AG48" s="568"/>
      <c r="AH48" s="505">
        <v>85</v>
      </c>
      <c r="AI48" s="506">
        <v>37</v>
      </c>
    </row>
    <row r="49" spans="1:35" ht="21.95" customHeight="1" x14ac:dyDescent="0.2">
      <c r="A49" s="548">
        <v>5</v>
      </c>
      <c r="B49" s="552" t="s">
        <v>521</v>
      </c>
      <c r="C49" s="549">
        <v>9</v>
      </c>
      <c r="D49" s="549">
        <v>9</v>
      </c>
      <c r="E49" s="549" t="s">
        <v>511</v>
      </c>
      <c r="F49" s="549" t="s">
        <v>507</v>
      </c>
      <c r="G49" s="549" t="s">
        <v>475</v>
      </c>
      <c r="H49" s="549" t="s">
        <v>475</v>
      </c>
      <c r="I49" s="549" t="s">
        <v>475</v>
      </c>
      <c r="J49" s="549" t="s">
        <v>475</v>
      </c>
      <c r="K49" s="549" t="s">
        <v>475</v>
      </c>
      <c r="L49" s="549"/>
      <c r="M49" s="549"/>
      <c r="N49" s="1515">
        <v>6</v>
      </c>
      <c r="O49" s="1520">
        <v>6</v>
      </c>
      <c r="P49" s="1520">
        <v>6</v>
      </c>
      <c r="Q49" s="1520">
        <v>6</v>
      </c>
      <c r="R49" s="1520">
        <v>6</v>
      </c>
      <c r="S49" s="1520" t="s">
        <v>508</v>
      </c>
      <c r="T49" s="1520" t="s">
        <v>753</v>
      </c>
      <c r="U49" s="549" t="s">
        <v>475</v>
      </c>
      <c r="V49" s="549" t="s">
        <v>475</v>
      </c>
      <c r="W49" s="549" t="s">
        <v>475</v>
      </c>
      <c r="X49" s="549" t="s">
        <v>475</v>
      </c>
      <c r="Y49" s="549" t="s">
        <v>475</v>
      </c>
      <c r="Z49" s="549"/>
      <c r="AA49" s="549"/>
      <c r="AB49" s="549">
        <v>5</v>
      </c>
      <c r="AC49" s="1474">
        <v>5</v>
      </c>
      <c r="AD49" s="1474">
        <v>5</v>
      </c>
      <c r="AE49" s="1492">
        <v>5</v>
      </c>
      <c r="AF49" s="1474">
        <v>5</v>
      </c>
      <c r="AG49" s="569"/>
      <c r="AH49" s="505">
        <v>48</v>
      </c>
      <c r="AI49" s="506">
        <v>0</v>
      </c>
    </row>
    <row r="50" spans="1:35" ht="21.95" customHeight="1" thickBot="1" x14ac:dyDescent="0.25">
      <c r="A50" s="551">
        <v>10</v>
      </c>
      <c r="B50" s="318" t="s">
        <v>523</v>
      </c>
      <c r="C50" s="553">
        <v>10</v>
      </c>
      <c r="D50" s="553">
        <v>10</v>
      </c>
      <c r="E50" s="553" t="s">
        <v>507</v>
      </c>
      <c r="F50" s="553" t="s">
        <v>507</v>
      </c>
      <c r="G50" s="553" t="s">
        <v>475</v>
      </c>
      <c r="H50" s="553" t="s">
        <v>475</v>
      </c>
      <c r="I50" s="553" t="s">
        <v>475</v>
      </c>
      <c r="J50" s="553" t="s">
        <v>475</v>
      </c>
      <c r="K50" s="553" t="s">
        <v>475</v>
      </c>
      <c r="L50" s="553" t="s">
        <v>505</v>
      </c>
      <c r="M50" s="553" t="s">
        <v>505</v>
      </c>
      <c r="N50" s="557">
        <v>7</v>
      </c>
      <c r="O50" s="553">
        <v>7</v>
      </c>
      <c r="P50" s="553">
        <v>7</v>
      </c>
      <c r="Q50" s="553">
        <v>7</v>
      </c>
      <c r="R50" s="553">
        <v>7</v>
      </c>
      <c r="S50" s="553"/>
      <c r="T50" s="553"/>
      <c r="U50" s="553">
        <v>4</v>
      </c>
      <c r="V50" s="553">
        <v>4</v>
      </c>
      <c r="W50" s="553">
        <v>4</v>
      </c>
      <c r="X50" s="553">
        <v>4</v>
      </c>
      <c r="Y50" s="1515">
        <v>4</v>
      </c>
      <c r="Z50" s="1515"/>
      <c r="AA50" s="1515"/>
      <c r="AB50" s="1515">
        <v>3</v>
      </c>
      <c r="AC50" s="1515">
        <v>3</v>
      </c>
      <c r="AD50" s="1515" t="s">
        <v>685</v>
      </c>
      <c r="AE50" s="565" t="s">
        <v>482</v>
      </c>
      <c r="AF50" s="553">
        <v>3</v>
      </c>
      <c r="AG50" s="565"/>
      <c r="AH50" s="505">
        <v>23</v>
      </c>
      <c r="AI50" s="506">
        <v>37</v>
      </c>
    </row>
    <row r="51" spans="1:35" ht="21.95" customHeight="1" thickBot="1" x14ac:dyDescent="0.25">
      <c r="A51" s="555">
        <v>15</v>
      </c>
      <c r="B51" s="52" t="s">
        <v>524</v>
      </c>
      <c r="C51" s="557">
        <v>11</v>
      </c>
      <c r="D51" s="557">
        <v>11</v>
      </c>
      <c r="E51" s="557" t="s">
        <v>503</v>
      </c>
      <c r="F51" s="557" t="s">
        <v>503</v>
      </c>
      <c r="G51" s="557" t="s">
        <v>475</v>
      </c>
      <c r="H51" s="557" t="s">
        <v>475</v>
      </c>
      <c r="I51" s="557" t="s">
        <v>475</v>
      </c>
      <c r="J51" s="557" t="s">
        <v>475</v>
      </c>
      <c r="K51" s="557" t="s">
        <v>475</v>
      </c>
      <c r="L51" s="557"/>
      <c r="M51" s="557"/>
      <c r="N51" s="1586">
        <v>8</v>
      </c>
      <c r="O51" s="557">
        <v>8</v>
      </c>
      <c r="P51" s="557">
        <v>8</v>
      </c>
      <c r="Q51" s="557">
        <v>8</v>
      </c>
      <c r="R51" s="557">
        <v>8</v>
      </c>
      <c r="S51" s="557" t="s">
        <v>504</v>
      </c>
      <c r="T51" s="557" t="s">
        <v>504</v>
      </c>
      <c r="U51" s="557" t="s">
        <v>475</v>
      </c>
      <c r="V51" s="557" t="s">
        <v>475</v>
      </c>
      <c r="W51" s="557" t="s">
        <v>475</v>
      </c>
      <c r="X51" s="557" t="s">
        <v>475</v>
      </c>
      <c r="Y51" s="557" t="s">
        <v>475</v>
      </c>
      <c r="Z51" s="557"/>
      <c r="AA51" s="557"/>
      <c r="AB51" s="557">
        <v>1</v>
      </c>
      <c r="AC51" s="557">
        <v>1</v>
      </c>
      <c r="AD51" s="557">
        <v>1</v>
      </c>
      <c r="AE51" s="568">
        <v>1</v>
      </c>
      <c r="AF51" s="557">
        <v>1</v>
      </c>
      <c r="AG51" s="568"/>
      <c r="AH51" s="651">
        <v>27</v>
      </c>
      <c r="AI51" s="523">
        <v>37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AH53" s="1"/>
    </row>
    <row r="54" spans="1:35" ht="21.95" customHeight="1" x14ac:dyDescent="0.2">
      <c r="A54" s="524"/>
      <c r="AH54" s="1"/>
    </row>
    <row r="55" spans="1:35" ht="21.95" customHeight="1" thickBot="1" x14ac:dyDescent="0.25">
      <c r="A55" s="524"/>
      <c r="N55" s="360"/>
    </row>
    <row r="56" spans="1:35" ht="21.95" customHeight="1" thickBot="1" x14ac:dyDescent="0.25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412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15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thickBot="1" x14ac:dyDescent="0.25">
      <c r="A58" s="1"/>
      <c r="B58" s="170" t="s">
        <v>106</v>
      </c>
      <c r="C58" s="318" t="s">
        <v>295</v>
      </c>
      <c r="D58" s="152"/>
      <c r="E58" s="152"/>
      <c r="F58" s="318" t="s">
        <v>295</v>
      </c>
      <c r="G58" s="714"/>
      <c r="H58" s="152"/>
      <c r="I58" s="318" t="s">
        <v>295</v>
      </c>
      <c r="J58" s="152"/>
      <c r="K58" s="152"/>
      <c r="L58" s="318" t="s">
        <v>295</v>
      </c>
      <c r="M58" s="152"/>
      <c r="N58" s="239"/>
      <c r="O58" s="318" t="s">
        <v>67</v>
      </c>
      <c r="P58" s="152"/>
      <c r="Q58" s="152"/>
      <c r="R58" s="154"/>
      <c r="S58" s="156"/>
      <c r="T58" s="488"/>
      <c r="U58" s="154"/>
      <c r="V58" s="156"/>
      <c r="W58" s="488"/>
      <c r="X58" s="154"/>
      <c r="Y58" s="156">
        <v>37</v>
      </c>
      <c r="Z58" s="700"/>
      <c r="AA58" s="489"/>
      <c r="AE58" s="360"/>
      <c r="AF58" s="360"/>
      <c r="AG58" s="360"/>
    </row>
    <row r="59" spans="1:35" ht="21.95" customHeight="1" thickBot="1" x14ac:dyDescent="0.25">
      <c r="A59" s="1"/>
      <c r="B59" s="16"/>
      <c r="C59" s="690"/>
      <c r="D59" s="678"/>
      <c r="E59" s="239"/>
      <c r="F59" s="690"/>
      <c r="G59" s="715"/>
      <c r="H59" s="678"/>
      <c r="I59" s="690"/>
      <c r="J59" s="678"/>
      <c r="K59" s="239"/>
      <c r="L59" s="690"/>
      <c r="M59" s="678"/>
      <c r="O59" s="690"/>
      <c r="P59" s="678"/>
      <c r="Q59" s="239"/>
      <c r="R59" s="679"/>
      <c r="S59" s="678"/>
      <c r="T59" s="239"/>
      <c r="U59" s="679"/>
      <c r="V59" s="678"/>
      <c r="W59" s="239"/>
      <c r="X59" s="679"/>
      <c r="Y59" s="678"/>
      <c r="Z59" s="716"/>
      <c r="AA59" s="544"/>
      <c r="AE59" s="360"/>
      <c r="AF59" s="360"/>
      <c r="AG59" s="360"/>
    </row>
    <row r="60" spans="1:35" ht="21.95" customHeight="1" thickBot="1" x14ac:dyDescent="0.25">
      <c r="A60" s="1"/>
      <c r="B60" s="311"/>
      <c r="C60" s="353"/>
      <c r="F60" s="353"/>
      <c r="G60" s="570"/>
      <c r="I60" s="353"/>
      <c r="L60" s="353"/>
      <c r="N60" s="177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521">
        <v>1</v>
      </c>
      <c r="D61" s="521">
        <v>2</v>
      </c>
      <c r="E61" s="1591">
        <v>3</v>
      </c>
      <c r="F61" s="1591">
        <v>4</v>
      </c>
      <c r="G61" s="521">
        <v>5</v>
      </c>
      <c r="H61" s="521">
        <v>6</v>
      </c>
      <c r="I61" s="521">
        <v>7</v>
      </c>
      <c r="J61" s="521">
        <v>8</v>
      </c>
      <c r="K61" s="521">
        <v>9</v>
      </c>
      <c r="L61" s="1591">
        <v>10</v>
      </c>
      <c r="M61" s="1591">
        <v>11</v>
      </c>
      <c r="N61" s="553">
        <v>12</v>
      </c>
      <c r="O61" s="521">
        <v>13</v>
      </c>
      <c r="P61" s="521">
        <v>14</v>
      </c>
      <c r="Q61" s="521">
        <v>15</v>
      </c>
      <c r="R61" s="521">
        <v>16</v>
      </c>
      <c r="S61" s="1591">
        <v>17</v>
      </c>
      <c r="T61" s="1591">
        <v>18</v>
      </c>
      <c r="U61" s="521">
        <v>19</v>
      </c>
      <c r="V61" s="521">
        <v>20</v>
      </c>
      <c r="W61" s="521">
        <v>21</v>
      </c>
      <c r="X61" s="521">
        <v>22</v>
      </c>
      <c r="Y61" s="521">
        <v>23</v>
      </c>
      <c r="Z61" s="1591">
        <v>24</v>
      </c>
      <c r="AA61" s="1591">
        <v>25</v>
      </c>
      <c r="AB61" s="1591">
        <v>26</v>
      </c>
      <c r="AC61" s="521">
        <v>27</v>
      </c>
      <c r="AD61" s="521">
        <v>28</v>
      </c>
      <c r="AE61" s="521">
        <v>29</v>
      </c>
      <c r="AF61" s="521">
        <v>30</v>
      </c>
      <c r="AG61" s="497">
        <v>31</v>
      </c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 t="s">
        <v>529</v>
      </c>
      <c r="D62" s="587" t="s">
        <v>529</v>
      </c>
      <c r="E62" s="587"/>
      <c r="F62" s="587"/>
      <c r="G62" s="587" t="s">
        <v>529</v>
      </c>
      <c r="H62" s="587" t="s">
        <v>529</v>
      </c>
      <c r="I62" s="587" t="s">
        <v>529</v>
      </c>
      <c r="J62" s="587" t="s">
        <v>529</v>
      </c>
      <c r="K62" s="587" t="s">
        <v>529</v>
      </c>
      <c r="L62" s="587"/>
      <c r="M62" s="587"/>
      <c r="N62" s="587" t="s">
        <v>529</v>
      </c>
      <c r="O62" s="587" t="s">
        <v>529</v>
      </c>
      <c r="P62" s="587" t="s">
        <v>529</v>
      </c>
      <c r="Q62" s="587" t="s">
        <v>529</v>
      </c>
      <c r="R62" s="587" t="s">
        <v>529</v>
      </c>
      <c r="S62" s="587"/>
      <c r="T62" s="587"/>
      <c r="U62" s="587" t="s">
        <v>529</v>
      </c>
      <c r="V62" s="587" t="s">
        <v>529</v>
      </c>
      <c r="W62" s="587" t="s">
        <v>529</v>
      </c>
      <c r="X62" s="587" t="s">
        <v>529</v>
      </c>
      <c r="Y62" s="587" t="s">
        <v>529</v>
      </c>
      <c r="Z62" s="587"/>
      <c r="AA62" s="587"/>
      <c r="AB62" s="587"/>
      <c r="AC62" s="587" t="s">
        <v>529</v>
      </c>
      <c r="AD62" s="587" t="s">
        <v>529</v>
      </c>
      <c r="AE62" s="587" t="s">
        <v>529</v>
      </c>
      <c r="AF62" s="587" t="s">
        <v>529</v>
      </c>
      <c r="AG62" s="587"/>
      <c r="AH62" s="505">
        <v>185</v>
      </c>
      <c r="AI62" s="506">
        <v>37</v>
      </c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90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>
        <v>185</v>
      </c>
      <c r="AI63" s="506">
        <v>37</v>
      </c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thickBot="1" x14ac:dyDescent="0.25">
      <c r="A65" s="589"/>
      <c r="C65" s="590"/>
      <c r="D65" s="590"/>
      <c r="E65" s="590"/>
      <c r="F65" s="590"/>
      <c r="G65" s="590"/>
      <c r="H65" s="590"/>
      <c r="I65" s="590"/>
      <c r="J65" s="590"/>
      <c r="K65" s="590"/>
      <c r="L65" s="590"/>
      <c r="M65" s="590"/>
      <c r="N65" s="273"/>
      <c r="O65" s="590"/>
      <c r="P65" s="590"/>
      <c r="Q65" s="590"/>
      <c r="R65" s="590"/>
      <c r="S65" s="590"/>
      <c r="T65" s="590"/>
      <c r="U65" s="590"/>
      <c r="V65" s="590"/>
      <c r="W65" s="590"/>
      <c r="X65" s="590"/>
      <c r="Y65" s="590"/>
      <c r="Z65" s="590"/>
      <c r="AA65" s="590"/>
      <c r="AB65" s="590"/>
      <c r="AC65" s="590"/>
      <c r="AD65" s="590"/>
      <c r="AE65" s="590"/>
      <c r="AF65" s="590"/>
      <c r="AG65" s="590"/>
      <c r="AH65" s="591"/>
      <c r="AI65" s="591"/>
    </row>
    <row r="66" spans="1:35" ht="21.95" customHeight="1" x14ac:dyDescent="0.2">
      <c r="A66" s="360"/>
      <c r="B66" s="23" t="s">
        <v>532</v>
      </c>
      <c r="C66" s="7"/>
      <c r="D66" s="413" t="s">
        <v>2</v>
      </c>
      <c r="E66" s="572"/>
      <c r="F66" s="7"/>
      <c r="G66" s="6" t="s">
        <v>3</v>
      </c>
      <c r="H66" s="573"/>
      <c r="I66" s="118"/>
      <c r="J66" s="6" t="s">
        <v>4</v>
      </c>
      <c r="K66" s="412"/>
      <c r="L66" s="118"/>
      <c r="M66" s="119" t="s">
        <v>5</v>
      </c>
      <c r="N66" s="1590"/>
      <c r="O66" s="118"/>
      <c r="P66" s="6" t="s">
        <v>6</v>
      </c>
      <c r="Q66" s="574"/>
      <c r="R66" s="118"/>
      <c r="S66" s="6" t="s">
        <v>7</v>
      </c>
      <c r="T66" s="575"/>
      <c r="U66" s="118"/>
      <c r="V66" s="6" t="s">
        <v>8</v>
      </c>
      <c r="W66" s="574"/>
      <c r="X66" s="348" t="s">
        <v>9</v>
      </c>
      <c r="Y66" s="593"/>
      <c r="Z66" s="593"/>
      <c r="AA66" s="594"/>
      <c r="AB66" s="27" t="s">
        <v>10</v>
      </c>
      <c r="AC66" s="576"/>
      <c r="AD66" s="576"/>
      <c r="AE66" s="595"/>
      <c r="AF66" s="595"/>
      <c r="AG66" s="596"/>
    </row>
    <row r="67" spans="1:35" ht="21.95" customHeight="1" x14ac:dyDescent="0.2">
      <c r="A67" s="360"/>
      <c r="B67" s="305" t="s">
        <v>533</v>
      </c>
      <c r="C67" s="598" t="s">
        <v>534</v>
      </c>
      <c r="D67" s="482"/>
      <c r="E67" s="483"/>
      <c r="F67" s="598" t="s">
        <v>534</v>
      </c>
      <c r="G67" s="482"/>
      <c r="H67" s="483"/>
      <c r="I67" s="598" t="s">
        <v>534</v>
      </c>
      <c r="J67" s="482"/>
      <c r="K67" s="483"/>
      <c r="L67" s="598" t="s">
        <v>534</v>
      </c>
      <c r="M67" s="482"/>
      <c r="N67" s="483"/>
      <c r="O67" s="598" t="s">
        <v>116</v>
      </c>
      <c r="P67" s="482"/>
      <c r="Q67" s="483"/>
      <c r="R67" s="598"/>
      <c r="S67" s="482"/>
      <c r="T67" s="483"/>
      <c r="U67" s="598"/>
      <c r="V67" s="482"/>
      <c r="W67" s="483"/>
      <c r="X67" s="598"/>
      <c r="Y67" s="482"/>
      <c r="Z67" s="482"/>
      <c r="AA67" s="482"/>
      <c r="AB67" s="475"/>
      <c r="AC67" s="482"/>
      <c r="AD67" s="482"/>
      <c r="AE67" s="482"/>
      <c r="AF67" s="482"/>
      <c r="AG67" s="599"/>
    </row>
    <row r="68" spans="1:35" ht="21.95" customHeight="1" x14ac:dyDescent="0.2">
      <c r="A68" s="360"/>
      <c r="B68" s="305" t="s">
        <v>535</v>
      </c>
      <c r="C68" s="598" t="s">
        <v>147</v>
      </c>
      <c r="D68" s="482"/>
      <c r="E68" s="483"/>
      <c r="F68" s="598" t="s">
        <v>147</v>
      </c>
      <c r="G68" s="482"/>
      <c r="H68" s="483"/>
      <c r="I68" s="598" t="s">
        <v>147</v>
      </c>
      <c r="J68" s="482"/>
      <c r="K68" s="483"/>
      <c r="L68" s="598" t="s">
        <v>147</v>
      </c>
      <c r="M68" s="482"/>
      <c r="N68" s="360"/>
      <c r="O68" s="598" t="s">
        <v>536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thickBot="1" x14ac:dyDescent="0.25">
      <c r="A69" s="360"/>
      <c r="B69" s="69"/>
      <c r="C69" s="360"/>
      <c r="D69" s="360"/>
      <c r="E69" s="360"/>
      <c r="F69" s="360"/>
      <c r="G69" s="360"/>
      <c r="H69" s="360"/>
      <c r="I69" s="360"/>
      <c r="J69" s="360"/>
      <c r="K69" s="360"/>
      <c r="L69" s="360"/>
      <c r="M69" s="360"/>
      <c r="N69" s="177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</row>
    <row r="70" spans="1:35" ht="21.95" customHeight="1" x14ac:dyDescent="0.2">
      <c r="A70" s="585" t="s">
        <v>468</v>
      </c>
      <c r="B70" s="296" t="s">
        <v>469</v>
      </c>
      <c r="C70" s="521">
        <v>1</v>
      </c>
      <c r="D70" s="521">
        <v>2</v>
      </c>
      <c r="E70" s="1591">
        <v>3</v>
      </c>
      <c r="F70" s="1591">
        <v>4</v>
      </c>
      <c r="G70" s="521">
        <v>5</v>
      </c>
      <c r="H70" s="521">
        <v>6</v>
      </c>
      <c r="I70" s="521">
        <v>7</v>
      </c>
      <c r="J70" s="521">
        <v>8</v>
      </c>
      <c r="K70" s="521">
        <v>9</v>
      </c>
      <c r="L70" s="1591">
        <v>10</v>
      </c>
      <c r="M70" s="1591">
        <v>11</v>
      </c>
      <c r="N70" s="521">
        <v>12</v>
      </c>
      <c r="O70" s="521">
        <v>13</v>
      </c>
      <c r="P70" s="521">
        <v>14</v>
      </c>
      <c r="Q70" s="521">
        <v>15</v>
      </c>
      <c r="R70" s="521">
        <v>16</v>
      </c>
      <c r="S70" s="1591">
        <v>17</v>
      </c>
      <c r="T70" s="1591">
        <v>18</v>
      </c>
      <c r="U70" s="521">
        <v>19</v>
      </c>
      <c r="V70" s="521">
        <v>20</v>
      </c>
      <c r="W70" s="521">
        <v>21</v>
      </c>
      <c r="X70" s="521">
        <v>22</v>
      </c>
      <c r="Y70" s="521">
        <v>23</v>
      </c>
      <c r="Z70" s="1591">
        <v>24</v>
      </c>
      <c r="AA70" s="1591">
        <v>25</v>
      </c>
      <c r="AB70" s="1591">
        <v>26</v>
      </c>
      <c r="AC70" s="521">
        <v>27</v>
      </c>
      <c r="AD70" s="521">
        <v>28</v>
      </c>
      <c r="AE70" s="521">
        <v>29</v>
      </c>
      <c r="AF70" s="521">
        <v>30</v>
      </c>
      <c r="AG70" s="497">
        <v>31</v>
      </c>
      <c r="AH70" s="499" t="s">
        <v>470</v>
      </c>
      <c r="AI70" s="500" t="s">
        <v>471</v>
      </c>
    </row>
    <row r="71" spans="1:35" ht="21.95" customHeight="1" x14ac:dyDescent="0.2">
      <c r="A71" s="185">
        <v>8520</v>
      </c>
      <c r="B71" s="185" t="s">
        <v>537</v>
      </c>
      <c r="C71" s="521" t="s">
        <v>538</v>
      </c>
      <c r="D71" s="521" t="s">
        <v>538</v>
      </c>
      <c r="E71" s="521"/>
      <c r="F71" s="521"/>
      <c r="G71" s="521" t="s">
        <v>538</v>
      </c>
      <c r="H71" s="521" t="s">
        <v>538</v>
      </c>
      <c r="I71" s="521" t="s">
        <v>538</v>
      </c>
      <c r="J71" s="521" t="s">
        <v>538</v>
      </c>
      <c r="K71" s="521" t="s">
        <v>538</v>
      </c>
      <c r="L71" s="521"/>
      <c r="M71" s="521"/>
      <c r="N71" s="553" t="s">
        <v>538</v>
      </c>
      <c r="O71" s="521" t="s">
        <v>538</v>
      </c>
      <c r="P71" s="521" t="s">
        <v>538</v>
      </c>
      <c r="Q71" s="521" t="s">
        <v>538</v>
      </c>
      <c r="R71" s="521" t="s">
        <v>538</v>
      </c>
      <c r="S71" s="521"/>
      <c r="T71" s="521"/>
      <c r="U71" s="521" t="s">
        <v>538</v>
      </c>
      <c r="V71" s="521" t="s">
        <v>538</v>
      </c>
      <c r="W71" s="521" t="s">
        <v>538</v>
      </c>
      <c r="X71" s="521" t="s">
        <v>538</v>
      </c>
      <c r="Y71" s="521" t="s">
        <v>538</v>
      </c>
      <c r="Z71" s="521"/>
      <c r="AA71" s="521"/>
      <c r="AB71" s="521"/>
      <c r="AC71" s="1604" t="s">
        <v>538</v>
      </c>
      <c r="AD71" s="1604" t="s">
        <v>538</v>
      </c>
      <c r="AE71" s="1612" t="s">
        <v>538</v>
      </c>
      <c r="AF71" s="1612" t="s">
        <v>538</v>
      </c>
      <c r="AG71" s="521"/>
      <c r="AH71" s="505">
        <v>28</v>
      </c>
      <c r="AI71" s="506">
        <v>31</v>
      </c>
    </row>
    <row r="72" spans="1:35" ht="21.95" customHeight="1" x14ac:dyDescent="0.2">
      <c r="A72" s="185">
        <v>8521</v>
      </c>
      <c r="B72" s="185" t="s">
        <v>539</v>
      </c>
      <c r="C72" s="553" t="s">
        <v>540</v>
      </c>
      <c r="D72" s="553" t="s">
        <v>540</v>
      </c>
      <c r="E72" s="553"/>
      <c r="F72" s="553"/>
      <c r="G72" s="1523" t="s">
        <v>540</v>
      </c>
      <c r="H72" s="553" t="s">
        <v>540</v>
      </c>
      <c r="I72" s="1084" t="s">
        <v>540</v>
      </c>
      <c r="J72" s="553" t="s">
        <v>540</v>
      </c>
      <c r="K72" s="553" t="s">
        <v>540</v>
      </c>
      <c r="L72" s="553"/>
      <c r="M72" s="553"/>
      <c r="N72" s="1585" t="s">
        <v>540</v>
      </c>
      <c r="O72" s="1084" t="s">
        <v>540</v>
      </c>
      <c r="P72" s="553" t="s">
        <v>540</v>
      </c>
      <c r="Q72" s="553" t="s">
        <v>540</v>
      </c>
      <c r="R72" s="553" t="s">
        <v>540</v>
      </c>
      <c r="S72" s="553"/>
      <c r="T72" s="553"/>
      <c r="U72" s="1523" t="s">
        <v>540</v>
      </c>
      <c r="V72" s="553" t="s">
        <v>540</v>
      </c>
      <c r="W72" s="553" t="s">
        <v>540</v>
      </c>
      <c r="X72" s="553" t="s">
        <v>540</v>
      </c>
      <c r="Y72" s="553" t="s">
        <v>540</v>
      </c>
      <c r="Z72" s="553"/>
      <c r="AA72" s="553"/>
      <c r="AB72" s="553"/>
      <c r="AC72" s="1560" t="s">
        <v>540</v>
      </c>
      <c r="AD72" s="1560" t="s">
        <v>540</v>
      </c>
      <c r="AE72" s="1523" t="s">
        <v>540</v>
      </c>
      <c r="AF72" s="1523" t="s">
        <v>540</v>
      </c>
      <c r="AG72" s="553"/>
      <c r="AH72" s="505">
        <v>29</v>
      </c>
      <c r="AI72" s="506">
        <v>37</v>
      </c>
    </row>
    <row r="73" spans="1:35" ht="21.95" customHeight="1" x14ac:dyDescent="0.2">
      <c r="A73" s="360"/>
      <c r="B73" s="360"/>
      <c r="C73" s="546"/>
      <c r="D73" s="525"/>
      <c r="E73" s="525"/>
      <c r="F73" s="525"/>
      <c r="G73" s="525"/>
      <c r="H73" s="525"/>
      <c r="I73" s="525"/>
      <c r="J73" s="525"/>
      <c r="K73" s="525"/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X73" s="525"/>
      <c r="Y73" s="525"/>
      <c r="Z73" s="525"/>
      <c r="AA73" s="525"/>
      <c r="AB73" s="525"/>
      <c r="AC73" s="525"/>
      <c r="AD73" s="525"/>
      <c r="AE73" s="525"/>
      <c r="AF73" s="525"/>
      <c r="AG73" s="525"/>
      <c r="AH73" s="591"/>
      <c r="AI73" s="591"/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thickBot="1" x14ac:dyDescent="0.25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360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thickBot="1" x14ac:dyDescent="0.25">
      <c r="A76" s="1" t="s">
        <v>541</v>
      </c>
      <c r="D76" s="360"/>
      <c r="E76" s="360"/>
      <c r="F76" s="360"/>
      <c r="G76" s="570"/>
      <c r="H76" s="360"/>
      <c r="I76" s="360"/>
      <c r="J76" s="360"/>
      <c r="K76" s="360"/>
      <c r="L76" s="360"/>
      <c r="M76" s="360"/>
      <c r="N76" s="573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</row>
    <row r="77" spans="1:35" ht="21.95" customHeight="1" x14ac:dyDescent="0.2">
      <c r="A77" s="1"/>
      <c r="B77" s="23" t="s">
        <v>542</v>
      </c>
      <c r="C77" s="7"/>
      <c r="D77" s="530" t="s">
        <v>2</v>
      </c>
      <c r="E77" s="51"/>
      <c r="F77" s="573"/>
      <c r="G77" s="7"/>
      <c r="H77" s="530" t="s">
        <v>3</v>
      </c>
      <c r="I77" s="51"/>
      <c r="J77" s="573"/>
      <c r="K77" s="7"/>
      <c r="L77" s="530" t="s">
        <v>4</v>
      </c>
      <c r="M77" s="51"/>
      <c r="N77" s="612"/>
      <c r="O77" s="7"/>
      <c r="P77" s="530" t="s">
        <v>5</v>
      </c>
      <c r="Q77" s="51"/>
      <c r="R77" s="573"/>
      <c r="S77" s="7"/>
      <c r="T77" s="530" t="s">
        <v>6</v>
      </c>
      <c r="U77" s="51"/>
      <c r="V77" s="573"/>
      <c r="W77" s="7"/>
      <c r="X77" s="530" t="s">
        <v>7</v>
      </c>
      <c r="Y77" s="51"/>
      <c r="Z77" s="573"/>
      <c r="AA77" s="7"/>
      <c r="AB77" s="530" t="s">
        <v>8</v>
      </c>
      <c r="AC77" s="51"/>
      <c r="AD77" s="51"/>
      <c r="AE77" s="348" t="s">
        <v>9</v>
      </c>
      <c r="AF77" s="51"/>
      <c r="AG77" s="51"/>
      <c r="AH77" s="51"/>
      <c r="AI77" s="531"/>
    </row>
    <row r="78" spans="1:35" ht="21.95" customHeight="1" x14ac:dyDescent="0.2">
      <c r="A78" s="1"/>
      <c r="B78" s="129" t="s">
        <v>324</v>
      </c>
      <c r="C78" s="611" t="s">
        <v>543</v>
      </c>
      <c r="E78" s="156"/>
      <c r="F78" s="612"/>
      <c r="G78" s="611" t="s">
        <v>543</v>
      </c>
      <c r="H78" s="156"/>
      <c r="I78" s="156"/>
      <c r="J78" s="612"/>
      <c r="K78" s="611" t="s">
        <v>543</v>
      </c>
      <c r="L78" s="156"/>
      <c r="M78" s="156"/>
      <c r="N78" s="612"/>
      <c r="O78" s="611" t="s">
        <v>543</v>
      </c>
      <c r="P78" s="156"/>
      <c r="Q78" s="156"/>
      <c r="R78" s="612"/>
      <c r="S78" s="611" t="s">
        <v>544</v>
      </c>
      <c r="T78" s="156"/>
      <c r="U78" s="156"/>
      <c r="V78" s="613"/>
      <c r="W78" s="1055"/>
      <c r="X78" s="1056"/>
      <c r="Y78" s="1056"/>
      <c r="Z78" s="1057"/>
      <c r="AA78" s="613"/>
      <c r="AB78" s="156"/>
      <c r="AC78" s="156"/>
      <c r="AD78" s="613"/>
      <c r="AE78" s="121">
        <v>37</v>
      </c>
      <c r="AG78" s="156"/>
      <c r="AH78" s="613"/>
      <c r="AI78" s="489"/>
    </row>
    <row r="79" spans="1:35" ht="21.95" customHeight="1" x14ac:dyDescent="0.2">
      <c r="A79" s="1"/>
      <c r="B79" s="129" t="s">
        <v>325</v>
      </c>
      <c r="C79" s="611" t="s">
        <v>545</v>
      </c>
      <c r="D79" s="156"/>
      <c r="E79" s="156"/>
      <c r="F79" s="612"/>
      <c r="G79" s="611" t="s">
        <v>545</v>
      </c>
      <c r="H79" s="156"/>
      <c r="I79" s="156"/>
      <c r="J79" s="612"/>
      <c r="K79" s="611" t="s">
        <v>545</v>
      </c>
      <c r="L79" s="156"/>
      <c r="M79" s="156"/>
      <c r="N79" s="612"/>
      <c r="O79" s="611" t="s">
        <v>545</v>
      </c>
      <c r="P79" s="156"/>
      <c r="Q79" s="156"/>
      <c r="R79" s="612"/>
      <c r="S79" s="611" t="s">
        <v>546</v>
      </c>
      <c r="T79" s="156"/>
      <c r="U79" s="156"/>
      <c r="V79" s="612"/>
      <c r="W79" s="660" t="s">
        <v>547</v>
      </c>
      <c r="X79" s="55"/>
      <c r="Y79" s="55"/>
      <c r="Z79" s="55"/>
      <c r="AA79" s="611" t="s">
        <v>548</v>
      </c>
      <c r="AB79" s="611"/>
      <c r="AC79" s="611"/>
      <c r="AD79" s="611"/>
      <c r="AE79" s="154">
        <v>68.25</v>
      </c>
      <c r="AF79" s="156"/>
      <c r="AG79" s="615"/>
      <c r="AH79" s="616"/>
      <c r="AI79" s="617"/>
    </row>
    <row r="80" spans="1:35" ht="21.95" customHeight="1" thickBot="1" x14ac:dyDescent="0.25">
      <c r="A80" s="1"/>
      <c r="B80" s="129" t="s">
        <v>326</v>
      </c>
      <c r="C80" s="1053" t="s">
        <v>167</v>
      </c>
      <c r="D80" s="156"/>
      <c r="E80" s="156"/>
      <c r="F80" s="612"/>
      <c r="G80" s="156" t="s">
        <v>167</v>
      </c>
      <c r="H80" s="156"/>
      <c r="I80" s="156"/>
      <c r="J80" s="612"/>
      <c r="K80" s="156" t="s">
        <v>167</v>
      </c>
      <c r="L80" s="156"/>
      <c r="M80" s="156"/>
      <c r="N80" s="619"/>
      <c r="O80" s="156" t="s">
        <v>167</v>
      </c>
      <c r="P80" s="156"/>
      <c r="Q80" s="156"/>
      <c r="R80" s="612"/>
      <c r="S80" s="156" t="s">
        <v>167</v>
      </c>
      <c r="T80" s="156"/>
      <c r="U80" s="156"/>
      <c r="V80" s="612"/>
      <c r="W80" s="611"/>
      <c r="X80" s="156"/>
      <c r="Y80" s="156"/>
      <c r="Z80" s="612"/>
      <c r="AA80" s="611"/>
      <c r="AB80" s="156"/>
      <c r="AC80" s="156"/>
      <c r="AD80" s="613"/>
      <c r="AE80" s="614">
        <v>0</v>
      </c>
      <c r="AF80" s="615"/>
      <c r="AG80" s="156"/>
      <c r="AH80" s="613"/>
      <c r="AI80" s="489"/>
    </row>
    <row r="81" spans="1:35" ht="21.95" customHeight="1" thickBot="1" x14ac:dyDescent="0.25">
      <c r="A81" s="1"/>
      <c r="B81" s="47"/>
      <c r="C81" s="618"/>
      <c r="D81" s="53"/>
      <c r="E81" s="53"/>
      <c r="F81" s="619"/>
      <c r="G81" s="618"/>
      <c r="H81" s="53"/>
      <c r="I81" s="53"/>
      <c r="J81" s="619"/>
      <c r="K81" s="618"/>
      <c r="L81" s="53"/>
      <c r="M81" s="53"/>
      <c r="N81" s="360"/>
      <c r="O81" s="618"/>
      <c r="P81" s="53"/>
      <c r="Q81" s="53"/>
      <c r="R81" s="619"/>
      <c r="S81" s="618"/>
      <c r="T81" s="53"/>
      <c r="U81" s="53"/>
      <c r="V81" s="619"/>
      <c r="W81" s="53"/>
      <c r="X81" s="53"/>
      <c r="Y81" s="53"/>
      <c r="Z81" s="53"/>
      <c r="AA81" s="53"/>
      <c r="AB81" s="53"/>
      <c r="AC81" s="53"/>
      <c r="AD81" s="53"/>
      <c r="AE81" s="581"/>
      <c r="AF81" s="53"/>
      <c r="AG81" s="53"/>
      <c r="AH81" s="620"/>
      <c r="AI81" s="544"/>
    </row>
    <row r="82" spans="1:35" ht="21.95" customHeight="1" thickBot="1" x14ac:dyDescent="0.25">
      <c r="A82" s="621"/>
      <c r="B82" s="1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177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585"/>
      <c r="B83" s="296" t="s">
        <v>469</v>
      </c>
      <c r="C83" s="177">
        <v>1</v>
      </c>
      <c r="D83" s="177">
        <v>2</v>
      </c>
      <c r="E83" s="497">
        <v>3</v>
      </c>
      <c r="F83" s="497">
        <v>4</v>
      </c>
      <c r="G83" s="177">
        <v>5</v>
      </c>
      <c r="H83" s="177">
        <v>6</v>
      </c>
      <c r="I83" s="177">
        <v>7</v>
      </c>
      <c r="J83" s="177">
        <v>8</v>
      </c>
      <c r="K83" s="177">
        <v>9</v>
      </c>
      <c r="L83" s="497">
        <v>10</v>
      </c>
      <c r="M83" s="497">
        <v>11</v>
      </c>
      <c r="N83" s="553">
        <v>12</v>
      </c>
      <c r="O83" s="177">
        <v>13</v>
      </c>
      <c r="P83" s="177">
        <v>14</v>
      </c>
      <c r="Q83" s="177">
        <v>15</v>
      </c>
      <c r="R83" s="177">
        <v>16</v>
      </c>
      <c r="S83" s="497">
        <v>17</v>
      </c>
      <c r="T83" s="497">
        <v>18</v>
      </c>
      <c r="U83" s="177">
        <v>19</v>
      </c>
      <c r="V83" s="177">
        <v>20</v>
      </c>
      <c r="W83" s="177">
        <v>21</v>
      </c>
      <c r="X83" s="177">
        <v>22</v>
      </c>
      <c r="Y83" s="177">
        <v>23</v>
      </c>
      <c r="Z83" s="497">
        <v>24</v>
      </c>
      <c r="AA83" s="497">
        <v>25</v>
      </c>
      <c r="AB83" s="497">
        <v>26</v>
      </c>
      <c r="AC83" s="177">
        <v>27</v>
      </c>
      <c r="AD83" s="177">
        <v>28</v>
      </c>
      <c r="AE83" s="177">
        <v>29</v>
      </c>
      <c r="AF83" s="177">
        <v>30</v>
      </c>
      <c r="AG83" s="497">
        <v>31</v>
      </c>
      <c r="AH83" s="499" t="s">
        <v>470</v>
      </c>
      <c r="AI83" s="500" t="s">
        <v>471</v>
      </c>
    </row>
    <row r="84" spans="1:35" ht="21.95" customHeight="1" x14ac:dyDescent="0.2">
      <c r="A84" s="622">
        <v>1</v>
      </c>
      <c r="B84" s="152" t="s">
        <v>549</v>
      </c>
      <c r="C84" s="587" t="s">
        <v>475</v>
      </c>
      <c r="D84" s="587" t="s">
        <v>475</v>
      </c>
      <c r="E84" s="587"/>
      <c r="F84" s="587"/>
      <c r="G84" s="587" t="s">
        <v>551</v>
      </c>
      <c r="H84" s="587" t="s">
        <v>551</v>
      </c>
      <c r="I84" s="553">
        <v>7</v>
      </c>
      <c r="J84" s="587" t="s">
        <v>551</v>
      </c>
      <c r="K84" s="587" t="s">
        <v>551</v>
      </c>
      <c r="L84" s="587"/>
      <c r="M84" s="587"/>
      <c r="N84" s="587" t="s">
        <v>513</v>
      </c>
      <c r="O84" s="587" t="s">
        <v>513</v>
      </c>
      <c r="P84" s="587" t="s">
        <v>513</v>
      </c>
      <c r="Q84" s="587" t="s">
        <v>513</v>
      </c>
      <c r="R84" s="587" t="s">
        <v>513</v>
      </c>
      <c r="S84" s="587" t="s">
        <v>550</v>
      </c>
      <c r="T84" s="587" t="s">
        <v>550</v>
      </c>
      <c r="U84" s="587" t="s">
        <v>475</v>
      </c>
      <c r="V84" s="587" t="s">
        <v>475</v>
      </c>
      <c r="W84" s="587" t="s">
        <v>475</v>
      </c>
      <c r="X84" s="587" t="s">
        <v>475</v>
      </c>
      <c r="Y84" s="587" t="s">
        <v>475</v>
      </c>
      <c r="Z84" s="587"/>
      <c r="AA84" s="587"/>
      <c r="AB84" s="587" t="s">
        <v>551</v>
      </c>
      <c r="AC84" s="587" t="s">
        <v>551</v>
      </c>
      <c r="AD84" s="587" t="s">
        <v>551</v>
      </c>
      <c r="AE84" s="1548" t="s">
        <v>551</v>
      </c>
      <c r="AF84" s="587" t="s">
        <v>551</v>
      </c>
      <c r="AG84" s="587"/>
      <c r="AH84" s="505">
        <v>22</v>
      </c>
      <c r="AI84" s="506">
        <v>37</v>
      </c>
    </row>
    <row r="85" spans="1:35" ht="21.95" customHeight="1" x14ac:dyDescent="0.2">
      <c r="A85" s="622">
        <v>2</v>
      </c>
      <c r="B85" s="318" t="s">
        <v>553</v>
      </c>
      <c r="C85" s="1091" t="s">
        <v>551</v>
      </c>
      <c r="D85" s="1091" t="s">
        <v>551</v>
      </c>
      <c r="E85" s="1091"/>
      <c r="F85" s="1091"/>
      <c r="G85" s="1091" t="s">
        <v>513</v>
      </c>
      <c r="H85" s="1091" t="s">
        <v>513</v>
      </c>
      <c r="I85" s="1091" t="s">
        <v>513</v>
      </c>
      <c r="J85" s="1091" t="s">
        <v>513</v>
      </c>
      <c r="K85" s="1091" t="s">
        <v>513</v>
      </c>
      <c r="L85" s="1091" t="s">
        <v>550</v>
      </c>
      <c r="M85" s="1091" t="s">
        <v>550</v>
      </c>
      <c r="N85" s="1582" t="s">
        <v>475</v>
      </c>
      <c r="O85" s="1091" t="s">
        <v>475</v>
      </c>
      <c r="P85" s="1091" t="s">
        <v>475</v>
      </c>
      <c r="Q85" s="1091" t="s">
        <v>475</v>
      </c>
      <c r="R85" s="1091" t="s">
        <v>475</v>
      </c>
      <c r="S85" s="1091"/>
      <c r="T85" s="1091"/>
      <c r="U85" s="1091" t="s">
        <v>551</v>
      </c>
      <c r="V85" s="1091" t="s">
        <v>551</v>
      </c>
      <c r="W85" s="1091" t="s">
        <v>551</v>
      </c>
      <c r="X85" s="1091" t="s">
        <v>551</v>
      </c>
      <c r="Y85" s="1091" t="s">
        <v>551</v>
      </c>
      <c r="Z85" s="1091"/>
      <c r="AA85" s="1091"/>
      <c r="AB85" s="1091" t="s">
        <v>513</v>
      </c>
      <c r="AC85" s="1091" t="s">
        <v>513</v>
      </c>
      <c r="AD85" s="1091" t="s">
        <v>513</v>
      </c>
      <c r="AE85" s="1091" t="s">
        <v>513</v>
      </c>
      <c r="AF85" s="1091" t="s">
        <v>513</v>
      </c>
      <c r="AG85" s="1091" t="s">
        <v>550</v>
      </c>
      <c r="AH85" s="505">
        <v>42</v>
      </c>
      <c r="AI85" s="506">
        <v>37</v>
      </c>
    </row>
    <row r="86" spans="1:35" ht="21.95" customHeight="1" x14ac:dyDescent="0.2">
      <c r="A86" s="622">
        <v>3</v>
      </c>
      <c r="B86" s="552" t="s">
        <v>554</v>
      </c>
      <c r="C86" s="1516" t="s">
        <v>513</v>
      </c>
      <c r="D86" s="1516" t="s">
        <v>513</v>
      </c>
      <c r="E86" s="1516" t="s">
        <v>550</v>
      </c>
      <c r="F86" s="1516" t="s">
        <v>687</v>
      </c>
      <c r="G86" s="587" t="s">
        <v>475</v>
      </c>
      <c r="H86" s="587" t="s">
        <v>475</v>
      </c>
      <c r="I86" s="587" t="s">
        <v>475</v>
      </c>
      <c r="J86" s="587" t="s">
        <v>475</v>
      </c>
      <c r="K86" s="587" t="s">
        <v>475</v>
      </c>
      <c r="L86" s="587"/>
      <c r="M86" s="587"/>
      <c r="N86" s="1545" t="s">
        <v>513</v>
      </c>
      <c r="O86" s="553">
        <v>3</v>
      </c>
      <c r="P86" s="587" t="s">
        <v>551</v>
      </c>
      <c r="Q86" s="587" t="s">
        <v>551</v>
      </c>
      <c r="R86" s="1550" t="s">
        <v>551</v>
      </c>
      <c r="S86" s="587"/>
      <c r="T86" s="587"/>
      <c r="U86" s="587" t="s">
        <v>513</v>
      </c>
      <c r="V86" s="587" t="s">
        <v>513</v>
      </c>
      <c r="W86" s="587" t="s">
        <v>513</v>
      </c>
      <c r="X86" s="587" t="s">
        <v>513</v>
      </c>
      <c r="Y86" s="587" t="s">
        <v>513</v>
      </c>
      <c r="Z86" s="587" t="s">
        <v>550</v>
      </c>
      <c r="AA86" s="587" t="s">
        <v>550</v>
      </c>
      <c r="AB86" s="587" t="s">
        <v>475</v>
      </c>
      <c r="AC86" s="587" t="s">
        <v>475</v>
      </c>
      <c r="AD86" s="587" t="s">
        <v>475</v>
      </c>
      <c r="AE86" s="587" t="s">
        <v>475</v>
      </c>
      <c r="AF86" s="587" t="s">
        <v>475</v>
      </c>
      <c r="AG86" s="587"/>
      <c r="AH86" s="505">
        <v>11</v>
      </c>
      <c r="AI86" s="506">
        <v>37</v>
      </c>
    </row>
    <row r="87" spans="1:35" ht="21.95" customHeight="1" x14ac:dyDescent="0.2">
      <c r="N87" s="590"/>
    </row>
    <row r="88" spans="1:35" ht="21.95" customHeight="1" x14ac:dyDescent="0.2">
      <c r="A88" s="623"/>
      <c r="B88" s="353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590"/>
      <c r="N88" s="360"/>
      <c r="O88" s="590"/>
      <c r="P88" s="590"/>
      <c r="Q88" s="590"/>
      <c r="R88" s="590"/>
      <c r="S88" s="590"/>
      <c r="T88" s="590"/>
      <c r="U88" s="590"/>
      <c r="V88" s="590"/>
      <c r="W88" s="590"/>
      <c r="X88" s="590"/>
      <c r="Y88" s="590"/>
      <c r="Z88" s="590"/>
      <c r="AA88" s="590"/>
      <c r="AB88" s="590"/>
      <c r="AC88" s="590"/>
      <c r="AD88" s="590"/>
      <c r="AE88" s="590"/>
      <c r="AF88" s="590"/>
      <c r="AH88" s="591"/>
      <c r="AI88" s="591"/>
    </row>
    <row r="89" spans="1:35" ht="21.95" customHeight="1" thickBot="1" x14ac:dyDescent="0.25">
      <c r="A89" s="1" t="s">
        <v>555</v>
      </c>
      <c r="D89" s="360"/>
      <c r="E89" s="360"/>
      <c r="F89" s="360"/>
      <c r="G89" s="570"/>
      <c r="H89" s="360"/>
      <c r="I89" s="360"/>
      <c r="J89" s="360"/>
      <c r="K89" s="360"/>
      <c r="L89" s="360"/>
      <c r="M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</row>
    <row r="90" spans="1:35" ht="21.95" customHeight="1" x14ac:dyDescent="0.2">
      <c r="A90" s="1"/>
      <c r="B90" s="23" t="s">
        <v>556</v>
      </c>
      <c r="C90" s="7"/>
      <c r="D90" s="530" t="s">
        <v>2</v>
      </c>
      <c r="E90" s="51"/>
      <c r="F90" s="573"/>
      <c r="G90" s="7"/>
      <c r="H90" s="530" t="s">
        <v>3</v>
      </c>
      <c r="I90" s="51"/>
      <c r="J90" s="573"/>
      <c r="K90" s="7"/>
      <c r="L90" s="530" t="s">
        <v>4</v>
      </c>
      <c r="M90" s="51"/>
      <c r="N90" s="666"/>
      <c r="O90" s="7"/>
      <c r="P90" s="530" t="s">
        <v>5</v>
      </c>
      <c r="Q90" s="51"/>
      <c r="R90" s="573"/>
      <c r="S90" s="7"/>
      <c r="T90" s="530" t="s">
        <v>6</v>
      </c>
      <c r="U90" s="51"/>
      <c r="V90" s="573"/>
      <c r="W90" s="7"/>
      <c r="X90" s="530" t="s">
        <v>7</v>
      </c>
      <c r="Y90" s="51"/>
      <c r="Z90" s="573"/>
      <c r="AA90" s="7"/>
      <c r="AB90" s="530" t="s">
        <v>8</v>
      </c>
      <c r="AC90" s="51"/>
      <c r="AD90" s="51"/>
      <c r="AE90" s="424" t="s">
        <v>10</v>
      </c>
      <c r="AF90" s="51"/>
      <c r="AG90" s="51"/>
      <c r="AH90" s="51"/>
      <c r="AI90" s="531"/>
    </row>
    <row r="91" spans="1:35" ht="21.95" customHeight="1" x14ac:dyDescent="0.2">
      <c r="A91" s="1"/>
      <c r="B91" s="129" t="s">
        <v>324</v>
      </c>
      <c r="C91" s="611"/>
      <c r="D91" s="156" t="s">
        <v>167</v>
      </c>
      <c r="E91" s="156"/>
      <c r="F91" s="612"/>
      <c r="G91" s="611"/>
      <c r="H91" s="156" t="s">
        <v>167</v>
      </c>
      <c r="I91" s="156"/>
      <c r="J91" s="612"/>
      <c r="K91" s="611" t="s">
        <v>557</v>
      </c>
      <c r="L91" s="156"/>
      <c r="M91" s="156"/>
      <c r="N91" s="612"/>
      <c r="O91" s="611" t="s">
        <v>557</v>
      </c>
      <c r="P91" s="156"/>
      <c r="Q91" s="156"/>
      <c r="R91" s="612"/>
      <c r="S91" s="611" t="s">
        <v>557</v>
      </c>
      <c r="T91" s="156"/>
      <c r="U91" s="156"/>
      <c r="V91" s="612"/>
      <c r="W91" s="611" t="s">
        <v>558</v>
      </c>
      <c r="X91" s="624"/>
      <c r="Y91" s="624"/>
      <c r="Z91" s="625"/>
      <c r="AA91" s="611" t="s">
        <v>559</v>
      </c>
      <c r="AB91" s="156"/>
      <c r="AC91" s="156"/>
      <c r="AD91" s="613"/>
      <c r="AE91" s="128">
        <v>56</v>
      </c>
      <c r="AF91" s="156"/>
      <c r="AG91" s="156" t="s">
        <v>28</v>
      </c>
      <c r="AH91" s="613"/>
      <c r="AI91" s="489"/>
    </row>
    <row r="92" spans="1:35" ht="21.95" customHeight="1" x14ac:dyDescent="0.2">
      <c r="A92" s="1"/>
      <c r="B92" s="129" t="s">
        <v>325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/>
      <c r="L92" s="156" t="s">
        <v>167</v>
      </c>
      <c r="M92" s="156"/>
      <c r="N92" s="612"/>
      <c r="O92" s="611"/>
      <c r="P92" s="156" t="s">
        <v>167</v>
      </c>
      <c r="Q92" s="156"/>
      <c r="R92" s="612"/>
      <c r="S92" s="611"/>
      <c r="T92" s="156" t="s">
        <v>167</v>
      </c>
      <c r="U92" s="156"/>
      <c r="V92" s="612"/>
      <c r="W92" s="611"/>
      <c r="X92" s="156" t="s">
        <v>167</v>
      </c>
      <c r="Y92" s="156"/>
      <c r="Z92" s="612"/>
      <c r="AA92" s="156" t="s">
        <v>167</v>
      </c>
      <c r="AB92" s="156"/>
      <c r="AC92" s="156"/>
      <c r="AD92" s="613"/>
      <c r="AE92" s="128">
        <v>0</v>
      </c>
      <c r="AF92" s="156"/>
      <c r="AG92" s="156"/>
      <c r="AH92" s="613"/>
      <c r="AI92" s="489"/>
    </row>
    <row r="93" spans="1:35" ht="21.95" customHeight="1" thickBot="1" x14ac:dyDescent="0.25">
      <c r="A93" s="1"/>
      <c r="B93" s="129" t="s">
        <v>326</v>
      </c>
      <c r="C93" s="611" t="s">
        <v>557</v>
      </c>
      <c r="D93" s="156"/>
      <c r="E93" s="156"/>
      <c r="F93" s="612"/>
      <c r="G93" s="611" t="s">
        <v>557</v>
      </c>
      <c r="H93" s="156"/>
      <c r="I93" s="156"/>
      <c r="J93" s="612"/>
      <c r="K93" s="121"/>
      <c r="L93" s="156" t="s">
        <v>167</v>
      </c>
      <c r="M93" s="156"/>
      <c r="N93" s="619"/>
      <c r="O93" s="121"/>
      <c r="P93" s="156" t="s">
        <v>167</v>
      </c>
      <c r="Q93" s="156"/>
      <c r="R93" s="612"/>
      <c r="S93" s="121"/>
      <c r="T93" s="156" t="s">
        <v>167</v>
      </c>
      <c r="U93" s="156"/>
      <c r="V93" s="612"/>
      <c r="W93" s="626" t="s">
        <v>560</v>
      </c>
      <c r="X93" s="134"/>
      <c r="Y93" s="134"/>
      <c r="Z93" s="627"/>
      <c r="AA93" s="626" t="s">
        <v>561</v>
      </c>
      <c r="AB93" s="134"/>
      <c r="AC93" s="134"/>
      <c r="AD93" s="628"/>
      <c r="AE93" s="128">
        <v>46</v>
      </c>
      <c r="AF93" s="156"/>
      <c r="AG93" s="156"/>
      <c r="AH93" s="613"/>
      <c r="AI93" s="489"/>
    </row>
    <row r="94" spans="1:35" ht="21.95" customHeight="1" thickBot="1" x14ac:dyDescent="0.25">
      <c r="A94" s="1"/>
      <c r="B94" s="16" t="s">
        <v>236</v>
      </c>
      <c r="C94" s="618" t="s">
        <v>420</v>
      </c>
      <c r="D94" s="53"/>
      <c r="E94" s="53"/>
      <c r="F94" s="619"/>
      <c r="G94" s="618" t="s">
        <v>421</v>
      </c>
      <c r="H94" s="53"/>
      <c r="I94" s="53"/>
      <c r="J94" s="619"/>
      <c r="K94" s="618" t="s">
        <v>421</v>
      </c>
      <c r="L94" s="53"/>
      <c r="M94" s="53"/>
      <c r="N94" s="360"/>
      <c r="O94" s="618" t="s">
        <v>421</v>
      </c>
      <c r="P94" s="53"/>
      <c r="Q94" s="53"/>
      <c r="R94" s="619"/>
      <c r="S94" s="618" t="s">
        <v>422</v>
      </c>
      <c r="T94" s="53"/>
      <c r="U94" s="53"/>
      <c r="V94" s="620"/>
      <c r="W94" s="57"/>
      <c r="X94" s="620" t="s">
        <v>167</v>
      </c>
      <c r="Y94" s="53"/>
      <c r="Z94" s="619"/>
      <c r="AA94" s="57"/>
      <c r="AB94" s="620" t="s">
        <v>167</v>
      </c>
      <c r="AC94" s="53"/>
      <c r="AD94" s="619"/>
      <c r="AE94" s="629">
        <v>37.5</v>
      </c>
      <c r="AF94" s="53"/>
      <c r="AG94" s="53"/>
      <c r="AH94" s="620"/>
      <c r="AI94" s="544"/>
    </row>
    <row r="95" spans="1:35" ht="21.95" customHeight="1" thickBot="1" x14ac:dyDescent="0.25">
      <c r="A95" s="621"/>
      <c r="B95" s="1"/>
      <c r="C95" s="360"/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177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585"/>
      <c r="B96" s="296" t="s">
        <v>469</v>
      </c>
      <c r="C96" s="177">
        <v>1</v>
      </c>
      <c r="D96" s="177">
        <v>2</v>
      </c>
      <c r="E96" s="497">
        <v>3</v>
      </c>
      <c r="F96" s="497">
        <v>4</v>
      </c>
      <c r="G96" s="177">
        <v>5</v>
      </c>
      <c r="H96" s="177">
        <v>6</v>
      </c>
      <c r="I96" s="177">
        <v>7</v>
      </c>
      <c r="J96" s="177">
        <v>8</v>
      </c>
      <c r="K96" s="177">
        <v>9</v>
      </c>
      <c r="L96" s="497">
        <v>10</v>
      </c>
      <c r="M96" s="497">
        <v>11</v>
      </c>
      <c r="N96" s="553">
        <v>12</v>
      </c>
      <c r="O96" s="177">
        <v>13</v>
      </c>
      <c r="P96" s="177">
        <v>14</v>
      </c>
      <c r="Q96" s="177">
        <v>15</v>
      </c>
      <c r="R96" s="177">
        <v>16</v>
      </c>
      <c r="S96" s="497">
        <v>17</v>
      </c>
      <c r="T96" s="497">
        <v>18</v>
      </c>
      <c r="U96" s="177">
        <v>19</v>
      </c>
      <c r="V96" s="177">
        <v>20</v>
      </c>
      <c r="W96" s="177">
        <v>21</v>
      </c>
      <c r="X96" s="177">
        <v>22</v>
      </c>
      <c r="Y96" s="177">
        <v>23</v>
      </c>
      <c r="Z96" s="497">
        <v>24</v>
      </c>
      <c r="AA96" s="497">
        <v>25</v>
      </c>
      <c r="AB96" s="497">
        <v>26</v>
      </c>
      <c r="AC96" s="177">
        <v>27</v>
      </c>
      <c r="AD96" s="177">
        <v>28</v>
      </c>
      <c r="AE96" s="177">
        <v>29</v>
      </c>
      <c r="AF96" s="177">
        <v>30</v>
      </c>
      <c r="AG96" s="497">
        <v>31</v>
      </c>
      <c r="AH96" s="499" t="s">
        <v>470</v>
      </c>
      <c r="AI96" s="500" t="s">
        <v>471</v>
      </c>
    </row>
    <row r="97" spans="1:35" ht="21.95" customHeight="1" x14ac:dyDescent="0.2">
      <c r="A97" s="622">
        <v>1</v>
      </c>
      <c r="B97" s="318" t="s">
        <v>562</v>
      </c>
      <c r="C97" s="1516" t="s">
        <v>522</v>
      </c>
      <c r="D97" s="1516" t="s">
        <v>522</v>
      </c>
      <c r="E97" s="1516" t="s">
        <v>568</v>
      </c>
      <c r="F97" s="1516" t="s">
        <v>754</v>
      </c>
      <c r="G97" s="587" t="s">
        <v>475</v>
      </c>
      <c r="H97" s="587" t="s">
        <v>475</v>
      </c>
      <c r="I97" s="587" t="s">
        <v>475</v>
      </c>
      <c r="J97" s="587" t="s">
        <v>475</v>
      </c>
      <c r="K97" s="587" t="s">
        <v>475</v>
      </c>
      <c r="L97" s="587" t="s">
        <v>475</v>
      </c>
      <c r="M97" s="587" t="s">
        <v>475</v>
      </c>
      <c r="N97" s="553" t="s">
        <v>522</v>
      </c>
      <c r="O97" s="587" t="s">
        <v>522</v>
      </c>
      <c r="P97" s="587" t="s">
        <v>475</v>
      </c>
      <c r="Q97" s="587" t="s">
        <v>475</v>
      </c>
      <c r="R97" s="587" t="s">
        <v>475</v>
      </c>
      <c r="S97" s="587" t="s">
        <v>563</v>
      </c>
      <c r="T97" s="587" t="s">
        <v>564</v>
      </c>
      <c r="U97" s="1540" t="s">
        <v>565</v>
      </c>
      <c r="V97" s="1540" t="s">
        <v>566</v>
      </c>
      <c r="W97" s="1540" t="s">
        <v>566</v>
      </c>
      <c r="X97" s="1540" t="s">
        <v>566</v>
      </c>
      <c r="Y97" s="1540" t="s">
        <v>567</v>
      </c>
      <c r="Z97" s="587" t="s">
        <v>475</v>
      </c>
      <c r="AA97" s="587" t="s">
        <v>475</v>
      </c>
      <c r="AB97" s="587" t="s">
        <v>475</v>
      </c>
      <c r="AC97" s="587" t="s">
        <v>475</v>
      </c>
      <c r="AD97" s="587" t="s">
        <v>522</v>
      </c>
      <c r="AE97" s="587" t="s">
        <v>522</v>
      </c>
      <c r="AF97" s="587" t="s">
        <v>522</v>
      </c>
      <c r="AG97" s="587" t="s">
        <v>568</v>
      </c>
      <c r="AH97" s="505">
        <v>46</v>
      </c>
      <c r="AI97" s="506">
        <v>37</v>
      </c>
    </row>
    <row r="98" spans="1:35" ht="21.95" customHeight="1" x14ac:dyDescent="0.2">
      <c r="A98" s="622">
        <v>2</v>
      </c>
      <c r="B98" s="318" t="s">
        <v>570</v>
      </c>
      <c r="C98" s="587" t="s">
        <v>475</v>
      </c>
      <c r="D98" s="587" t="s">
        <v>475</v>
      </c>
      <c r="E98" s="587" t="s">
        <v>475</v>
      </c>
      <c r="F98" s="553" t="s">
        <v>475</v>
      </c>
      <c r="G98" s="553" t="s">
        <v>522</v>
      </c>
      <c r="H98" s="553" t="s">
        <v>522</v>
      </c>
      <c r="I98" s="553" t="s">
        <v>475</v>
      </c>
      <c r="J98" s="553" t="s">
        <v>475</v>
      </c>
      <c r="K98" s="587" t="s">
        <v>475</v>
      </c>
      <c r="L98" s="588" t="s">
        <v>563</v>
      </c>
      <c r="M98" s="587" t="s">
        <v>564</v>
      </c>
      <c r="N98" s="553">
        <v>9</v>
      </c>
      <c r="O98" s="553">
        <v>9</v>
      </c>
      <c r="P98" s="587" t="s">
        <v>475</v>
      </c>
      <c r="Q98" s="588" t="s">
        <v>475</v>
      </c>
      <c r="R98" s="587" t="s">
        <v>475</v>
      </c>
      <c r="S98" s="587" t="s">
        <v>475</v>
      </c>
      <c r="T98" s="588" t="s">
        <v>475</v>
      </c>
      <c r="U98" s="587" t="s">
        <v>475</v>
      </c>
      <c r="V98" s="587" t="s">
        <v>475</v>
      </c>
      <c r="W98" s="587" t="s">
        <v>522</v>
      </c>
      <c r="X98" s="587" t="s">
        <v>522</v>
      </c>
      <c r="Y98" s="587" t="s">
        <v>522</v>
      </c>
      <c r="Z98" s="587" t="s">
        <v>568</v>
      </c>
      <c r="AA98" s="587" t="s">
        <v>569</v>
      </c>
      <c r="AB98" s="587" t="s">
        <v>475</v>
      </c>
      <c r="AC98" s="587" t="s">
        <v>475</v>
      </c>
      <c r="AD98" s="587" t="s">
        <v>475</v>
      </c>
      <c r="AE98" s="587" t="s">
        <v>475</v>
      </c>
      <c r="AF98" s="587" t="s">
        <v>475</v>
      </c>
      <c r="AG98" s="587" t="s">
        <v>475</v>
      </c>
      <c r="AH98" s="505">
        <v>52</v>
      </c>
      <c r="AI98" s="506">
        <v>37</v>
      </c>
    </row>
    <row r="99" spans="1:35" ht="21.95" customHeight="1" thickBot="1" x14ac:dyDescent="0.25">
      <c r="A99" s="622">
        <v>3</v>
      </c>
      <c r="B99" s="552" t="s">
        <v>572</v>
      </c>
      <c r="C99" s="1557" t="s">
        <v>522</v>
      </c>
      <c r="D99" s="1556" t="s">
        <v>522</v>
      </c>
      <c r="E99" s="1521" t="s">
        <v>568</v>
      </c>
      <c r="F99" s="1556" t="s">
        <v>569</v>
      </c>
      <c r="G99" s="587" t="s">
        <v>475</v>
      </c>
      <c r="H99" s="587" t="s">
        <v>475</v>
      </c>
      <c r="I99" s="587" t="s">
        <v>522</v>
      </c>
      <c r="J99" s="1536" t="s">
        <v>522</v>
      </c>
      <c r="K99" s="1540" t="s">
        <v>522</v>
      </c>
      <c r="L99" s="587" t="s">
        <v>568</v>
      </c>
      <c r="M99" s="588" t="s">
        <v>569</v>
      </c>
      <c r="N99" s="587" t="s">
        <v>475</v>
      </c>
      <c r="O99" s="587" t="s">
        <v>475</v>
      </c>
      <c r="P99" s="587" t="s">
        <v>475</v>
      </c>
      <c r="Q99" s="587" t="s">
        <v>475</v>
      </c>
      <c r="R99" s="587" t="s">
        <v>475</v>
      </c>
      <c r="S99" s="587" t="s">
        <v>475</v>
      </c>
      <c r="T99" s="588" t="s">
        <v>475</v>
      </c>
      <c r="U99" s="587" t="s">
        <v>522</v>
      </c>
      <c r="V99" s="587" t="s">
        <v>522</v>
      </c>
      <c r="W99" s="587" t="s">
        <v>475</v>
      </c>
      <c r="X99" s="587" t="s">
        <v>475</v>
      </c>
      <c r="Y99" s="587" t="s">
        <v>475</v>
      </c>
      <c r="Z99" s="588" t="s">
        <v>563</v>
      </c>
      <c r="AA99" s="587" t="s">
        <v>564</v>
      </c>
      <c r="AB99" s="587" t="s">
        <v>565</v>
      </c>
      <c r="AC99" s="1571" t="s">
        <v>566</v>
      </c>
      <c r="AD99" s="1540" t="s">
        <v>566</v>
      </c>
      <c r="AE99" s="1536" t="s">
        <v>566</v>
      </c>
      <c r="AF99" s="1540" t="s">
        <v>567</v>
      </c>
      <c r="AG99" s="587" t="s">
        <v>475</v>
      </c>
      <c r="AH99" s="651">
        <v>43</v>
      </c>
      <c r="AI99" s="523">
        <v>37</v>
      </c>
    </row>
    <row r="100" spans="1:35" ht="21.95" customHeight="1" thickBot="1" x14ac:dyDescent="0.25">
      <c r="A100" s="622">
        <v>4</v>
      </c>
      <c r="B100" s="552" t="s">
        <v>573</v>
      </c>
      <c r="C100" s="587" t="s">
        <v>475</v>
      </c>
      <c r="D100" s="587" t="s">
        <v>475</v>
      </c>
      <c r="E100" s="588" t="s">
        <v>563</v>
      </c>
      <c r="F100" s="587" t="s">
        <v>564</v>
      </c>
      <c r="G100" s="1085" t="s">
        <v>565</v>
      </c>
      <c r="H100" s="1086" t="s">
        <v>566</v>
      </c>
      <c r="I100" s="1086" t="s">
        <v>566</v>
      </c>
      <c r="J100" s="1562" t="s">
        <v>522</v>
      </c>
      <c r="K100" s="1563" t="s">
        <v>755</v>
      </c>
      <c r="L100" s="587" t="s">
        <v>475</v>
      </c>
      <c r="M100" s="587" t="s">
        <v>475</v>
      </c>
      <c r="N100" s="1545" t="s">
        <v>475</v>
      </c>
      <c r="O100" s="587" t="s">
        <v>475</v>
      </c>
      <c r="P100" s="587" t="s">
        <v>522</v>
      </c>
      <c r="Q100" s="588" t="s">
        <v>522</v>
      </c>
      <c r="R100" s="587" t="s">
        <v>522</v>
      </c>
      <c r="S100" s="587" t="s">
        <v>568</v>
      </c>
      <c r="T100" s="588" t="s">
        <v>569</v>
      </c>
      <c r="U100" s="587" t="s">
        <v>475</v>
      </c>
      <c r="V100" s="587" t="s">
        <v>475</v>
      </c>
      <c r="W100" s="587" t="s">
        <v>475</v>
      </c>
      <c r="X100" s="587" t="s">
        <v>475</v>
      </c>
      <c r="Y100" s="587" t="s">
        <v>475</v>
      </c>
      <c r="Z100" s="587" t="s">
        <v>475</v>
      </c>
      <c r="AA100" s="587" t="s">
        <v>475</v>
      </c>
      <c r="AB100" s="587" t="s">
        <v>522</v>
      </c>
      <c r="AC100" s="587" t="s">
        <v>522</v>
      </c>
      <c r="AD100" s="587" t="s">
        <v>475</v>
      </c>
      <c r="AE100" s="587" t="s">
        <v>475</v>
      </c>
      <c r="AF100" s="587" t="s">
        <v>475</v>
      </c>
      <c r="AG100" s="588" t="s">
        <v>563</v>
      </c>
      <c r="AH100" s="651">
        <v>52</v>
      </c>
      <c r="AI100" s="523">
        <v>37</v>
      </c>
    </row>
    <row r="101" spans="1:35" ht="21.95" customHeight="1" x14ac:dyDescent="0.2">
      <c r="A101" s="623"/>
      <c r="B101" s="630"/>
      <c r="C101" s="590"/>
      <c r="D101" s="590"/>
      <c r="E101" s="590"/>
      <c r="F101" s="590"/>
      <c r="G101" s="590"/>
      <c r="H101" s="590"/>
      <c r="I101" s="590"/>
      <c r="J101" s="590"/>
      <c r="K101" s="590"/>
      <c r="L101" s="590"/>
      <c r="M101" s="590"/>
      <c r="N101" s="360"/>
      <c r="O101" s="590"/>
      <c r="P101" s="590"/>
      <c r="Q101" s="590"/>
      <c r="R101" s="590"/>
      <c r="S101" s="590"/>
      <c r="T101" s="590"/>
      <c r="U101" s="590"/>
      <c r="V101" s="590"/>
      <c r="W101" s="590"/>
      <c r="X101" s="590"/>
      <c r="Y101" s="590"/>
      <c r="Z101" s="590"/>
      <c r="AA101" s="590"/>
      <c r="AB101" s="590"/>
      <c r="AC101" s="590"/>
      <c r="AD101" s="590"/>
      <c r="AE101" s="590"/>
      <c r="AF101" s="590"/>
      <c r="AG101" s="590"/>
      <c r="AH101" s="591"/>
      <c r="AI101" s="591"/>
    </row>
    <row r="102" spans="1:35" ht="21.95" customHeight="1" thickBot="1" x14ac:dyDescent="0.25">
      <c r="A102" s="1" t="s">
        <v>574</v>
      </c>
      <c r="D102" s="360"/>
      <c r="E102" s="360"/>
      <c r="F102" s="360"/>
      <c r="G102" s="570"/>
      <c r="H102" s="360"/>
      <c r="I102" s="360"/>
      <c r="J102" s="360"/>
      <c r="K102" s="360"/>
      <c r="L102" s="360"/>
      <c r="M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</row>
    <row r="103" spans="1:35" ht="21.95" customHeight="1" x14ac:dyDescent="0.2">
      <c r="A103" s="1"/>
      <c r="B103" s="23" t="s">
        <v>556</v>
      </c>
      <c r="C103" s="7"/>
      <c r="D103" s="530" t="s">
        <v>2</v>
      </c>
      <c r="E103" s="51"/>
      <c r="F103" s="573"/>
      <c r="G103" s="7"/>
      <c r="H103" s="530" t="s">
        <v>3</v>
      </c>
      <c r="I103" s="51"/>
      <c r="J103" s="573"/>
      <c r="K103" s="7"/>
      <c r="L103" s="530" t="s">
        <v>4</v>
      </c>
      <c r="M103" s="51"/>
      <c r="N103" s="1592"/>
      <c r="O103" s="7"/>
      <c r="P103" s="530" t="s">
        <v>5</v>
      </c>
      <c r="Q103" s="51"/>
      <c r="R103" s="573"/>
      <c r="S103" s="7"/>
      <c r="T103" s="530" t="s">
        <v>6</v>
      </c>
      <c r="U103" s="51"/>
      <c r="V103" s="573"/>
      <c r="W103" s="7"/>
      <c r="X103" s="530" t="s">
        <v>7</v>
      </c>
      <c r="Y103" s="51"/>
      <c r="Z103" s="573"/>
      <c r="AA103" s="7"/>
      <c r="AB103" s="530" t="s">
        <v>8</v>
      </c>
      <c r="AC103" s="51"/>
      <c r="AD103" s="51"/>
      <c r="AE103" s="424" t="s">
        <v>10</v>
      </c>
      <c r="AF103" s="51"/>
      <c r="AG103" s="51"/>
      <c r="AH103" s="51"/>
      <c r="AI103" s="531"/>
    </row>
    <row r="104" spans="1:35" ht="21.95" customHeight="1" x14ac:dyDescent="0.2">
      <c r="A104" s="1"/>
      <c r="B104" s="129" t="s">
        <v>324</v>
      </c>
      <c r="C104" s="121" t="s">
        <v>167</v>
      </c>
      <c r="D104" s="156"/>
      <c r="E104" s="156"/>
      <c r="F104" s="612"/>
      <c r="G104" s="121" t="s">
        <v>709</v>
      </c>
      <c r="H104" s="156"/>
      <c r="I104" s="156"/>
      <c r="J104" s="612"/>
      <c r="K104" s="121" t="s">
        <v>709</v>
      </c>
      <c r="L104" s="156"/>
      <c r="M104" s="156"/>
      <c r="N104" s="612"/>
      <c r="O104" s="121" t="s">
        <v>709</v>
      </c>
      <c r="P104" s="156"/>
      <c r="Q104" s="156"/>
      <c r="R104" s="612"/>
      <c r="S104" s="121" t="s">
        <v>697</v>
      </c>
      <c r="T104" s="156"/>
      <c r="U104" s="156"/>
      <c r="V104" s="612"/>
      <c r="W104" s="1724" t="s">
        <v>579</v>
      </c>
      <c r="X104" s="624"/>
      <c r="Y104" s="624"/>
      <c r="Z104" s="625"/>
      <c r="AA104" s="611"/>
      <c r="AB104" s="156"/>
      <c r="AC104" s="156"/>
      <c r="AD104" s="613"/>
      <c r="AE104" s="128"/>
      <c r="AF104" s="156"/>
      <c r="AG104" s="156" t="s">
        <v>28</v>
      </c>
      <c r="AH104" s="613"/>
      <c r="AI104" s="489"/>
    </row>
    <row r="105" spans="1:35" ht="21.95" customHeight="1" x14ac:dyDescent="0.2">
      <c r="A105" s="1"/>
      <c r="B105" s="129" t="s">
        <v>325</v>
      </c>
      <c r="C105" s="121" t="s">
        <v>711</v>
      </c>
      <c r="D105" s="156"/>
      <c r="E105" s="156"/>
      <c r="F105" s="612"/>
      <c r="G105" s="121" t="s">
        <v>711</v>
      </c>
      <c r="H105" s="156"/>
      <c r="I105" s="156"/>
      <c r="J105" s="612"/>
      <c r="K105" s="121" t="s">
        <v>711</v>
      </c>
      <c r="L105" s="156"/>
      <c r="M105" s="156"/>
      <c r="N105" s="612"/>
      <c r="O105" s="121" t="s">
        <v>711</v>
      </c>
      <c r="P105" s="156"/>
      <c r="Q105" s="156"/>
      <c r="R105" s="612"/>
      <c r="S105" s="121" t="s">
        <v>167</v>
      </c>
      <c r="T105" s="156"/>
      <c r="U105" s="156"/>
      <c r="V105" s="612"/>
      <c r="W105" s="121"/>
      <c r="X105" s="156"/>
      <c r="Y105" s="156"/>
      <c r="Z105" s="612"/>
      <c r="AA105" s="156"/>
      <c r="AB105" s="156"/>
      <c r="AC105" s="156"/>
      <c r="AD105" s="613"/>
      <c r="AE105" s="128"/>
      <c r="AF105" s="156"/>
      <c r="AG105" s="156"/>
      <c r="AH105" s="613"/>
      <c r="AI105" s="489"/>
    </row>
    <row r="106" spans="1:35" ht="21.95" customHeight="1" thickBot="1" x14ac:dyDescent="0.25">
      <c r="A106" s="1"/>
      <c r="B106" s="129" t="s">
        <v>326</v>
      </c>
      <c r="C106" s="121" t="s">
        <v>575</v>
      </c>
      <c r="D106" s="156"/>
      <c r="E106" s="156"/>
      <c r="F106" s="612"/>
      <c r="G106" s="121" t="s">
        <v>712</v>
      </c>
      <c r="H106" s="156"/>
      <c r="I106" s="156"/>
      <c r="J106" s="612"/>
      <c r="K106" s="121" t="s">
        <v>712</v>
      </c>
      <c r="L106" s="156"/>
      <c r="M106" s="156"/>
      <c r="N106" s="619"/>
      <c r="O106" s="121" t="s">
        <v>712</v>
      </c>
      <c r="P106" s="156"/>
      <c r="Q106" s="156"/>
      <c r="R106" s="612"/>
      <c r="S106" s="121" t="s">
        <v>713</v>
      </c>
      <c r="T106" s="156"/>
      <c r="U106" s="156"/>
      <c r="V106" s="612"/>
      <c r="W106" s="631" t="s">
        <v>579</v>
      </c>
      <c r="X106" s="134"/>
      <c r="Y106" s="134"/>
      <c r="Z106" s="627"/>
      <c r="AA106" s="626"/>
      <c r="AB106" s="134"/>
      <c r="AC106" s="134"/>
      <c r="AD106" s="628"/>
      <c r="AE106" s="128"/>
      <c r="AF106" s="156"/>
      <c r="AG106" s="156"/>
      <c r="AH106" s="613"/>
      <c r="AI106" s="489"/>
    </row>
    <row r="107" spans="1:35" ht="21.95" customHeight="1" thickBot="1" x14ac:dyDescent="0.25">
      <c r="A107" s="1"/>
      <c r="B107" s="16" t="s">
        <v>236</v>
      </c>
      <c r="C107" s="57" t="s">
        <v>714</v>
      </c>
      <c r="D107" s="53"/>
      <c r="E107" s="53"/>
      <c r="F107" s="619"/>
      <c r="G107" s="57" t="s">
        <v>714</v>
      </c>
      <c r="H107" s="53"/>
      <c r="I107" s="53"/>
      <c r="J107" s="619"/>
      <c r="K107" s="57" t="s">
        <v>714</v>
      </c>
      <c r="L107" s="53"/>
      <c r="M107" s="53"/>
      <c r="N107" s="360"/>
      <c r="O107" s="57" t="s">
        <v>714</v>
      </c>
      <c r="P107" s="53"/>
      <c r="Q107" s="53"/>
      <c r="R107" s="619"/>
      <c r="S107" s="57" t="s">
        <v>715</v>
      </c>
      <c r="T107" s="53"/>
      <c r="U107" s="53"/>
      <c r="V107" s="620"/>
      <c r="W107" s="57"/>
      <c r="X107" s="620"/>
      <c r="Y107" s="53"/>
      <c r="Z107" s="619"/>
      <c r="AA107" s="57"/>
      <c r="AB107" s="620"/>
      <c r="AC107" s="53"/>
      <c r="AD107" s="619"/>
      <c r="AE107" s="629"/>
      <c r="AF107" s="53"/>
      <c r="AG107" s="53"/>
      <c r="AH107" s="620"/>
      <c r="AI107" s="544"/>
    </row>
    <row r="108" spans="1:35" ht="21.95" customHeight="1" thickBot="1" x14ac:dyDescent="0.25">
      <c r="A108" s="621"/>
      <c r="B108" s="1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177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585"/>
      <c r="B109" s="296" t="s">
        <v>469</v>
      </c>
      <c r="C109" s="177">
        <v>1</v>
      </c>
      <c r="D109" s="177">
        <v>2</v>
      </c>
      <c r="E109" s="497">
        <v>3</v>
      </c>
      <c r="F109" s="497">
        <v>4</v>
      </c>
      <c r="G109" s="177">
        <v>5</v>
      </c>
      <c r="H109" s="177">
        <v>6</v>
      </c>
      <c r="I109" s="177">
        <v>7</v>
      </c>
      <c r="J109" s="177">
        <v>8</v>
      </c>
      <c r="K109" s="177">
        <v>9</v>
      </c>
      <c r="L109" s="497">
        <v>10</v>
      </c>
      <c r="M109" s="497">
        <v>11</v>
      </c>
      <c r="N109" s="553">
        <v>12</v>
      </c>
      <c r="O109" s="177">
        <v>13</v>
      </c>
      <c r="P109" s="177">
        <v>14</v>
      </c>
      <c r="Q109" s="177">
        <v>15</v>
      </c>
      <c r="R109" s="177">
        <v>16</v>
      </c>
      <c r="S109" s="497">
        <v>17</v>
      </c>
      <c r="T109" s="497">
        <v>18</v>
      </c>
      <c r="U109" s="177">
        <v>19</v>
      </c>
      <c r="V109" s="177">
        <v>20</v>
      </c>
      <c r="W109" s="177">
        <v>21</v>
      </c>
      <c r="X109" s="177">
        <v>22</v>
      </c>
      <c r="Y109" s="177">
        <v>23</v>
      </c>
      <c r="Z109" s="497">
        <v>24</v>
      </c>
      <c r="AA109" s="497">
        <v>25</v>
      </c>
      <c r="AB109" s="497">
        <v>26</v>
      </c>
      <c r="AC109" s="177">
        <v>27</v>
      </c>
      <c r="AD109" s="177">
        <v>28</v>
      </c>
      <c r="AE109" s="177">
        <v>29</v>
      </c>
      <c r="AF109" s="177">
        <v>30</v>
      </c>
      <c r="AG109" s="497">
        <v>31</v>
      </c>
      <c r="AH109" s="499" t="s">
        <v>470</v>
      </c>
      <c r="AI109" s="500" t="s">
        <v>471</v>
      </c>
    </row>
    <row r="110" spans="1:35" ht="21.95" customHeight="1" x14ac:dyDescent="0.2">
      <c r="A110" s="622">
        <v>1</v>
      </c>
      <c r="B110" s="552" t="s">
        <v>530</v>
      </c>
      <c r="C110" s="1469">
        <v>1</v>
      </c>
      <c r="D110" s="1469">
        <v>1</v>
      </c>
      <c r="E110" s="1469">
        <v>1</v>
      </c>
      <c r="F110" s="553"/>
      <c r="G110" s="553">
        <v>2</v>
      </c>
      <c r="H110" s="553">
        <v>2</v>
      </c>
      <c r="I110" s="1084">
        <v>2</v>
      </c>
      <c r="J110" s="553">
        <v>2</v>
      </c>
      <c r="K110" s="553" t="s">
        <v>475</v>
      </c>
      <c r="L110" s="553"/>
      <c r="M110" s="587"/>
      <c r="N110" s="553">
        <v>4</v>
      </c>
      <c r="O110" s="1084">
        <v>3</v>
      </c>
      <c r="P110" s="553">
        <v>3</v>
      </c>
      <c r="Q110" s="553">
        <v>3</v>
      </c>
      <c r="R110" s="553">
        <v>3</v>
      </c>
      <c r="S110" s="553">
        <v>3</v>
      </c>
      <c r="T110" s="553"/>
      <c r="U110" s="553">
        <v>4</v>
      </c>
      <c r="V110" s="1087" t="s">
        <v>531</v>
      </c>
      <c r="W110" s="553">
        <v>4</v>
      </c>
      <c r="X110" s="553">
        <v>4</v>
      </c>
      <c r="Y110" s="553">
        <v>4</v>
      </c>
      <c r="Z110" s="553"/>
      <c r="AA110" s="587"/>
      <c r="AB110" s="587" t="s">
        <v>475</v>
      </c>
      <c r="AC110" s="1523">
        <v>1</v>
      </c>
      <c r="AD110" s="1523">
        <v>1</v>
      </c>
      <c r="AE110" s="1523">
        <v>1</v>
      </c>
      <c r="AF110" s="1523">
        <v>1</v>
      </c>
      <c r="AG110" s="553">
        <v>1</v>
      </c>
      <c r="AH110" s="505">
        <v>125</v>
      </c>
      <c r="AI110" s="506">
        <v>37</v>
      </c>
    </row>
    <row r="111" spans="1:35" ht="21.95" customHeight="1" x14ac:dyDescent="0.2">
      <c r="A111" s="622">
        <v>2</v>
      </c>
      <c r="B111" s="318" t="s">
        <v>583</v>
      </c>
      <c r="C111" s="553">
        <v>2</v>
      </c>
      <c r="D111" s="553" t="s">
        <v>475</v>
      </c>
      <c r="E111" s="553"/>
      <c r="F111" s="587"/>
      <c r="G111" s="1515">
        <v>3</v>
      </c>
      <c r="H111" s="1515" t="s">
        <v>685</v>
      </c>
      <c r="I111" s="1084">
        <v>3</v>
      </c>
      <c r="J111" s="553">
        <v>3</v>
      </c>
      <c r="K111" s="553">
        <v>3</v>
      </c>
      <c r="L111" s="553">
        <v>3</v>
      </c>
      <c r="M111" s="553"/>
      <c r="N111" s="587" t="s">
        <v>475</v>
      </c>
      <c r="O111" s="1084">
        <v>4</v>
      </c>
      <c r="P111" s="553">
        <v>4</v>
      </c>
      <c r="Q111" s="553">
        <v>4</v>
      </c>
      <c r="R111" s="553">
        <v>4</v>
      </c>
      <c r="S111" s="553"/>
      <c r="T111" s="587"/>
      <c r="U111" s="587" t="s">
        <v>475</v>
      </c>
      <c r="V111" s="553">
        <v>1</v>
      </c>
      <c r="W111" s="553">
        <v>1</v>
      </c>
      <c r="X111" s="553">
        <v>1</v>
      </c>
      <c r="Y111" s="553">
        <v>1</v>
      </c>
      <c r="Z111" s="553">
        <v>1</v>
      </c>
      <c r="AA111" s="553"/>
      <c r="AB111" s="553">
        <v>2</v>
      </c>
      <c r="AC111" s="1469">
        <v>2</v>
      </c>
      <c r="AD111" s="1469">
        <v>2</v>
      </c>
      <c r="AE111" s="1469">
        <v>2</v>
      </c>
      <c r="AF111" s="553" t="s">
        <v>475</v>
      </c>
      <c r="AG111" s="553"/>
      <c r="AH111" s="505">
        <v>56</v>
      </c>
      <c r="AI111" s="506">
        <v>14</v>
      </c>
    </row>
    <row r="112" spans="1:35" ht="21.95" customHeight="1" x14ac:dyDescent="0.2">
      <c r="A112" s="622">
        <v>3</v>
      </c>
      <c r="B112" s="552" t="s">
        <v>584</v>
      </c>
      <c r="C112" s="553">
        <v>3</v>
      </c>
      <c r="D112" s="553">
        <v>3</v>
      </c>
      <c r="E112" s="553">
        <v>3</v>
      </c>
      <c r="F112" s="587"/>
      <c r="G112" s="553">
        <v>4</v>
      </c>
      <c r="H112" s="553">
        <v>4</v>
      </c>
      <c r="I112" s="1084">
        <v>4</v>
      </c>
      <c r="J112" s="553">
        <v>4</v>
      </c>
      <c r="K112" s="553">
        <v>4</v>
      </c>
      <c r="L112" s="587"/>
      <c r="M112" s="587"/>
      <c r="N112" s="553">
        <v>1</v>
      </c>
      <c r="O112" s="1084">
        <v>1</v>
      </c>
      <c r="P112" s="1560">
        <v>1</v>
      </c>
      <c r="Q112" s="1560">
        <v>1</v>
      </c>
      <c r="R112" s="1560">
        <v>1</v>
      </c>
      <c r="S112" s="553">
        <v>1</v>
      </c>
      <c r="T112" s="587"/>
      <c r="U112" s="1611">
        <v>2</v>
      </c>
      <c r="V112" s="553">
        <v>2</v>
      </c>
      <c r="W112" s="553">
        <v>2</v>
      </c>
      <c r="X112" s="553">
        <v>2</v>
      </c>
      <c r="Y112" s="587" t="s">
        <v>475</v>
      </c>
      <c r="Z112" s="587"/>
      <c r="AA112" s="587"/>
      <c r="AB112" s="553">
        <v>3</v>
      </c>
      <c r="AC112" s="1469">
        <v>3</v>
      </c>
      <c r="AD112" s="1469">
        <v>3</v>
      </c>
      <c r="AE112" s="1469">
        <v>3</v>
      </c>
      <c r="AF112" s="1469">
        <v>3</v>
      </c>
      <c r="AG112" s="553">
        <v>3</v>
      </c>
      <c r="AH112" s="505">
        <v>32</v>
      </c>
      <c r="AI112" s="506">
        <v>10</v>
      </c>
    </row>
    <row r="113" spans="1:37" ht="21.95" customHeight="1" thickBot="1" x14ac:dyDescent="0.25">
      <c r="A113" s="622">
        <v>4</v>
      </c>
      <c r="B113" s="552" t="s">
        <v>289</v>
      </c>
      <c r="C113" s="553">
        <v>4</v>
      </c>
      <c r="D113" s="553">
        <v>4</v>
      </c>
      <c r="E113" s="553"/>
      <c r="F113" s="553"/>
      <c r="G113" s="587" t="s">
        <v>475</v>
      </c>
      <c r="H113" s="553">
        <v>1</v>
      </c>
      <c r="I113" s="1084">
        <v>1</v>
      </c>
      <c r="J113" s="553">
        <v>1</v>
      </c>
      <c r="K113" s="553">
        <v>1</v>
      </c>
      <c r="L113" s="553">
        <v>1</v>
      </c>
      <c r="M113" s="587"/>
      <c r="N113" s="1499">
        <v>2</v>
      </c>
      <c r="O113" s="1084">
        <v>2</v>
      </c>
      <c r="P113" s="553">
        <v>2</v>
      </c>
      <c r="Q113" s="553">
        <v>2</v>
      </c>
      <c r="R113" s="587" t="s">
        <v>475</v>
      </c>
      <c r="S113" s="587"/>
      <c r="T113" s="553"/>
      <c r="U113" s="553">
        <v>3</v>
      </c>
      <c r="V113" s="553">
        <v>3</v>
      </c>
      <c r="W113" s="553">
        <v>3</v>
      </c>
      <c r="X113" s="553">
        <v>3</v>
      </c>
      <c r="Y113" s="553">
        <v>3</v>
      </c>
      <c r="Z113" s="553">
        <v>3</v>
      </c>
      <c r="AA113" s="587"/>
      <c r="AB113" s="553">
        <v>4</v>
      </c>
      <c r="AC113" s="1469">
        <v>4</v>
      </c>
      <c r="AD113" s="1469">
        <v>4</v>
      </c>
      <c r="AE113" s="1469">
        <v>4</v>
      </c>
      <c r="AF113" s="1469">
        <v>4</v>
      </c>
      <c r="AG113" s="553"/>
      <c r="AH113" s="717">
        <v>63</v>
      </c>
      <c r="AI113" s="718">
        <v>4</v>
      </c>
    </row>
    <row r="114" spans="1:37" ht="21.95" customHeight="1" x14ac:dyDescent="0.2">
      <c r="A114" s="623"/>
      <c r="B114" s="630"/>
      <c r="C114" s="590"/>
      <c r="D114" s="590"/>
      <c r="E114" s="590"/>
      <c r="F114" s="590"/>
      <c r="G114" s="590"/>
      <c r="H114" s="590"/>
      <c r="I114" s="590"/>
      <c r="J114" s="590"/>
      <c r="K114" s="590"/>
      <c r="L114" s="590"/>
      <c r="M114" s="590"/>
      <c r="N114" s="590"/>
      <c r="O114" s="590"/>
      <c r="P114" s="590"/>
      <c r="Q114" s="590"/>
      <c r="R114" s="590"/>
      <c r="S114" s="590"/>
      <c r="T114" s="590"/>
      <c r="U114" s="590"/>
      <c r="V114" s="590"/>
      <c r="W114" s="590"/>
      <c r="X114" s="590"/>
      <c r="Y114" s="590"/>
      <c r="Z114" s="590"/>
      <c r="AA114" s="590"/>
      <c r="AB114" s="590"/>
      <c r="AC114" s="590"/>
      <c r="AD114" s="590"/>
      <c r="AE114" s="590"/>
      <c r="AF114" s="590"/>
      <c r="AG114" s="590"/>
      <c r="AH114" s="591"/>
      <c r="AI114" s="591"/>
    </row>
    <row r="115" spans="1:37" ht="21.95" customHeight="1" x14ac:dyDescent="0.2">
      <c r="A115" s="311" t="s">
        <v>585</v>
      </c>
      <c r="C115" s="590"/>
      <c r="D115" s="590"/>
      <c r="E115" s="590"/>
      <c r="F115" s="590"/>
      <c r="G115" s="590"/>
      <c r="H115" s="590"/>
      <c r="I115" s="590"/>
      <c r="J115" s="590"/>
      <c r="K115" s="590"/>
      <c r="L115" s="590"/>
      <c r="M115" s="590"/>
      <c r="N115" s="360"/>
      <c r="O115" s="590"/>
      <c r="P115" s="590"/>
      <c r="Q115" s="590"/>
      <c r="R115" s="590"/>
      <c r="S115" s="590"/>
      <c r="T115" s="590"/>
      <c r="U115" s="590"/>
      <c r="V115" s="590"/>
      <c r="W115" s="590"/>
      <c r="X115" s="590"/>
      <c r="Y115" s="590"/>
      <c r="Z115" s="590"/>
      <c r="AA115" s="590"/>
      <c r="AB115" s="590"/>
      <c r="AC115" s="590"/>
      <c r="AD115" s="590"/>
      <c r="AE115" s="590"/>
      <c r="AF115" s="590"/>
      <c r="AG115" s="590"/>
      <c r="AH115" s="591"/>
      <c r="AI115" s="591"/>
      <c r="AJ115" s="360"/>
    </row>
    <row r="116" spans="1:37" ht="21.95" customHeight="1" x14ac:dyDescent="0.2">
      <c r="A116" s="298" t="s">
        <v>468</v>
      </c>
      <c r="B116" s="298"/>
      <c r="C116" s="152"/>
      <c r="D116" s="298" t="s">
        <v>2</v>
      </c>
      <c r="E116" s="185"/>
      <c r="F116" s="152"/>
      <c r="G116" s="298" t="s">
        <v>3</v>
      </c>
      <c r="H116" s="185"/>
      <c r="I116" s="152"/>
      <c r="J116" s="298" t="s">
        <v>4</v>
      </c>
      <c r="K116" s="185"/>
      <c r="L116" s="152"/>
      <c r="M116" s="298" t="s">
        <v>5</v>
      </c>
      <c r="N116" s="1593"/>
      <c r="O116" s="152"/>
      <c r="P116" s="298" t="s">
        <v>6</v>
      </c>
      <c r="Q116" s="185"/>
      <c r="R116" s="133"/>
      <c r="S116" s="198" t="s">
        <v>7</v>
      </c>
      <c r="T116" s="185"/>
      <c r="U116" s="152"/>
      <c r="V116" s="298" t="s">
        <v>8</v>
      </c>
      <c r="W116" s="185"/>
      <c r="X116" s="632" t="s">
        <v>10</v>
      </c>
      <c r="Y116" s="185"/>
      <c r="Z116" s="185"/>
      <c r="AA116" s="598"/>
      <c r="AB116" s="482"/>
      <c r="AC116" s="482"/>
      <c r="AD116" s="482"/>
      <c r="AE116" s="482"/>
      <c r="AF116" s="482"/>
      <c r="AG116" s="483"/>
      <c r="AH116" s="360"/>
      <c r="AI116" s="360"/>
      <c r="AJ116" s="360"/>
    </row>
    <row r="117" spans="1:37" ht="21.95" customHeight="1" x14ac:dyDescent="0.2">
      <c r="A117" s="1786">
        <v>8517</v>
      </c>
      <c r="B117" s="501" t="s">
        <v>586</v>
      </c>
      <c r="C117" s="631" t="s">
        <v>124</v>
      </c>
      <c r="D117" s="628"/>
      <c r="E117" s="633"/>
      <c r="F117" s="631" t="s">
        <v>124</v>
      </c>
      <c r="G117" s="634"/>
      <c r="H117" s="633"/>
      <c r="I117" s="121" t="s">
        <v>124</v>
      </c>
      <c r="J117" s="613"/>
      <c r="K117" s="635"/>
      <c r="L117" s="121" t="s">
        <v>124</v>
      </c>
      <c r="M117" s="613"/>
      <c r="N117" s="635"/>
      <c r="O117" s="121" t="s">
        <v>125</v>
      </c>
      <c r="P117" s="613"/>
      <c r="Q117" s="476"/>
      <c r="R117" s="636" t="s">
        <v>28</v>
      </c>
      <c r="S117" s="613"/>
      <c r="T117" s="635"/>
      <c r="U117" s="613" t="s">
        <v>28</v>
      </c>
      <c r="V117" s="613"/>
      <c r="W117" s="476"/>
      <c r="X117" s="144" t="s">
        <v>28</v>
      </c>
      <c r="Y117" s="360"/>
      <c r="Z117" s="360"/>
      <c r="AA117" s="360"/>
      <c r="AB117" s="360"/>
      <c r="AC117" s="360"/>
      <c r="AD117" s="360"/>
      <c r="AE117" s="360"/>
      <c r="AF117" s="360"/>
      <c r="AG117" s="637"/>
      <c r="AH117" s="360"/>
      <c r="AI117" s="360"/>
      <c r="AJ117" s="360"/>
    </row>
    <row r="118" spans="1:37" ht="21.95" customHeight="1" x14ac:dyDescent="0.2">
      <c r="A118" s="638">
        <v>8502</v>
      </c>
      <c r="B118" s="639" t="s">
        <v>587</v>
      </c>
      <c r="C118" s="121" t="s">
        <v>11</v>
      </c>
      <c r="D118" s="613"/>
      <c r="E118" s="476"/>
      <c r="F118" s="121" t="s">
        <v>11</v>
      </c>
      <c r="G118" s="613"/>
      <c r="H118" s="635"/>
      <c r="I118" s="121" t="s">
        <v>11</v>
      </c>
      <c r="J118" s="613"/>
      <c r="K118" s="635"/>
      <c r="L118" s="121" t="s">
        <v>11</v>
      </c>
      <c r="M118" s="613"/>
      <c r="N118" s="1594"/>
      <c r="O118" s="121" t="s">
        <v>12</v>
      </c>
      <c r="P118" s="613"/>
      <c r="Q118" s="476"/>
      <c r="R118" s="640"/>
      <c r="S118" s="641"/>
      <c r="T118" s="635"/>
      <c r="U118" s="613"/>
      <c r="V118" s="613"/>
      <c r="W118" s="476"/>
      <c r="X118" s="475"/>
      <c r="Y118" s="482"/>
      <c r="Z118" s="482"/>
      <c r="AA118" s="482"/>
      <c r="AB118" s="482"/>
      <c r="AC118" s="482"/>
      <c r="AD118" s="482"/>
      <c r="AE118" s="482"/>
      <c r="AF118" s="482"/>
      <c r="AG118" s="483"/>
      <c r="AH118" s="360"/>
      <c r="AI118" s="360"/>
      <c r="AJ118" s="360"/>
    </row>
    <row r="119" spans="1:37" ht="21.95" customHeight="1" thickBot="1" x14ac:dyDescent="0.25">
      <c r="A119" s="273"/>
      <c r="B119" s="524"/>
      <c r="C119" s="353"/>
      <c r="D119" s="353"/>
      <c r="E119" s="73"/>
      <c r="F119" s="353"/>
      <c r="G119" s="353"/>
      <c r="H119" s="73"/>
      <c r="I119" s="353"/>
      <c r="J119" s="353"/>
      <c r="K119" s="73"/>
      <c r="L119" s="353"/>
      <c r="M119" s="353"/>
      <c r="N119" s="138"/>
      <c r="O119" s="353"/>
      <c r="P119" s="353"/>
      <c r="Q119" s="73"/>
      <c r="R119" s="167"/>
      <c r="S119" s="353"/>
      <c r="T119" s="73"/>
      <c r="U119" s="353"/>
      <c r="V119" s="353"/>
      <c r="W119" s="73"/>
      <c r="X119" s="73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</row>
    <row r="120" spans="1:37" ht="21.95" customHeight="1" thickBot="1" x14ac:dyDescent="0.25">
      <c r="A120" s="642"/>
      <c r="B120" s="719" t="s">
        <v>469</v>
      </c>
      <c r="C120" s="720">
        <v>1</v>
      </c>
      <c r="D120" s="720">
        <v>2</v>
      </c>
      <c r="E120" s="721">
        <v>3</v>
      </c>
      <c r="F120" s="721">
        <v>4</v>
      </c>
      <c r="G120" s="720">
        <v>5</v>
      </c>
      <c r="H120" s="720">
        <v>6</v>
      </c>
      <c r="I120" s="720">
        <v>7</v>
      </c>
      <c r="J120" s="720">
        <v>8</v>
      </c>
      <c r="K120" s="720">
        <v>9</v>
      </c>
      <c r="L120" s="721">
        <v>10</v>
      </c>
      <c r="M120" s="721">
        <v>11</v>
      </c>
      <c r="N120" s="514">
        <v>12</v>
      </c>
      <c r="O120" s="720">
        <v>13</v>
      </c>
      <c r="P120" s="720">
        <v>14</v>
      </c>
      <c r="Q120" s="720">
        <v>15</v>
      </c>
      <c r="R120" s="720">
        <v>16</v>
      </c>
      <c r="S120" s="721">
        <v>17</v>
      </c>
      <c r="T120" s="721">
        <v>18</v>
      </c>
      <c r="U120" s="720">
        <v>19</v>
      </c>
      <c r="V120" s="720">
        <v>20</v>
      </c>
      <c r="W120" s="720">
        <v>21</v>
      </c>
      <c r="X120" s="720">
        <v>22</v>
      </c>
      <c r="Y120" s="720">
        <v>23</v>
      </c>
      <c r="Z120" s="721">
        <v>24</v>
      </c>
      <c r="AA120" s="721">
        <v>25</v>
      </c>
      <c r="AB120" s="721">
        <v>26</v>
      </c>
      <c r="AC120" s="720">
        <v>27</v>
      </c>
      <c r="AD120" s="720">
        <v>28</v>
      </c>
      <c r="AE120" s="720">
        <v>29</v>
      </c>
      <c r="AF120" s="720">
        <v>30</v>
      </c>
      <c r="AG120" s="721">
        <v>31</v>
      </c>
      <c r="AH120" s="722" t="s">
        <v>470</v>
      </c>
      <c r="AI120" s="644" t="s">
        <v>471</v>
      </c>
    </row>
    <row r="121" spans="1:37" ht="21.95" customHeight="1" x14ac:dyDescent="0.2">
      <c r="A121" s="645">
        <v>1</v>
      </c>
      <c r="B121" s="552" t="s">
        <v>588</v>
      </c>
      <c r="C121" s="1534">
        <v>6</v>
      </c>
      <c r="D121" s="1534">
        <v>6</v>
      </c>
      <c r="E121" s="1534"/>
      <c r="F121" s="1534"/>
      <c r="G121" s="1534" t="s">
        <v>552</v>
      </c>
      <c r="H121" s="1534" t="s">
        <v>552</v>
      </c>
      <c r="I121" s="1534" t="s">
        <v>552</v>
      </c>
      <c r="J121" s="1534" t="s">
        <v>552</v>
      </c>
      <c r="K121" s="1534" t="s">
        <v>552</v>
      </c>
      <c r="L121" s="1534"/>
      <c r="M121" s="1534"/>
      <c r="N121" s="1534" t="s">
        <v>482</v>
      </c>
      <c r="O121" s="1534" t="s">
        <v>552</v>
      </c>
      <c r="P121" s="1534" t="s">
        <v>552</v>
      </c>
      <c r="Q121" s="1534" t="s">
        <v>552</v>
      </c>
      <c r="R121" s="1534" t="s">
        <v>552</v>
      </c>
      <c r="S121" s="1534"/>
      <c r="T121" s="1534"/>
      <c r="U121" s="1534" t="s">
        <v>552</v>
      </c>
      <c r="V121" s="1534" t="s">
        <v>552</v>
      </c>
      <c r="W121" s="1534" t="s">
        <v>552</v>
      </c>
      <c r="X121" s="1534" t="s">
        <v>552</v>
      </c>
      <c r="Y121" s="1534" t="s">
        <v>552</v>
      </c>
      <c r="Z121" s="1534"/>
      <c r="AA121" s="1534"/>
      <c r="AB121" s="1534"/>
      <c r="AC121" s="1534" t="s">
        <v>552</v>
      </c>
      <c r="AD121" s="1534" t="s">
        <v>552</v>
      </c>
      <c r="AE121" s="1534" t="s">
        <v>552</v>
      </c>
      <c r="AF121" s="1534" t="s">
        <v>552</v>
      </c>
      <c r="AG121" s="514"/>
      <c r="AH121" s="646">
        <v>37</v>
      </c>
      <c r="AI121" s="647">
        <v>37</v>
      </c>
    </row>
    <row r="122" spans="1:37" ht="21.95" customHeight="1" x14ac:dyDescent="0.2">
      <c r="A122" s="645">
        <v>2</v>
      </c>
      <c r="B122" s="552" t="s">
        <v>589</v>
      </c>
      <c r="C122" s="514" t="s">
        <v>475</v>
      </c>
      <c r="D122" s="514" t="s">
        <v>475</v>
      </c>
      <c r="E122" s="514"/>
      <c r="F122" s="514"/>
      <c r="G122" s="514">
        <v>1</v>
      </c>
      <c r="H122" s="514">
        <v>1</v>
      </c>
      <c r="I122" s="1486">
        <v>1</v>
      </c>
      <c r="J122" s="514">
        <v>1</v>
      </c>
      <c r="K122" s="514">
        <v>1</v>
      </c>
      <c r="L122" s="514"/>
      <c r="M122" s="514"/>
      <c r="N122" s="514" t="s">
        <v>482</v>
      </c>
      <c r="O122" s="1486">
        <v>1</v>
      </c>
      <c r="P122" s="514">
        <v>9</v>
      </c>
      <c r="Q122" s="514">
        <v>9</v>
      </c>
      <c r="R122" s="514">
        <v>9</v>
      </c>
      <c r="S122" s="514" t="s">
        <v>511</v>
      </c>
      <c r="T122" s="514" t="s">
        <v>507</v>
      </c>
      <c r="U122" s="514" t="s">
        <v>475</v>
      </c>
      <c r="V122" s="514" t="s">
        <v>475</v>
      </c>
      <c r="W122" s="514" t="s">
        <v>475</v>
      </c>
      <c r="X122" s="514" t="s">
        <v>475</v>
      </c>
      <c r="Y122" s="514" t="s">
        <v>475</v>
      </c>
      <c r="Z122" s="514"/>
      <c r="AA122" s="514"/>
      <c r="AB122" s="514">
        <v>6</v>
      </c>
      <c r="AC122" s="514">
        <v>6</v>
      </c>
      <c r="AD122" s="514">
        <v>6</v>
      </c>
      <c r="AE122" s="514">
        <v>6</v>
      </c>
      <c r="AF122" s="514">
        <v>6</v>
      </c>
      <c r="AG122" s="514" t="s">
        <v>508</v>
      </c>
      <c r="AH122" s="505">
        <v>97</v>
      </c>
      <c r="AI122" s="506">
        <v>37</v>
      </c>
    </row>
    <row r="123" spans="1:37" ht="21.95" customHeight="1" x14ac:dyDescent="0.2">
      <c r="A123" s="645">
        <v>3</v>
      </c>
      <c r="B123" s="552" t="s">
        <v>590</v>
      </c>
      <c r="C123" s="553" t="s">
        <v>475</v>
      </c>
      <c r="D123" s="553" t="s">
        <v>475</v>
      </c>
      <c r="E123" s="553" t="s">
        <v>505</v>
      </c>
      <c r="F123" s="553" t="s">
        <v>505</v>
      </c>
      <c r="G123" s="553">
        <v>3</v>
      </c>
      <c r="H123" s="553">
        <v>3</v>
      </c>
      <c r="I123" s="1084">
        <v>7</v>
      </c>
      <c r="J123" s="553">
        <v>7</v>
      </c>
      <c r="K123" s="553">
        <v>7</v>
      </c>
      <c r="L123" s="553"/>
      <c r="M123" s="553" t="s">
        <v>484</v>
      </c>
      <c r="N123" s="514">
        <v>4</v>
      </c>
      <c r="O123" s="1084" t="s">
        <v>552</v>
      </c>
      <c r="P123" s="553">
        <v>4</v>
      </c>
      <c r="Q123" s="553">
        <v>4</v>
      </c>
      <c r="R123" s="553">
        <v>4</v>
      </c>
      <c r="S123" s="553"/>
      <c r="T123" s="553"/>
      <c r="U123" s="553">
        <v>3</v>
      </c>
      <c r="V123" s="1523">
        <v>3</v>
      </c>
      <c r="W123" s="553">
        <v>3</v>
      </c>
      <c r="X123" s="553">
        <v>3</v>
      </c>
      <c r="Y123" s="553">
        <v>3</v>
      </c>
      <c r="Z123" s="553"/>
      <c r="AA123" s="553"/>
      <c r="AB123" s="553">
        <v>11</v>
      </c>
      <c r="AC123" s="553">
        <v>11</v>
      </c>
      <c r="AD123" s="553">
        <v>11</v>
      </c>
      <c r="AE123" s="553">
        <v>11</v>
      </c>
      <c r="AF123" s="553">
        <v>11</v>
      </c>
      <c r="AG123" s="553" t="s">
        <v>503</v>
      </c>
      <c r="AH123" s="505">
        <v>67</v>
      </c>
      <c r="AI123" s="506">
        <v>35</v>
      </c>
    </row>
    <row r="124" spans="1:37" ht="21.95" customHeight="1" x14ac:dyDescent="0.2">
      <c r="A124" s="645">
        <v>4</v>
      </c>
      <c r="B124" s="152" t="s">
        <v>591</v>
      </c>
      <c r="C124" s="1097" t="s">
        <v>552</v>
      </c>
      <c r="D124" s="1097" t="s">
        <v>552</v>
      </c>
      <c r="E124" s="1097"/>
      <c r="F124" s="1097"/>
      <c r="G124" s="1097" t="s">
        <v>552</v>
      </c>
      <c r="H124" s="1097" t="s">
        <v>552</v>
      </c>
      <c r="I124" s="1097" t="s">
        <v>552</v>
      </c>
      <c r="J124" s="1097" t="s">
        <v>552</v>
      </c>
      <c r="K124" s="1097" t="s">
        <v>552</v>
      </c>
      <c r="L124" s="1097"/>
      <c r="M124" s="1616"/>
      <c r="N124" s="1584" t="s">
        <v>552</v>
      </c>
      <c r="O124" s="1097" t="s">
        <v>552</v>
      </c>
      <c r="P124" s="1097" t="s">
        <v>552</v>
      </c>
      <c r="Q124" s="1097" t="s">
        <v>552</v>
      </c>
      <c r="R124" s="1097" t="s">
        <v>552</v>
      </c>
      <c r="S124" s="1097"/>
      <c r="T124" s="1097"/>
      <c r="U124" s="1097" t="s">
        <v>552</v>
      </c>
      <c r="V124" s="1097" t="s">
        <v>552</v>
      </c>
      <c r="W124" s="1097" t="s">
        <v>552</v>
      </c>
      <c r="X124" s="1498" t="s">
        <v>552</v>
      </c>
      <c r="Y124" s="1066" t="s">
        <v>552</v>
      </c>
      <c r="Z124" s="1097"/>
      <c r="AA124" s="1097"/>
      <c r="AB124" s="1097"/>
      <c r="AC124" s="1066" t="s">
        <v>552</v>
      </c>
      <c r="AD124" s="1066" t="s">
        <v>552</v>
      </c>
      <c r="AE124" s="1066" t="s">
        <v>552</v>
      </c>
      <c r="AF124" s="1066" t="s">
        <v>552</v>
      </c>
      <c r="AG124" s="514"/>
      <c r="AH124" s="505">
        <v>37</v>
      </c>
      <c r="AI124" s="506">
        <v>37</v>
      </c>
    </row>
    <row r="125" spans="1:37" ht="21.95" customHeight="1" x14ac:dyDescent="0.2">
      <c r="A125" s="645">
        <v>5</v>
      </c>
      <c r="B125" s="152" t="s">
        <v>592</v>
      </c>
      <c r="C125" s="514" t="s">
        <v>552</v>
      </c>
      <c r="D125" s="514">
        <v>3</v>
      </c>
      <c r="E125" s="514"/>
      <c r="F125" s="514"/>
      <c r="G125" s="514">
        <v>10</v>
      </c>
      <c r="H125" s="514">
        <v>10</v>
      </c>
      <c r="I125" s="514">
        <v>10</v>
      </c>
      <c r="J125" s="514">
        <v>10</v>
      </c>
      <c r="K125" s="514">
        <v>10</v>
      </c>
      <c r="L125" s="514" t="s">
        <v>507</v>
      </c>
      <c r="M125" s="514" t="s">
        <v>507</v>
      </c>
      <c r="N125" s="514" t="s">
        <v>475</v>
      </c>
      <c r="O125" s="514" t="s">
        <v>475</v>
      </c>
      <c r="P125" s="514" t="s">
        <v>475</v>
      </c>
      <c r="Q125" s="514" t="s">
        <v>475</v>
      </c>
      <c r="R125" s="514" t="s">
        <v>475</v>
      </c>
      <c r="S125" s="514"/>
      <c r="T125" s="514"/>
      <c r="U125" s="1518" t="s">
        <v>552</v>
      </c>
      <c r="V125" s="514">
        <v>3</v>
      </c>
      <c r="W125" s="1559" t="s">
        <v>552</v>
      </c>
      <c r="X125" s="514">
        <v>6</v>
      </c>
      <c r="Y125" s="514">
        <v>6</v>
      </c>
      <c r="Z125" s="514"/>
      <c r="AA125" s="514"/>
      <c r="AB125" s="514"/>
      <c r="AC125" s="1543" t="s">
        <v>552</v>
      </c>
      <c r="AD125" s="1543" t="s">
        <v>552</v>
      </c>
      <c r="AE125" s="1543" t="s">
        <v>552</v>
      </c>
      <c r="AF125" s="1543" t="s">
        <v>552</v>
      </c>
      <c r="AG125" s="514"/>
      <c r="AH125" s="505">
        <v>43</v>
      </c>
      <c r="AI125" s="506">
        <v>37</v>
      </c>
    </row>
    <row r="126" spans="1:37" ht="21.95" customHeight="1" x14ac:dyDescent="0.2">
      <c r="A126" s="645">
        <v>6</v>
      </c>
      <c r="B126" s="552" t="s">
        <v>690</v>
      </c>
      <c r="C126" s="1561">
        <v>1</v>
      </c>
      <c r="D126" s="1561">
        <v>1</v>
      </c>
      <c r="E126" s="514"/>
      <c r="F126" s="514"/>
      <c r="G126" s="514">
        <v>9</v>
      </c>
      <c r="H126" s="514">
        <v>9</v>
      </c>
      <c r="I126" s="514">
        <v>9</v>
      </c>
      <c r="J126" s="514">
        <v>9</v>
      </c>
      <c r="K126" s="514">
        <v>9</v>
      </c>
      <c r="L126" s="514" t="s">
        <v>511</v>
      </c>
      <c r="M126" s="514" t="s">
        <v>511</v>
      </c>
      <c r="N126" s="514" t="s">
        <v>475</v>
      </c>
      <c r="O126" s="514" t="s">
        <v>475</v>
      </c>
      <c r="P126" s="514" t="s">
        <v>475</v>
      </c>
      <c r="Q126" s="514" t="s">
        <v>475</v>
      </c>
      <c r="R126" s="514" t="s">
        <v>475</v>
      </c>
      <c r="S126" s="514"/>
      <c r="T126" s="514"/>
      <c r="U126" s="514" t="s">
        <v>552</v>
      </c>
      <c r="V126" s="514" t="s">
        <v>552</v>
      </c>
      <c r="W126" s="514">
        <v>4</v>
      </c>
      <c r="X126" s="514" t="s">
        <v>552</v>
      </c>
      <c r="Y126" s="514" t="s">
        <v>552</v>
      </c>
      <c r="Z126" s="514"/>
      <c r="AA126" s="514"/>
      <c r="AB126" s="514"/>
      <c r="AC126" s="1559" t="s">
        <v>552</v>
      </c>
      <c r="AD126" s="1559" t="s">
        <v>552</v>
      </c>
      <c r="AE126" s="1559" t="s">
        <v>552</v>
      </c>
      <c r="AF126" s="1559" t="s">
        <v>552</v>
      </c>
      <c r="AG126" s="514"/>
      <c r="AH126" s="505">
        <v>0</v>
      </c>
      <c r="AI126" s="506">
        <v>0</v>
      </c>
    </row>
    <row r="127" spans="1:37" ht="21.95" customHeight="1" x14ac:dyDescent="0.2">
      <c r="A127" s="645">
        <v>7</v>
      </c>
      <c r="B127" s="152" t="s">
        <v>692</v>
      </c>
      <c r="C127" s="514" t="s">
        <v>513</v>
      </c>
      <c r="D127" s="514" t="s">
        <v>513</v>
      </c>
      <c r="E127" s="514"/>
      <c r="F127" s="514"/>
      <c r="G127" s="514" t="s">
        <v>513</v>
      </c>
      <c r="H127" s="514" t="s">
        <v>513</v>
      </c>
      <c r="I127" s="514" t="s">
        <v>756</v>
      </c>
      <c r="J127" s="514" t="s">
        <v>513</v>
      </c>
      <c r="K127" s="514" t="s">
        <v>513</v>
      </c>
      <c r="L127" s="514" t="s">
        <v>550</v>
      </c>
      <c r="M127" s="514" t="s">
        <v>550</v>
      </c>
      <c r="N127" s="514" t="s">
        <v>475</v>
      </c>
      <c r="O127" s="514" t="s">
        <v>475</v>
      </c>
      <c r="P127" s="514" t="s">
        <v>475</v>
      </c>
      <c r="Q127" s="514" t="s">
        <v>475</v>
      </c>
      <c r="R127" s="514" t="s">
        <v>475</v>
      </c>
      <c r="S127" s="514"/>
      <c r="T127" s="514"/>
      <c r="U127" s="514" t="s">
        <v>475</v>
      </c>
      <c r="V127" s="514" t="s">
        <v>475</v>
      </c>
      <c r="W127" s="514" t="s">
        <v>475</v>
      </c>
      <c r="X127" s="514" t="s">
        <v>475</v>
      </c>
      <c r="Y127" s="514" t="s">
        <v>475</v>
      </c>
      <c r="Z127" s="514"/>
      <c r="AA127" s="514"/>
      <c r="AB127" s="514" t="s">
        <v>513</v>
      </c>
      <c r="AC127" s="514" t="s">
        <v>513</v>
      </c>
      <c r="AD127" s="514" t="s">
        <v>513</v>
      </c>
      <c r="AE127" s="514" t="s">
        <v>513</v>
      </c>
      <c r="AF127" s="514" t="s">
        <v>513</v>
      </c>
      <c r="AG127" s="514" t="s">
        <v>550</v>
      </c>
      <c r="AH127" s="505">
        <v>0</v>
      </c>
      <c r="AI127" s="506">
        <v>0</v>
      </c>
      <c r="AK127" t="s">
        <v>28</v>
      </c>
    </row>
    <row r="128" spans="1:37" ht="21.95" customHeight="1" x14ac:dyDescent="0.2">
      <c r="A128" s="645">
        <v>8</v>
      </c>
      <c r="B128" s="133" t="s">
        <v>689</v>
      </c>
      <c r="C128" s="514" t="s">
        <v>475</v>
      </c>
      <c r="D128" s="514" t="s">
        <v>475</v>
      </c>
      <c r="E128" s="514"/>
      <c r="F128" s="514"/>
      <c r="G128" s="1066" t="s">
        <v>552</v>
      </c>
      <c r="H128" s="1066" t="s">
        <v>552</v>
      </c>
      <c r="I128" s="1066" t="s">
        <v>552</v>
      </c>
      <c r="J128" s="1066" t="s">
        <v>552</v>
      </c>
      <c r="K128" s="1066" t="s">
        <v>552</v>
      </c>
      <c r="L128" s="1066"/>
      <c r="M128" s="1066"/>
      <c r="N128" s="514">
        <v>3</v>
      </c>
      <c r="O128" s="514">
        <v>4</v>
      </c>
      <c r="P128" s="514">
        <v>3</v>
      </c>
      <c r="Q128" s="514">
        <v>3</v>
      </c>
      <c r="R128" s="514">
        <v>3</v>
      </c>
      <c r="S128" s="514"/>
      <c r="T128" s="514"/>
      <c r="U128" s="1605" t="s">
        <v>513</v>
      </c>
      <c r="V128" s="1605" t="s">
        <v>513</v>
      </c>
      <c r="W128" s="1605" t="s">
        <v>513</v>
      </c>
      <c r="X128" s="1605" t="s">
        <v>513</v>
      </c>
      <c r="Y128" s="1605" t="s">
        <v>513</v>
      </c>
      <c r="Z128" s="514"/>
      <c r="AA128" s="514"/>
      <c r="AB128" s="514"/>
      <c r="AC128" s="514" t="s">
        <v>540</v>
      </c>
      <c r="AD128" s="514" t="s">
        <v>540</v>
      </c>
      <c r="AE128" s="514">
        <v>3</v>
      </c>
      <c r="AF128" s="514" t="s">
        <v>540</v>
      </c>
      <c r="AG128" s="514"/>
      <c r="AH128" s="648">
        <v>30</v>
      </c>
      <c r="AI128" s="649">
        <v>6</v>
      </c>
    </row>
    <row r="129" spans="1:35" ht="21.95" customHeight="1" thickBot="1" x14ac:dyDescent="0.25">
      <c r="A129" s="645"/>
      <c r="B129" s="1719" t="s">
        <v>677</v>
      </c>
      <c r="C129" s="1534" t="s">
        <v>757</v>
      </c>
      <c r="D129" s="514">
        <v>8</v>
      </c>
      <c r="E129" s="514" t="s">
        <v>504</v>
      </c>
      <c r="F129" s="1534" t="s">
        <v>504</v>
      </c>
      <c r="G129" s="1534">
        <v>4</v>
      </c>
      <c r="H129" s="1534">
        <v>4</v>
      </c>
      <c r="I129" s="1534">
        <v>4</v>
      </c>
      <c r="J129" s="1534">
        <v>4</v>
      </c>
      <c r="K129" s="1534">
        <v>4</v>
      </c>
      <c r="L129" s="1534"/>
      <c r="M129" s="1534"/>
      <c r="N129" s="1112" t="s">
        <v>475</v>
      </c>
      <c r="O129" s="514" t="s">
        <v>475</v>
      </c>
      <c r="P129" s="514" t="s">
        <v>475</v>
      </c>
      <c r="Q129" s="514" t="s">
        <v>475</v>
      </c>
      <c r="R129" s="514" t="s">
        <v>475</v>
      </c>
      <c r="S129" s="514"/>
      <c r="T129" s="514"/>
      <c r="U129" s="514" t="s">
        <v>552</v>
      </c>
      <c r="V129" s="514" t="s">
        <v>552</v>
      </c>
      <c r="W129" s="514" t="s">
        <v>552</v>
      </c>
      <c r="X129" s="514" t="s">
        <v>552</v>
      </c>
      <c r="Y129" s="514" t="s">
        <v>617</v>
      </c>
      <c r="Z129" s="514"/>
      <c r="AA129" s="514"/>
      <c r="AB129" s="514"/>
      <c r="AC129" s="514"/>
      <c r="AD129" s="514"/>
      <c r="AE129" s="514"/>
      <c r="AF129" s="514"/>
      <c r="AG129" s="514"/>
      <c r="AH129" s="651"/>
      <c r="AI129" s="523"/>
    </row>
    <row r="130" spans="1:35" ht="21.95" customHeight="1" x14ac:dyDescent="0.2">
      <c r="A130" s="1719">
        <v>10</v>
      </c>
      <c r="B130" s="1111" t="s">
        <v>735</v>
      </c>
      <c r="C130" s="1716"/>
      <c r="D130" s="1716"/>
      <c r="E130" s="1716"/>
      <c r="F130" s="1716"/>
      <c r="G130" s="1112" t="s">
        <v>28</v>
      </c>
      <c r="H130" s="1112" t="s">
        <v>28</v>
      </c>
      <c r="I130" s="1112" t="s">
        <v>28</v>
      </c>
      <c r="J130" s="1112" t="s">
        <v>28</v>
      </c>
      <c r="K130" s="1112" t="s">
        <v>28</v>
      </c>
      <c r="L130" s="1716" t="s">
        <v>28</v>
      </c>
      <c r="M130" s="1716" t="s">
        <v>28</v>
      </c>
      <c r="N130" s="1600">
        <v>9</v>
      </c>
      <c r="O130" s="1601">
        <v>9</v>
      </c>
      <c r="P130" s="1599">
        <v>9</v>
      </c>
      <c r="Q130" s="1112" t="s">
        <v>475</v>
      </c>
      <c r="R130" s="1112" t="s">
        <v>475</v>
      </c>
      <c r="S130" s="1716"/>
      <c r="T130" s="1716"/>
      <c r="U130" s="1725">
        <v>8</v>
      </c>
      <c r="V130" s="1725">
        <v>8</v>
      </c>
      <c r="W130" s="1725">
        <v>8</v>
      </c>
      <c r="X130" s="1725">
        <v>8</v>
      </c>
      <c r="Y130" s="1725">
        <v>8</v>
      </c>
      <c r="Z130" s="1716"/>
      <c r="AA130" s="1716"/>
      <c r="AB130" s="1716"/>
      <c r="AC130" s="1112" t="s">
        <v>475</v>
      </c>
      <c r="AD130" s="1112" t="s">
        <v>475</v>
      </c>
      <c r="AE130" s="1112" t="s">
        <v>475</v>
      </c>
      <c r="AF130" s="1112" t="s">
        <v>475</v>
      </c>
      <c r="AG130" s="1716"/>
      <c r="AH130" s="1719"/>
      <c r="AI130" s="1719"/>
    </row>
    <row r="131" spans="1:35" ht="21.95" customHeight="1" x14ac:dyDescent="0.2">
      <c r="A131" s="652"/>
      <c r="B131" s="273"/>
      <c r="C131" s="138"/>
      <c r="D131" s="138"/>
      <c r="E131" s="138"/>
      <c r="F131" s="138"/>
      <c r="G131" s="138"/>
      <c r="H131" s="138"/>
      <c r="I131" s="138"/>
      <c r="J131" s="138"/>
      <c r="K131" s="138"/>
      <c r="L131" s="138"/>
      <c r="M131" s="138"/>
      <c r="O131" s="138"/>
      <c r="P131" s="138"/>
      <c r="Q131" s="138"/>
      <c r="R131" s="138"/>
      <c r="S131" s="138"/>
      <c r="T131" s="138"/>
      <c r="U131" s="138"/>
      <c r="V131" s="138"/>
      <c r="W131" s="138"/>
      <c r="X131" s="138"/>
      <c r="Y131" s="138"/>
      <c r="Z131" s="138"/>
      <c r="AA131" s="138"/>
      <c r="AB131" s="138"/>
      <c r="AC131" s="138"/>
      <c r="AD131" s="138"/>
      <c r="AE131" s="138"/>
      <c r="AF131" s="138"/>
      <c r="AG131" s="138"/>
      <c r="AH131" s="591"/>
      <c r="AI131" s="591"/>
    </row>
    <row r="132" spans="1:35" ht="21" customHeight="1" x14ac:dyDescent="0.25">
      <c r="A132" s="653" t="s">
        <v>695</v>
      </c>
    </row>
    <row r="133" spans="1:35" ht="21" customHeight="1" x14ac:dyDescent="0.25">
      <c r="A133" s="654"/>
    </row>
    <row r="134" spans="1:35" ht="21" customHeight="1" x14ac:dyDescent="0.2">
      <c r="A134" t="s">
        <v>291</v>
      </c>
      <c r="N134" s="138"/>
    </row>
    <row r="135" spans="1:35" ht="21" customHeight="1" x14ac:dyDescent="0.2">
      <c r="A135" s="585"/>
      <c r="B135" s="296" t="s">
        <v>469</v>
      </c>
      <c r="C135" s="177">
        <v>1</v>
      </c>
      <c r="D135" s="177">
        <v>2</v>
      </c>
      <c r="E135" s="497">
        <v>3</v>
      </c>
      <c r="F135" s="497">
        <v>4</v>
      </c>
      <c r="G135" s="177">
        <v>5</v>
      </c>
      <c r="H135" s="177">
        <v>6</v>
      </c>
      <c r="I135" s="177">
        <v>7</v>
      </c>
      <c r="J135" s="177">
        <v>8</v>
      </c>
      <c r="K135" s="177">
        <v>9</v>
      </c>
      <c r="L135" s="497">
        <v>10</v>
      </c>
      <c r="M135" s="497">
        <v>11</v>
      </c>
      <c r="N135" s="1587">
        <v>12</v>
      </c>
      <c r="O135" s="177">
        <v>13</v>
      </c>
      <c r="P135" s="177">
        <v>14</v>
      </c>
      <c r="Q135" s="177">
        <v>15</v>
      </c>
      <c r="R135" s="177">
        <v>16</v>
      </c>
      <c r="S135" s="497">
        <v>17</v>
      </c>
      <c r="T135" s="497">
        <v>18</v>
      </c>
      <c r="U135" s="177">
        <v>19</v>
      </c>
      <c r="V135" s="177">
        <v>20</v>
      </c>
      <c r="W135" s="177">
        <v>21</v>
      </c>
      <c r="X135" s="177">
        <v>22</v>
      </c>
      <c r="Y135" s="177">
        <v>23</v>
      </c>
      <c r="Z135" s="497">
        <v>24</v>
      </c>
      <c r="AA135" s="497">
        <v>25</v>
      </c>
      <c r="AB135" s="497">
        <v>26</v>
      </c>
      <c r="AC135" s="177">
        <v>27</v>
      </c>
      <c r="AD135" s="177">
        <v>28</v>
      </c>
      <c r="AE135" s="177">
        <v>29</v>
      </c>
      <c r="AF135" s="177">
        <v>30</v>
      </c>
      <c r="AG135" s="497">
        <v>31</v>
      </c>
      <c r="AH135" s="655"/>
    </row>
    <row r="136" spans="1:35" ht="21" customHeight="1" x14ac:dyDescent="0.2">
      <c r="A136" s="585">
        <v>1</v>
      </c>
      <c r="B136" s="318" t="s">
        <v>696</v>
      </c>
      <c r="C136" s="171" t="s">
        <v>475</v>
      </c>
      <c r="D136" s="171" t="s">
        <v>475</v>
      </c>
      <c r="E136" s="171"/>
      <c r="F136" s="171"/>
      <c r="G136" s="1610"/>
      <c r="H136" s="1610"/>
      <c r="I136" s="1610"/>
      <c r="J136" s="1610"/>
      <c r="K136" s="1610"/>
      <c r="L136" s="1610"/>
      <c r="M136" s="1610"/>
      <c r="N136" s="1610"/>
      <c r="O136" s="1610"/>
      <c r="P136" s="1610"/>
      <c r="Q136" s="1610"/>
      <c r="R136" s="1610"/>
      <c r="S136" s="1610"/>
      <c r="T136" s="1610"/>
      <c r="U136" s="171">
        <v>1</v>
      </c>
      <c r="V136" s="171">
        <v>1</v>
      </c>
      <c r="W136" s="171">
        <v>1</v>
      </c>
      <c r="X136" s="171">
        <v>1</v>
      </c>
      <c r="Y136" s="171">
        <v>1</v>
      </c>
      <c r="Z136" s="171"/>
      <c r="AA136" s="171"/>
      <c r="AB136" s="171"/>
      <c r="AC136" s="1564">
        <v>7</v>
      </c>
      <c r="AD136" s="1564">
        <v>7</v>
      </c>
      <c r="AE136" s="1564">
        <v>7</v>
      </c>
      <c r="AF136" s="1564">
        <v>7</v>
      </c>
      <c r="AG136" s="171"/>
      <c r="AH136" s="655"/>
    </row>
    <row r="137" spans="1:35" ht="21" customHeight="1" x14ac:dyDescent="0.2">
      <c r="A137" s="585">
        <v>2</v>
      </c>
      <c r="B137" s="657" t="s">
        <v>718</v>
      </c>
      <c r="C137" s="1558" t="s">
        <v>674</v>
      </c>
      <c r="D137" s="1564">
        <v>9</v>
      </c>
      <c r="E137" s="1558" t="s">
        <v>511</v>
      </c>
      <c r="F137" s="1558" t="s">
        <v>511</v>
      </c>
      <c r="G137" s="1558" t="s">
        <v>475</v>
      </c>
      <c r="H137" s="1558" t="s">
        <v>475</v>
      </c>
      <c r="I137" s="1558" t="s">
        <v>475</v>
      </c>
      <c r="J137" s="1558" t="s">
        <v>475</v>
      </c>
      <c r="K137" s="1558" t="s">
        <v>475</v>
      </c>
      <c r="L137" s="1558"/>
      <c r="M137" s="1558"/>
      <c r="N137" s="1542">
        <v>6</v>
      </c>
      <c r="O137" s="1542">
        <v>6</v>
      </c>
      <c r="P137" s="1542">
        <v>6</v>
      </c>
      <c r="Q137" s="1542">
        <v>6</v>
      </c>
      <c r="R137" s="171">
        <v>6</v>
      </c>
      <c r="S137" s="171" t="s">
        <v>508</v>
      </c>
      <c r="T137" s="171" t="s">
        <v>504</v>
      </c>
      <c r="U137" s="171" t="s">
        <v>475</v>
      </c>
      <c r="V137" s="171" t="s">
        <v>475</v>
      </c>
      <c r="W137" s="171" t="s">
        <v>475</v>
      </c>
      <c r="X137" s="171" t="s">
        <v>475</v>
      </c>
      <c r="Y137" s="171" t="s">
        <v>475</v>
      </c>
      <c r="Z137" s="171"/>
      <c r="AA137" s="171"/>
      <c r="AB137" s="171"/>
      <c r="AC137" s="171" t="s">
        <v>475</v>
      </c>
      <c r="AD137" s="171" t="s">
        <v>475</v>
      </c>
      <c r="AE137" s="171" t="s">
        <v>475</v>
      </c>
      <c r="AF137" s="171" t="s">
        <v>475</v>
      </c>
      <c r="AG137" s="171"/>
      <c r="AH137" s="655"/>
    </row>
    <row r="138" spans="1:35" ht="21" customHeight="1" x14ac:dyDescent="0.2">
      <c r="A138" s="585">
        <v>3</v>
      </c>
      <c r="B138" s="552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655"/>
    </row>
    <row r="139" spans="1:35" ht="21" customHeight="1" x14ac:dyDescent="0.2">
      <c r="A139" s="585">
        <v>4</v>
      </c>
      <c r="B139" s="552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656"/>
      <c r="AC139" s="171"/>
      <c r="AD139" s="171"/>
      <c r="AE139" s="171"/>
      <c r="AF139" s="171"/>
      <c r="AG139" s="171"/>
      <c r="AH139" s="655"/>
    </row>
    <row r="140" spans="1:35" ht="21" customHeight="1" x14ac:dyDescent="0.2">
      <c r="A140" s="585">
        <v>5</v>
      </c>
      <c r="B140" s="552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656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655"/>
    </row>
    <row r="141" spans="1:35" ht="21" customHeight="1" thickBot="1" x14ac:dyDescent="0.25">
      <c r="A141" s="585"/>
      <c r="B141" s="318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38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655"/>
    </row>
    <row r="142" spans="1:35" ht="21.95" customHeight="1" thickBot="1" x14ac:dyDescent="0.25">
      <c r="A142" s="1" t="s">
        <v>603</v>
      </c>
      <c r="B142" s="273"/>
      <c r="C142" s="138"/>
      <c r="D142" s="138"/>
      <c r="E142" s="138"/>
      <c r="F142" s="138"/>
      <c r="G142" s="138"/>
      <c r="H142" s="138"/>
      <c r="I142" s="138"/>
      <c r="J142" s="138"/>
      <c r="K142" s="138"/>
      <c r="L142" s="138"/>
      <c r="M142" s="138"/>
      <c r="N142" s="573"/>
      <c r="O142" s="138"/>
      <c r="P142" s="138"/>
      <c r="Q142" s="138"/>
      <c r="R142" s="138"/>
      <c r="S142" s="138"/>
      <c r="T142" s="138"/>
      <c r="U142" s="138"/>
      <c r="V142" s="138"/>
      <c r="W142" s="138"/>
      <c r="X142" s="138"/>
      <c r="Y142" s="138"/>
      <c r="Z142" s="138"/>
      <c r="AA142" s="138"/>
      <c r="AB142" s="138"/>
      <c r="AC142" s="138"/>
      <c r="AD142" s="138"/>
      <c r="AE142" s="138"/>
      <c r="AF142" s="138"/>
      <c r="AG142" s="138"/>
    </row>
    <row r="143" spans="1:35" ht="21.95" customHeight="1" x14ac:dyDescent="0.2">
      <c r="A143" s="1"/>
      <c r="B143" s="200" t="s">
        <v>604</v>
      </c>
      <c r="C143" s="7"/>
      <c r="D143" s="530" t="s">
        <v>2</v>
      </c>
      <c r="E143" s="51"/>
      <c r="F143" s="573"/>
      <c r="G143" s="7"/>
      <c r="H143" s="530" t="s">
        <v>3</v>
      </c>
      <c r="I143" s="51"/>
      <c r="J143" s="573"/>
      <c r="K143" s="7"/>
      <c r="L143" s="530" t="s">
        <v>4</v>
      </c>
      <c r="M143" s="51"/>
      <c r="N143" s="580"/>
      <c r="O143" s="7"/>
      <c r="P143" s="530" t="s">
        <v>5</v>
      </c>
      <c r="Q143" s="51"/>
      <c r="R143" s="573"/>
      <c r="S143" s="7"/>
      <c r="T143" s="530" t="s">
        <v>6</v>
      </c>
      <c r="U143" s="51"/>
      <c r="V143" s="573"/>
      <c r="W143" s="7"/>
      <c r="X143" s="530" t="s">
        <v>7</v>
      </c>
      <c r="Y143" s="51"/>
      <c r="Z143" s="573"/>
      <c r="AA143" s="7"/>
      <c r="AB143" s="530" t="s">
        <v>8</v>
      </c>
      <c r="AC143" s="51"/>
      <c r="AD143" s="51"/>
      <c r="AE143" s="424" t="s">
        <v>10</v>
      </c>
      <c r="AF143" s="51"/>
      <c r="AG143" s="51"/>
      <c r="AH143" s="51"/>
      <c r="AI143" s="531"/>
    </row>
    <row r="144" spans="1:35" ht="21.95" customHeight="1" x14ac:dyDescent="0.2">
      <c r="A144" s="1"/>
      <c r="B144" s="305">
        <v>3701</v>
      </c>
      <c r="C144" s="641" t="s">
        <v>124</v>
      </c>
      <c r="D144" s="658"/>
      <c r="E144" s="55"/>
      <c r="F144" s="580"/>
      <c r="G144" s="641" t="s">
        <v>124</v>
      </c>
      <c r="H144" s="659"/>
      <c r="I144" s="55"/>
      <c r="J144" s="580"/>
      <c r="K144" s="641" t="s">
        <v>124</v>
      </c>
      <c r="L144" s="659"/>
      <c r="M144" s="55"/>
      <c r="N144" s="612"/>
      <c r="O144" s="641" t="s">
        <v>124</v>
      </c>
      <c r="P144" s="659"/>
      <c r="Q144" s="55"/>
      <c r="R144" s="580"/>
      <c r="S144" s="14" t="s">
        <v>125</v>
      </c>
      <c r="T144" s="659"/>
      <c r="U144" s="55"/>
      <c r="V144" s="580"/>
      <c r="W144" s="14"/>
      <c r="X144" s="659"/>
      <c r="Y144" s="55"/>
      <c r="Z144" s="580"/>
      <c r="AA144" s="14"/>
      <c r="AB144" s="659"/>
      <c r="AC144" s="55"/>
      <c r="AD144" s="55"/>
      <c r="AE144" s="660"/>
      <c r="AF144" s="55"/>
      <c r="AG144" s="55"/>
      <c r="AH144" s="55"/>
      <c r="AI144" s="661"/>
    </row>
    <row r="145" spans="1:35" ht="21.95" customHeight="1" x14ac:dyDescent="0.2">
      <c r="B145" s="662">
        <v>3700</v>
      </c>
      <c r="C145" s="121" t="s">
        <v>534</v>
      </c>
      <c r="D145" s="156"/>
      <c r="E145" s="156"/>
      <c r="F145" s="612"/>
      <c r="G145" s="121" t="s">
        <v>534</v>
      </c>
      <c r="H145" s="156"/>
      <c r="I145" s="156"/>
      <c r="J145" s="612"/>
      <c r="K145" s="121" t="s">
        <v>534</v>
      </c>
      <c r="L145" s="156"/>
      <c r="M145" s="156"/>
      <c r="N145" s="612"/>
      <c r="O145" s="121" t="s">
        <v>534</v>
      </c>
      <c r="P145" s="156"/>
      <c r="Q145" s="156"/>
      <c r="R145" s="612"/>
      <c r="S145" s="121" t="s">
        <v>116</v>
      </c>
      <c r="T145" s="156"/>
      <c r="U145" s="156"/>
      <c r="V145" s="612"/>
      <c r="W145" s="121"/>
      <c r="X145" s="156"/>
      <c r="Y145" s="156"/>
      <c r="Z145" s="612"/>
      <c r="AA145" s="611"/>
      <c r="AB145" s="156"/>
      <c r="AC145" s="156"/>
      <c r="AD145" s="613"/>
      <c r="AE145" s="663"/>
      <c r="AF145" s="156"/>
      <c r="AG145" s="156" t="s">
        <v>28</v>
      </c>
      <c r="AH145" s="613"/>
      <c r="AI145" s="489"/>
    </row>
    <row r="146" spans="1:35" ht="21.95" customHeight="1" x14ac:dyDescent="0.2">
      <c r="A146" s="1"/>
      <c r="B146" s="129" t="s">
        <v>605</v>
      </c>
      <c r="C146" s="611" t="s">
        <v>606</v>
      </c>
      <c r="D146" s="156"/>
      <c r="E146" s="156"/>
      <c r="F146" s="612"/>
      <c r="G146" s="611" t="s">
        <v>606</v>
      </c>
      <c r="H146" s="156"/>
      <c r="I146" s="156"/>
      <c r="J146" s="612"/>
      <c r="K146" s="611" t="s">
        <v>606</v>
      </c>
      <c r="L146" s="156"/>
      <c r="M146" s="156"/>
      <c r="N146" s="666"/>
      <c r="O146" s="611" t="s">
        <v>606</v>
      </c>
      <c r="P146" s="156"/>
      <c r="Q146" s="156"/>
      <c r="R146" s="612"/>
      <c r="S146" s="611" t="s">
        <v>607</v>
      </c>
      <c r="T146" s="156"/>
      <c r="U146" s="156"/>
      <c r="V146" s="612"/>
      <c r="W146" s="121"/>
      <c r="X146" s="156"/>
      <c r="Y146" s="156"/>
      <c r="Z146" s="612"/>
      <c r="AA146" s="121"/>
      <c r="AB146" s="156"/>
      <c r="AC146" s="156"/>
      <c r="AD146" s="613"/>
      <c r="AE146" s="121"/>
      <c r="AF146" s="156"/>
      <c r="AG146" s="156"/>
      <c r="AH146" s="613"/>
      <c r="AI146" s="489"/>
    </row>
    <row r="147" spans="1:35" ht="21.95" customHeight="1" x14ac:dyDescent="0.2">
      <c r="A147" s="1"/>
      <c r="B147" s="664">
        <v>8500</v>
      </c>
      <c r="C147" s="665" t="s">
        <v>264</v>
      </c>
      <c r="D147" s="55"/>
      <c r="E147" s="55"/>
      <c r="F147" s="666"/>
      <c r="G147" s="665" t="s">
        <v>264</v>
      </c>
      <c r="H147" s="55"/>
      <c r="I147" s="55"/>
      <c r="J147" s="666"/>
      <c r="K147" s="665" t="s">
        <v>264</v>
      </c>
      <c r="L147" s="55"/>
      <c r="M147" s="55"/>
      <c r="N147" s="670"/>
      <c r="O147" s="665" t="s">
        <v>264</v>
      </c>
      <c r="P147" s="55"/>
      <c r="Q147" s="55"/>
      <c r="R147" s="666"/>
      <c r="S147" s="665" t="s">
        <v>265</v>
      </c>
      <c r="T147" s="55"/>
      <c r="U147" s="55"/>
      <c r="V147" s="666"/>
      <c r="W147" s="665"/>
      <c r="X147" s="55"/>
      <c r="Y147" s="55"/>
      <c r="Z147" s="666"/>
      <c r="AA147" s="665"/>
      <c r="AB147" s="55"/>
      <c r="AC147" s="55"/>
      <c r="AD147" s="666"/>
      <c r="AE147" s="665"/>
      <c r="AF147" s="55"/>
      <c r="AG147" s="55"/>
      <c r="AH147" s="641"/>
      <c r="AI147" s="661"/>
    </row>
    <row r="148" spans="1:35" ht="21.95" customHeight="1" thickBot="1" x14ac:dyDescent="0.25">
      <c r="A148" s="1"/>
      <c r="B148" s="9">
        <v>8514</v>
      </c>
      <c r="C148" s="667" t="s">
        <v>264</v>
      </c>
      <c r="D148" s="668"/>
      <c r="E148" s="669"/>
      <c r="F148" s="670"/>
      <c r="G148" s="667" t="s">
        <v>264</v>
      </c>
      <c r="H148" s="668"/>
      <c r="I148" s="669"/>
      <c r="J148" s="670"/>
      <c r="K148" s="667" t="s">
        <v>264</v>
      </c>
      <c r="L148" s="668"/>
      <c r="M148" s="669"/>
      <c r="N148" s="619"/>
      <c r="O148" s="667" t="s">
        <v>682</v>
      </c>
      <c r="P148" s="668"/>
      <c r="Q148" s="669"/>
      <c r="R148" s="670"/>
      <c r="S148" s="667" t="s">
        <v>265</v>
      </c>
      <c r="T148" s="668"/>
      <c r="U148" s="669"/>
      <c r="V148" s="670"/>
      <c r="W148" s="14"/>
      <c r="X148" s="659"/>
      <c r="Y148" s="55"/>
      <c r="Z148" s="580"/>
      <c r="AA148" s="14"/>
      <c r="AB148" s="659"/>
      <c r="AC148" s="55"/>
      <c r="AD148" s="55"/>
      <c r="AE148" s="660"/>
      <c r="AF148" s="55"/>
      <c r="AG148" s="55"/>
      <c r="AH148" s="55"/>
      <c r="AI148" s="661"/>
    </row>
    <row r="149" spans="1:35" ht="21.95" customHeight="1" thickBot="1" x14ac:dyDescent="0.25">
      <c r="A149" s="1"/>
      <c r="B149" s="671">
        <v>8521</v>
      </c>
      <c r="C149" s="57" t="s">
        <v>534</v>
      </c>
      <c r="D149" s="53"/>
      <c r="E149" s="53"/>
      <c r="F149" s="619"/>
      <c r="G149" s="57" t="s">
        <v>534</v>
      </c>
      <c r="H149" s="53"/>
      <c r="I149" s="53"/>
      <c r="J149" s="619"/>
      <c r="K149" s="57" t="s">
        <v>534</v>
      </c>
      <c r="L149" s="53"/>
      <c r="M149" s="53"/>
      <c r="N149" s="353"/>
      <c r="O149" s="57" t="s">
        <v>534</v>
      </c>
      <c r="P149" s="53"/>
      <c r="Q149" s="53"/>
      <c r="R149" s="619"/>
      <c r="S149" s="57" t="s">
        <v>116</v>
      </c>
      <c r="T149" s="53"/>
      <c r="U149" s="53"/>
      <c r="V149" s="619"/>
      <c r="W149" s="57"/>
      <c r="X149" s="53"/>
      <c r="Y149" s="53"/>
      <c r="Z149" s="619"/>
      <c r="AA149" s="618"/>
      <c r="AB149" s="53"/>
      <c r="AC149" s="53"/>
      <c r="AD149" s="620"/>
      <c r="AE149" s="672"/>
      <c r="AF149" s="53"/>
      <c r="AG149" s="53" t="s">
        <v>28</v>
      </c>
      <c r="AH149" s="620"/>
      <c r="AI149" s="544"/>
    </row>
    <row r="150" spans="1:35" ht="21.95" customHeight="1" x14ac:dyDescent="0.2">
      <c r="A150" s="1"/>
      <c r="B150" s="72"/>
      <c r="C150" s="311"/>
      <c r="F150" s="353"/>
      <c r="G150" s="311"/>
      <c r="J150" s="353"/>
      <c r="K150" s="311"/>
      <c r="N150" s="353"/>
      <c r="O150" s="311"/>
      <c r="R150" s="353"/>
      <c r="S150" s="311"/>
      <c r="V150" s="353"/>
      <c r="W150" s="353"/>
      <c r="Z150" s="353"/>
      <c r="AA150" s="353"/>
      <c r="AD150" s="353"/>
      <c r="AE150" s="353"/>
      <c r="AH150" s="353"/>
    </row>
    <row r="151" spans="1:35" ht="21.95" customHeight="1" thickBot="1" x14ac:dyDescent="0.25">
      <c r="A151" s="1" t="s">
        <v>659</v>
      </c>
      <c r="B151" s="72"/>
      <c r="C151" s="311"/>
      <c r="F151" s="353"/>
      <c r="G151" s="311"/>
      <c r="J151" s="353"/>
      <c r="K151" s="311"/>
      <c r="N151" s="138"/>
      <c r="O151" s="311"/>
      <c r="R151" s="353"/>
      <c r="S151" s="311"/>
      <c r="V151" s="353"/>
      <c r="W151" s="353"/>
      <c r="Z151" s="353"/>
      <c r="AA151" s="353"/>
      <c r="AD151" s="353"/>
      <c r="AE151" s="353"/>
      <c r="AH151" s="353"/>
    </row>
    <row r="152" spans="1:35" ht="21.95" customHeight="1" x14ac:dyDescent="0.2">
      <c r="A152" s="585"/>
      <c r="B152" s="296" t="s">
        <v>469</v>
      </c>
      <c r="C152" s="177">
        <v>1</v>
      </c>
      <c r="D152" s="177">
        <v>2</v>
      </c>
      <c r="E152" s="497">
        <v>3</v>
      </c>
      <c r="F152" s="497">
        <v>4</v>
      </c>
      <c r="G152" s="177">
        <v>5</v>
      </c>
      <c r="H152" s="177">
        <v>6</v>
      </c>
      <c r="I152" s="177">
        <v>7</v>
      </c>
      <c r="J152" s="177">
        <v>8</v>
      </c>
      <c r="K152" s="177">
        <v>9</v>
      </c>
      <c r="L152" s="497">
        <v>10</v>
      </c>
      <c r="M152" s="1596">
        <v>11</v>
      </c>
      <c r="N152" s="1114">
        <v>12</v>
      </c>
      <c r="O152" s="1595">
        <v>13</v>
      </c>
      <c r="P152" s="521">
        <v>14</v>
      </c>
      <c r="Q152" s="521">
        <v>15</v>
      </c>
      <c r="R152" s="521">
        <v>16</v>
      </c>
      <c r="S152" s="497">
        <v>17</v>
      </c>
      <c r="T152" s="497">
        <v>18</v>
      </c>
      <c r="U152" s="177">
        <v>19</v>
      </c>
      <c r="V152" s="177">
        <v>20</v>
      </c>
      <c r="W152" s="177">
        <v>21</v>
      </c>
      <c r="X152" s="177">
        <v>22</v>
      </c>
      <c r="Y152" s="177">
        <v>23</v>
      </c>
      <c r="Z152" s="497">
        <v>24</v>
      </c>
      <c r="AA152" s="497">
        <v>25</v>
      </c>
      <c r="AB152" s="497">
        <v>26</v>
      </c>
      <c r="AC152" s="177">
        <v>27</v>
      </c>
      <c r="AD152" s="177">
        <v>28</v>
      </c>
      <c r="AE152" s="177">
        <v>29</v>
      </c>
      <c r="AF152" s="177">
        <v>30</v>
      </c>
      <c r="AG152" s="497">
        <v>31</v>
      </c>
      <c r="AH152" s="499" t="s">
        <v>470</v>
      </c>
      <c r="AI152" s="500" t="s">
        <v>471</v>
      </c>
    </row>
    <row r="153" spans="1:35" ht="21.95" customHeight="1" x14ac:dyDescent="0.2">
      <c r="A153" s="585"/>
      <c r="B153" s="673" t="s">
        <v>610</v>
      </c>
      <c r="C153" s="1726" t="s">
        <v>552</v>
      </c>
      <c r="D153" s="1727" t="s">
        <v>552</v>
      </c>
      <c r="E153" s="1726"/>
      <c r="F153" s="1726"/>
      <c r="G153" s="1727" t="s">
        <v>552</v>
      </c>
      <c r="H153" s="1726" t="s">
        <v>552</v>
      </c>
      <c r="I153" s="1726" t="s">
        <v>552</v>
      </c>
      <c r="J153" s="1726" t="s">
        <v>552</v>
      </c>
      <c r="K153" s="1726" t="s">
        <v>552</v>
      </c>
      <c r="L153" s="1726"/>
      <c r="M153" s="1726"/>
      <c r="N153" s="1726" t="s">
        <v>552</v>
      </c>
      <c r="O153" s="1726" t="s">
        <v>552</v>
      </c>
      <c r="P153" s="1726" t="s">
        <v>552</v>
      </c>
      <c r="Q153" s="1726" t="s">
        <v>552</v>
      </c>
      <c r="R153" s="1726" t="s">
        <v>552</v>
      </c>
      <c r="S153" s="1726"/>
      <c r="T153" s="1726"/>
      <c r="U153" s="1573" t="s">
        <v>617</v>
      </c>
      <c r="V153" s="1726" t="s">
        <v>552</v>
      </c>
      <c r="W153" s="1726" t="s">
        <v>552</v>
      </c>
      <c r="X153" s="1726" t="s">
        <v>552</v>
      </c>
      <c r="Y153" s="1726" t="s">
        <v>552</v>
      </c>
      <c r="Z153" s="1726"/>
      <c r="AA153" s="1726"/>
      <c r="AB153" s="1726"/>
      <c r="AC153" s="1728" t="s">
        <v>552</v>
      </c>
      <c r="AD153" s="1728" t="s">
        <v>552</v>
      </c>
      <c r="AE153" s="1728" t="s">
        <v>552</v>
      </c>
      <c r="AF153" s="1728" t="s">
        <v>552</v>
      </c>
      <c r="AG153" s="1726"/>
      <c r="AH153" s="703">
        <v>0</v>
      </c>
      <c r="AI153" s="704">
        <v>37</v>
      </c>
    </row>
    <row r="154" spans="1:35" ht="21.95" customHeight="1" x14ac:dyDescent="0.2">
      <c r="A154" s="674">
        <v>8500</v>
      </c>
      <c r="B154" s="675" t="s">
        <v>156</v>
      </c>
      <c r="C154" s="1729" t="s">
        <v>552</v>
      </c>
      <c r="D154" s="1729" t="s">
        <v>552</v>
      </c>
      <c r="E154" s="1726"/>
      <c r="F154" s="1726"/>
      <c r="G154" s="1730" t="s">
        <v>552</v>
      </c>
      <c r="H154" s="1726" t="s">
        <v>552</v>
      </c>
      <c r="I154" s="1731" t="s">
        <v>552</v>
      </c>
      <c r="J154" s="1726" t="s">
        <v>552</v>
      </c>
      <c r="K154" s="1726" t="s">
        <v>552</v>
      </c>
      <c r="L154" s="1726"/>
      <c r="M154" s="1726"/>
      <c r="N154" s="1726" t="s">
        <v>552</v>
      </c>
      <c r="O154" s="1731" t="s">
        <v>552</v>
      </c>
      <c r="P154" s="1726" t="s">
        <v>552</v>
      </c>
      <c r="Q154" s="1726" t="s">
        <v>552</v>
      </c>
      <c r="R154" s="1726" t="s">
        <v>552</v>
      </c>
      <c r="S154" s="1726"/>
      <c r="T154" s="1726"/>
      <c r="U154" s="1726" t="s">
        <v>552</v>
      </c>
      <c r="V154" s="1726" t="s">
        <v>552</v>
      </c>
      <c r="W154" s="1726" t="s">
        <v>552</v>
      </c>
      <c r="X154" s="1726" t="s">
        <v>552</v>
      </c>
      <c r="Y154" s="1726" t="s">
        <v>552</v>
      </c>
      <c r="Z154" s="1726"/>
      <c r="AA154" s="1726"/>
      <c r="AB154" s="1726"/>
      <c r="AC154" s="1729" t="s">
        <v>552</v>
      </c>
      <c r="AD154" s="1729" t="s">
        <v>552</v>
      </c>
      <c r="AE154" s="1729" t="s">
        <v>552</v>
      </c>
      <c r="AF154" s="1729" t="s">
        <v>552</v>
      </c>
      <c r="AG154" s="1726"/>
      <c r="AH154" s="648">
        <v>37</v>
      </c>
      <c r="AI154" s="649">
        <v>37</v>
      </c>
    </row>
    <row r="155" spans="1:35" ht="21" customHeight="1" x14ac:dyDescent="0.2">
      <c r="A155" s="441"/>
      <c r="B155" s="673" t="s">
        <v>611</v>
      </c>
      <c r="C155" s="1726" t="s">
        <v>552</v>
      </c>
      <c r="D155" s="1726" t="s">
        <v>552</v>
      </c>
      <c r="E155" s="1726"/>
      <c r="F155" s="1726"/>
      <c r="G155" s="1726" t="s">
        <v>552</v>
      </c>
      <c r="H155" s="1726" t="s">
        <v>552</v>
      </c>
      <c r="I155" s="1732" t="s">
        <v>552</v>
      </c>
      <c r="J155" s="1726" t="s">
        <v>552</v>
      </c>
      <c r="K155" s="1726" t="s">
        <v>552</v>
      </c>
      <c r="L155" s="1726"/>
      <c r="M155" s="1726"/>
      <c r="N155" s="1726" t="s">
        <v>552</v>
      </c>
      <c r="O155" s="1726" t="s">
        <v>552</v>
      </c>
      <c r="P155" s="1726" t="s">
        <v>552</v>
      </c>
      <c r="Q155" s="1726" t="s">
        <v>552</v>
      </c>
      <c r="R155" s="1733" t="s">
        <v>552</v>
      </c>
      <c r="S155" s="1726"/>
      <c r="T155" s="1726"/>
      <c r="U155" s="1726" t="s">
        <v>552</v>
      </c>
      <c r="V155" s="1726" t="s">
        <v>552</v>
      </c>
      <c r="W155" s="1726" t="s">
        <v>552</v>
      </c>
      <c r="X155" s="1726" t="s">
        <v>552</v>
      </c>
      <c r="Y155" s="1726" t="s">
        <v>552</v>
      </c>
      <c r="Z155" s="1726"/>
      <c r="AA155" s="1726"/>
      <c r="AB155" s="1726"/>
      <c r="AC155" s="1728" t="s">
        <v>552</v>
      </c>
      <c r="AD155" s="1728" t="s">
        <v>552</v>
      </c>
      <c r="AE155" s="1728" t="s">
        <v>552</v>
      </c>
      <c r="AF155" s="1728" t="s">
        <v>552</v>
      </c>
      <c r="AG155" s="1726"/>
      <c r="AH155" s="648">
        <v>30</v>
      </c>
      <c r="AI155" s="649">
        <v>37</v>
      </c>
    </row>
    <row r="156" spans="1:35" ht="21" customHeight="1" x14ac:dyDescent="0.2">
      <c r="A156" s="441"/>
      <c r="B156" s="673" t="s">
        <v>613</v>
      </c>
      <c r="C156" s="1726" t="s">
        <v>552</v>
      </c>
      <c r="D156" s="1726" t="s">
        <v>552</v>
      </c>
      <c r="E156" s="1726"/>
      <c r="F156" s="1726"/>
      <c r="G156" s="1726" t="s">
        <v>552</v>
      </c>
      <c r="H156" s="1726" t="s">
        <v>552</v>
      </c>
      <c r="I156" s="1732" t="s">
        <v>552</v>
      </c>
      <c r="J156" s="1726" t="s">
        <v>552</v>
      </c>
      <c r="K156" s="1726" t="s">
        <v>552</v>
      </c>
      <c r="L156" s="1726"/>
      <c r="M156" s="1726"/>
      <c r="N156" s="1726" t="s">
        <v>552</v>
      </c>
      <c r="O156" s="1726" t="s">
        <v>552</v>
      </c>
      <c r="P156" s="1726" t="s">
        <v>552</v>
      </c>
      <c r="Q156" s="1726" t="s">
        <v>552</v>
      </c>
      <c r="R156" s="1726" t="s">
        <v>552</v>
      </c>
      <c r="S156" s="1726"/>
      <c r="T156" s="1726"/>
      <c r="U156" s="1726" t="s">
        <v>552</v>
      </c>
      <c r="V156" s="1726" t="s">
        <v>552</v>
      </c>
      <c r="W156" s="1726" t="s">
        <v>552</v>
      </c>
      <c r="X156" s="1726" t="s">
        <v>552</v>
      </c>
      <c r="Y156" s="1726" t="s">
        <v>552</v>
      </c>
      <c r="Z156" s="1726"/>
      <c r="AA156" s="1726"/>
      <c r="AB156" s="1726"/>
      <c r="AC156" s="1728" t="s">
        <v>552</v>
      </c>
      <c r="AD156" s="1728" t="s">
        <v>552</v>
      </c>
      <c r="AE156" s="1728" t="s">
        <v>552</v>
      </c>
      <c r="AF156" s="1728" t="s">
        <v>552</v>
      </c>
      <c r="AG156" s="1726"/>
      <c r="AH156" s="648">
        <v>0</v>
      </c>
      <c r="AI156" s="649">
        <v>22</v>
      </c>
    </row>
    <row r="157" spans="1:35" ht="21" customHeight="1" x14ac:dyDescent="0.2">
      <c r="A157" s="441">
        <v>8521</v>
      </c>
      <c r="B157" s="673" t="s">
        <v>614</v>
      </c>
      <c r="C157" s="1726" t="s">
        <v>552</v>
      </c>
      <c r="D157" s="1726" t="s">
        <v>552</v>
      </c>
      <c r="E157" s="1726"/>
      <c r="F157" s="1726"/>
      <c r="G157" s="1726" t="s">
        <v>552</v>
      </c>
      <c r="H157" s="1726" t="s">
        <v>552</v>
      </c>
      <c r="I157" s="1726" t="s">
        <v>552</v>
      </c>
      <c r="J157" s="1726" t="s">
        <v>552</v>
      </c>
      <c r="K157" s="1726" t="s">
        <v>552</v>
      </c>
      <c r="L157" s="1726"/>
      <c r="M157" s="1726"/>
      <c r="N157" s="1726" t="s">
        <v>552</v>
      </c>
      <c r="O157" s="1726" t="s">
        <v>552</v>
      </c>
      <c r="P157" s="1726" t="s">
        <v>552</v>
      </c>
      <c r="Q157" s="1727" t="s">
        <v>552</v>
      </c>
      <c r="R157" s="1727" t="s">
        <v>552</v>
      </c>
      <c r="S157" s="1726"/>
      <c r="T157" s="1726"/>
      <c r="U157" s="1727" t="s">
        <v>552</v>
      </c>
      <c r="V157" s="1726" t="s">
        <v>552</v>
      </c>
      <c r="W157" s="1726" t="s">
        <v>552</v>
      </c>
      <c r="X157" s="1726" t="s">
        <v>552</v>
      </c>
      <c r="Y157" s="1726" t="s">
        <v>552</v>
      </c>
      <c r="Z157" s="1726"/>
      <c r="AA157" s="1726"/>
      <c r="AB157" s="1726"/>
      <c r="AC157" s="1727" t="s">
        <v>552</v>
      </c>
      <c r="AD157" s="1727" t="s">
        <v>552</v>
      </c>
      <c r="AE157" s="1727" t="s">
        <v>552</v>
      </c>
      <c r="AF157" s="1727" t="s">
        <v>552</v>
      </c>
      <c r="AG157" s="1726"/>
      <c r="AH157" s="648">
        <v>37</v>
      </c>
      <c r="AI157" s="649">
        <v>37</v>
      </c>
    </row>
    <row r="158" spans="1:35" ht="21" customHeight="1" x14ac:dyDescent="0.2">
      <c r="A158" s="441">
        <v>8514</v>
      </c>
      <c r="B158" s="676" t="s">
        <v>615</v>
      </c>
      <c r="C158" s="1726" t="s">
        <v>552</v>
      </c>
      <c r="D158" s="1726" t="s">
        <v>552</v>
      </c>
      <c r="E158" s="1726"/>
      <c r="F158" s="1726"/>
      <c r="G158" s="1726" t="s">
        <v>552</v>
      </c>
      <c r="H158" s="1726" t="s">
        <v>552</v>
      </c>
      <c r="I158" s="1726" t="s">
        <v>552</v>
      </c>
      <c r="J158" s="1726" t="s">
        <v>552</v>
      </c>
      <c r="K158" s="1726" t="s">
        <v>552</v>
      </c>
      <c r="L158" s="1726"/>
      <c r="M158" s="1726"/>
      <c r="N158" s="1726" t="s">
        <v>552</v>
      </c>
      <c r="O158" s="1726" t="s">
        <v>552</v>
      </c>
      <c r="P158" s="1726" t="s">
        <v>552</v>
      </c>
      <c r="Q158" s="1726" t="s">
        <v>552</v>
      </c>
      <c r="R158" s="1726" t="s">
        <v>552</v>
      </c>
      <c r="S158" s="1726"/>
      <c r="T158" s="1726"/>
      <c r="U158" s="1726" t="s">
        <v>552</v>
      </c>
      <c r="V158" s="1726" t="s">
        <v>552</v>
      </c>
      <c r="W158" s="1726" t="s">
        <v>552</v>
      </c>
      <c r="X158" s="1726" t="s">
        <v>552</v>
      </c>
      <c r="Y158" s="1734" t="s">
        <v>552</v>
      </c>
      <c r="Z158" s="1726"/>
      <c r="AA158" s="1726"/>
      <c r="AB158" s="1726"/>
      <c r="AC158" s="1728" t="s">
        <v>552</v>
      </c>
      <c r="AD158" s="1728" t="s">
        <v>552</v>
      </c>
      <c r="AE158" s="1728" t="s">
        <v>552</v>
      </c>
      <c r="AF158" s="1728" t="s">
        <v>552</v>
      </c>
      <c r="AG158" s="1726"/>
      <c r="AH158" s="648">
        <v>29</v>
      </c>
      <c r="AI158" s="649">
        <v>37</v>
      </c>
    </row>
    <row r="159" spans="1:35" ht="21" customHeight="1" x14ac:dyDescent="0.2">
      <c r="A159" s="441">
        <v>8514</v>
      </c>
      <c r="B159" s="673" t="s">
        <v>433</v>
      </c>
      <c r="C159" s="1726" t="s">
        <v>552</v>
      </c>
      <c r="D159" s="1726" t="s">
        <v>552</v>
      </c>
      <c r="E159" s="1726"/>
      <c r="F159" s="1726"/>
      <c r="G159" s="1726" t="s">
        <v>552</v>
      </c>
      <c r="H159" s="1726" t="s">
        <v>552</v>
      </c>
      <c r="I159" s="1726" t="s">
        <v>552</v>
      </c>
      <c r="J159" s="1726" t="s">
        <v>552</v>
      </c>
      <c r="K159" s="1726" t="s">
        <v>552</v>
      </c>
      <c r="L159" s="1726"/>
      <c r="M159" s="1726"/>
      <c r="N159" s="1726" t="s">
        <v>552</v>
      </c>
      <c r="O159" s="1726" t="s">
        <v>552</v>
      </c>
      <c r="P159" s="1726" t="s">
        <v>552</v>
      </c>
      <c r="Q159" s="1726" t="s">
        <v>552</v>
      </c>
      <c r="R159" s="1726" t="s">
        <v>552</v>
      </c>
      <c r="S159" s="1726"/>
      <c r="T159" s="1726"/>
      <c r="U159" s="1726" t="s">
        <v>552</v>
      </c>
      <c r="V159" s="1726" t="s">
        <v>552</v>
      </c>
      <c r="W159" s="1726" t="s">
        <v>552</v>
      </c>
      <c r="X159" s="1726" t="s">
        <v>552</v>
      </c>
      <c r="Y159" s="1734" t="s">
        <v>552</v>
      </c>
      <c r="Z159" s="1726"/>
      <c r="AA159" s="1726"/>
      <c r="AB159" s="1726"/>
      <c r="AC159" s="1729" t="s">
        <v>552</v>
      </c>
      <c r="AD159" s="1729" t="s">
        <v>552</v>
      </c>
      <c r="AE159" s="1729" t="s">
        <v>552</v>
      </c>
      <c r="AF159" s="1729" t="s">
        <v>552</v>
      </c>
      <c r="AG159" s="1726"/>
      <c r="AH159" s="648">
        <v>58</v>
      </c>
      <c r="AI159" s="649">
        <v>37</v>
      </c>
    </row>
    <row r="160" spans="1:35" ht="21.95" customHeight="1" x14ac:dyDescent="0.2">
      <c r="A160" s="441">
        <v>3701</v>
      </c>
      <c r="B160" s="673" t="s">
        <v>431</v>
      </c>
      <c r="C160" s="1734" t="s">
        <v>552</v>
      </c>
      <c r="D160" s="1726" t="s">
        <v>552</v>
      </c>
      <c r="E160" s="1726"/>
      <c r="F160" s="1726"/>
      <c r="G160" s="1726" t="s">
        <v>552</v>
      </c>
      <c r="H160" s="1726" t="s">
        <v>552</v>
      </c>
      <c r="I160" s="1726" t="s">
        <v>552</v>
      </c>
      <c r="J160" s="1726" t="s">
        <v>552</v>
      </c>
      <c r="K160" s="1726" t="s">
        <v>552</v>
      </c>
      <c r="L160" s="1726"/>
      <c r="M160" s="1726"/>
      <c r="N160" s="1734" t="s">
        <v>552</v>
      </c>
      <c r="O160" s="1726" t="s">
        <v>552</v>
      </c>
      <c r="P160" s="1726" t="s">
        <v>552</v>
      </c>
      <c r="Q160" s="1726" t="s">
        <v>552</v>
      </c>
      <c r="R160" s="1726" t="s">
        <v>552</v>
      </c>
      <c r="S160" s="1726"/>
      <c r="T160" s="1726"/>
      <c r="U160" s="1726" t="s">
        <v>552</v>
      </c>
      <c r="V160" s="1726" t="s">
        <v>552</v>
      </c>
      <c r="W160" s="1726" t="s">
        <v>552</v>
      </c>
      <c r="X160" s="1726" t="s">
        <v>552</v>
      </c>
      <c r="Y160" s="1726" t="s">
        <v>552</v>
      </c>
      <c r="Z160" s="1726"/>
      <c r="AA160" s="1726"/>
      <c r="AB160" s="1726"/>
      <c r="AC160" s="1735" t="s">
        <v>552</v>
      </c>
      <c r="AD160" s="1735" t="s">
        <v>552</v>
      </c>
      <c r="AE160" s="1734" t="s">
        <v>552</v>
      </c>
      <c r="AF160" s="1734" t="s">
        <v>552</v>
      </c>
      <c r="AG160" s="1726"/>
      <c r="AH160" s="648">
        <v>74</v>
      </c>
      <c r="AI160" s="649">
        <v>37</v>
      </c>
    </row>
    <row r="161" spans="1:35" ht="21.95" customHeight="1" x14ac:dyDescent="0.2">
      <c r="A161" s="441">
        <v>3701</v>
      </c>
      <c r="B161" s="673" t="s">
        <v>434</v>
      </c>
      <c r="C161" s="503" t="s">
        <v>552</v>
      </c>
      <c r="D161" s="1440" t="s">
        <v>552</v>
      </c>
      <c r="E161" s="1726"/>
      <c r="F161" s="1726"/>
      <c r="G161" s="1726" t="s">
        <v>552</v>
      </c>
      <c r="H161" s="1726" t="s">
        <v>552</v>
      </c>
      <c r="I161" s="1726" t="s">
        <v>552</v>
      </c>
      <c r="J161" s="1726" t="s">
        <v>552</v>
      </c>
      <c r="K161" s="1734" t="s">
        <v>552</v>
      </c>
      <c r="L161" s="1726"/>
      <c r="M161" s="1726"/>
      <c r="N161" s="1726" t="s">
        <v>552</v>
      </c>
      <c r="O161" s="1726" t="s">
        <v>552</v>
      </c>
      <c r="P161" s="1726" t="s">
        <v>552</v>
      </c>
      <c r="Q161" s="1726" t="s">
        <v>552</v>
      </c>
      <c r="R161" s="1726" t="s">
        <v>552</v>
      </c>
      <c r="S161" s="1726"/>
      <c r="T161" s="1726"/>
      <c r="U161" s="503" t="s">
        <v>552</v>
      </c>
      <c r="V161" s="1440" t="s">
        <v>552</v>
      </c>
      <c r="W161" s="1440" t="s">
        <v>552</v>
      </c>
      <c r="X161" s="1440" t="s">
        <v>552</v>
      </c>
      <c r="Y161" s="1440" t="s">
        <v>552</v>
      </c>
      <c r="Z161" s="1726"/>
      <c r="AA161" s="1726"/>
      <c r="AB161" s="1726"/>
      <c r="AC161" s="1608">
        <v>19</v>
      </c>
      <c r="AD161" s="1608">
        <v>19</v>
      </c>
      <c r="AE161" s="1608">
        <v>19</v>
      </c>
      <c r="AF161" s="1608">
        <v>17</v>
      </c>
      <c r="AG161" s="1726"/>
      <c r="AH161" s="648">
        <v>74</v>
      </c>
      <c r="AI161" s="649">
        <v>37</v>
      </c>
    </row>
    <row r="162" spans="1:35" ht="21.95" customHeight="1" x14ac:dyDescent="0.2">
      <c r="A162" s="441">
        <v>3701</v>
      </c>
      <c r="B162" s="673" t="s">
        <v>436</v>
      </c>
      <c r="C162" s="1726" t="s">
        <v>552</v>
      </c>
      <c r="D162" s="1726" t="s">
        <v>552</v>
      </c>
      <c r="E162" s="1726"/>
      <c r="F162" s="1726"/>
      <c r="G162" s="503">
        <v>19</v>
      </c>
      <c r="H162" s="1440">
        <v>19</v>
      </c>
      <c r="I162" s="1440">
        <v>19</v>
      </c>
      <c r="J162" s="1440">
        <v>19</v>
      </c>
      <c r="K162" s="1440">
        <v>17</v>
      </c>
      <c r="L162" s="1726"/>
      <c r="M162" s="1726"/>
      <c r="N162" s="503" t="s">
        <v>552</v>
      </c>
      <c r="O162" s="1726" t="s">
        <v>552</v>
      </c>
      <c r="P162" s="1726" t="s">
        <v>552</v>
      </c>
      <c r="Q162" s="1726" t="s">
        <v>552</v>
      </c>
      <c r="R162" s="1726" t="s">
        <v>552</v>
      </c>
      <c r="S162" s="1726"/>
      <c r="T162" s="1726"/>
      <c r="U162" s="1726" t="s">
        <v>552</v>
      </c>
      <c r="V162" s="1726" t="s">
        <v>552</v>
      </c>
      <c r="W162" s="1726" t="s">
        <v>552</v>
      </c>
      <c r="X162" s="1726" t="s">
        <v>552</v>
      </c>
      <c r="Y162" s="1734" t="s">
        <v>552</v>
      </c>
      <c r="Z162" s="1726"/>
      <c r="AA162" s="1726"/>
      <c r="AB162" s="1726"/>
      <c r="AC162" s="1736" t="s">
        <v>552</v>
      </c>
      <c r="AD162" s="1736" t="s">
        <v>552</v>
      </c>
      <c r="AE162" s="1736" t="s">
        <v>552</v>
      </c>
      <c r="AF162" s="1736" t="s">
        <v>552</v>
      </c>
      <c r="AG162" s="1726"/>
      <c r="AH162" s="648">
        <v>74</v>
      </c>
      <c r="AI162" s="649">
        <v>8</v>
      </c>
    </row>
    <row r="163" spans="1:35" ht="21.95" customHeight="1" x14ac:dyDescent="0.2">
      <c r="A163" s="441">
        <v>3701</v>
      </c>
      <c r="B163" s="673" t="s">
        <v>437</v>
      </c>
      <c r="C163" s="1726" t="s">
        <v>552</v>
      </c>
      <c r="D163" s="1726" t="s">
        <v>552</v>
      </c>
      <c r="E163" s="1726"/>
      <c r="F163" s="1726"/>
      <c r="G163" s="1726" t="s">
        <v>552</v>
      </c>
      <c r="H163" s="1726" t="s">
        <v>552</v>
      </c>
      <c r="I163" s="1726" t="s">
        <v>552</v>
      </c>
      <c r="J163" s="1726" t="s">
        <v>552</v>
      </c>
      <c r="K163" s="1726" t="s">
        <v>552</v>
      </c>
      <c r="L163" s="1726"/>
      <c r="M163" s="1726"/>
      <c r="N163" s="1726" t="s">
        <v>552</v>
      </c>
      <c r="O163" s="1440" t="s">
        <v>552</v>
      </c>
      <c r="P163" s="1440" t="s">
        <v>552</v>
      </c>
      <c r="Q163" s="1440" t="s">
        <v>552</v>
      </c>
      <c r="R163" s="1440" t="s">
        <v>552</v>
      </c>
      <c r="S163" s="1726"/>
      <c r="T163" s="1726"/>
      <c r="U163" s="503">
        <v>19</v>
      </c>
      <c r="V163" s="1440">
        <v>19</v>
      </c>
      <c r="W163" s="1440">
        <v>19</v>
      </c>
      <c r="X163" s="1440">
        <v>19</v>
      </c>
      <c r="Y163" s="1440">
        <v>17</v>
      </c>
      <c r="Z163" s="1726"/>
      <c r="AA163" s="1726"/>
      <c r="AB163" s="1726"/>
      <c r="AC163" s="1729" t="s">
        <v>552</v>
      </c>
      <c r="AD163" s="1729" t="s">
        <v>552</v>
      </c>
      <c r="AE163" s="1729" t="s">
        <v>552</v>
      </c>
      <c r="AF163" s="1729" t="s">
        <v>552</v>
      </c>
      <c r="AG163" s="1726"/>
      <c r="AH163" s="648">
        <v>40</v>
      </c>
      <c r="AI163" s="649">
        <v>37</v>
      </c>
    </row>
    <row r="164" spans="1:35" ht="21.95" customHeight="1" x14ac:dyDescent="0.2">
      <c r="A164" s="441">
        <v>3701</v>
      </c>
      <c r="B164" s="673" t="s">
        <v>618</v>
      </c>
      <c r="C164" s="1734" t="s">
        <v>552</v>
      </c>
      <c r="D164" s="1734" t="s">
        <v>552</v>
      </c>
      <c r="E164" s="1726"/>
      <c r="F164" s="1726"/>
      <c r="G164" s="1726" t="s">
        <v>552</v>
      </c>
      <c r="H164" s="1726" t="s">
        <v>552</v>
      </c>
      <c r="I164" s="1726" t="s">
        <v>552</v>
      </c>
      <c r="J164" s="1726" t="s">
        <v>552</v>
      </c>
      <c r="K164" s="1726" t="s">
        <v>552</v>
      </c>
      <c r="L164" s="1726"/>
      <c r="M164" s="1726"/>
      <c r="N164" s="1549" t="s">
        <v>552</v>
      </c>
      <c r="O164" s="1728" t="s">
        <v>552</v>
      </c>
      <c r="P164" s="1728" t="s">
        <v>552</v>
      </c>
      <c r="Q164" s="1728" t="s">
        <v>552</v>
      </c>
      <c r="R164" s="1728" t="s">
        <v>552</v>
      </c>
      <c r="S164" s="1728"/>
      <c r="T164" s="1728"/>
      <c r="U164" s="1726" t="s">
        <v>552</v>
      </c>
      <c r="V164" s="1726" t="s">
        <v>552</v>
      </c>
      <c r="W164" s="1726" t="s">
        <v>552</v>
      </c>
      <c r="X164" s="1726" t="s">
        <v>552</v>
      </c>
      <c r="Y164" s="1734" t="s">
        <v>552</v>
      </c>
      <c r="Z164" s="1726"/>
      <c r="AA164" s="1726"/>
      <c r="AB164" s="1726"/>
      <c r="AC164" s="1497" t="s">
        <v>552</v>
      </c>
      <c r="AD164" s="1497" t="s">
        <v>552</v>
      </c>
      <c r="AE164" s="1497" t="s">
        <v>552</v>
      </c>
      <c r="AF164" s="1497" t="s">
        <v>552</v>
      </c>
      <c r="AG164" s="1726"/>
      <c r="AH164" s="648">
        <v>13</v>
      </c>
      <c r="AI164" s="649">
        <v>37</v>
      </c>
    </row>
    <row r="165" spans="1:35" ht="21.95" customHeight="1" x14ac:dyDescent="0.2">
      <c r="A165" s="441">
        <v>3701</v>
      </c>
      <c r="B165" s="552" t="s">
        <v>619</v>
      </c>
      <c r="C165" s="1726" t="s">
        <v>552</v>
      </c>
      <c r="D165" s="1726" t="s">
        <v>552</v>
      </c>
      <c r="E165" s="1726"/>
      <c r="F165" s="1726"/>
      <c r="G165" s="503" t="s">
        <v>552</v>
      </c>
      <c r="H165" s="1440" t="s">
        <v>552</v>
      </c>
      <c r="I165" s="1440" t="s">
        <v>552</v>
      </c>
      <c r="J165" s="1608" t="s">
        <v>552</v>
      </c>
      <c r="K165" s="1440" t="s">
        <v>552</v>
      </c>
      <c r="L165" s="1726"/>
      <c r="M165" s="1726"/>
      <c r="N165" s="1726">
        <v>19</v>
      </c>
      <c r="O165" s="1440">
        <v>19</v>
      </c>
      <c r="P165" s="1440">
        <v>19</v>
      </c>
      <c r="Q165" s="1440">
        <v>19</v>
      </c>
      <c r="R165" s="1440">
        <v>17</v>
      </c>
      <c r="S165" s="1726"/>
      <c r="T165" s="1726"/>
      <c r="U165" s="1726" t="s">
        <v>552</v>
      </c>
      <c r="V165" s="1726" t="s">
        <v>552</v>
      </c>
      <c r="W165" s="1726" t="s">
        <v>552</v>
      </c>
      <c r="X165" s="1737" t="s">
        <v>552</v>
      </c>
      <c r="Y165" s="1573" t="s">
        <v>617</v>
      </c>
      <c r="Z165" s="1726"/>
      <c r="AA165" s="1726"/>
      <c r="AB165" s="1726"/>
      <c r="AC165" s="1728" t="s">
        <v>552</v>
      </c>
      <c r="AD165" s="1728" t="s">
        <v>552</v>
      </c>
      <c r="AE165" s="1728" t="s">
        <v>552</v>
      </c>
      <c r="AF165" s="1728" t="s">
        <v>552</v>
      </c>
      <c r="AG165" s="1726"/>
      <c r="AH165" s="648">
        <v>8</v>
      </c>
      <c r="AI165" s="649">
        <v>37</v>
      </c>
    </row>
    <row r="166" spans="1:35" ht="21.95" customHeight="1" x14ac:dyDescent="0.2">
      <c r="A166" s="441">
        <v>3701</v>
      </c>
      <c r="B166" s="1434" t="s">
        <v>620</v>
      </c>
      <c r="C166" s="503">
        <v>19</v>
      </c>
      <c r="D166" s="1440">
        <v>17</v>
      </c>
      <c r="E166" s="1726"/>
      <c r="F166" s="1726"/>
      <c r="G166" s="1726" t="s">
        <v>552</v>
      </c>
      <c r="H166" s="1726" t="s">
        <v>552</v>
      </c>
      <c r="I166" s="1726" t="s">
        <v>552</v>
      </c>
      <c r="J166" s="1726" t="s">
        <v>552</v>
      </c>
      <c r="K166" s="1726" t="s">
        <v>552</v>
      </c>
      <c r="L166" s="1726"/>
      <c r="M166" s="1726"/>
      <c r="N166" s="1726" t="s">
        <v>552</v>
      </c>
      <c r="O166" s="1726" t="s">
        <v>552</v>
      </c>
      <c r="P166" s="1726" t="s">
        <v>552</v>
      </c>
      <c r="Q166" s="1726" t="s">
        <v>552</v>
      </c>
      <c r="R166" s="1726" t="s">
        <v>552</v>
      </c>
      <c r="S166" s="1726"/>
      <c r="T166" s="1726"/>
      <c r="U166" s="1726" t="s">
        <v>552</v>
      </c>
      <c r="V166" s="1726" t="s">
        <v>552</v>
      </c>
      <c r="W166" s="1726" t="s">
        <v>552</v>
      </c>
      <c r="X166" s="1726" t="s">
        <v>552</v>
      </c>
      <c r="Y166" s="1726" t="s">
        <v>552</v>
      </c>
      <c r="Z166" s="1726"/>
      <c r="AA166" s="1726"/>
      <c r="AB166" s="1726"/>
      <c r="AC166" s="1736" t="s">
        <v>552</v>
      </c>
      <c r="AD166" s="1736" t="s">
        <v>552</v>
      </c>
      <c r="AE166" s="1736" t="s">
        <v>552</v>
      </c>
      <c r="AF166" s="1736" t="s">
        <v>552</v>
      </c>
      <c r="AG166" s="1726"/>
      <c r="AH166" s="648">
        <v>74</v>
      </c>
      <c r="AI166" s="649">
        <v>6</v>
      </c>
    </row>
    <row r="167" spans="1:35" ht="21.95" customHeight="1" x14ac:dyDescent="0.2">
      <c r="A167" s="1433">
        <v>3701</v>
      </c>
      <c r="B167" s="552" t="s">
        <v>621</v>
      </c>
      <c r="C167" s="1738" t="s">
        <v>552</v>
      </c>
      <c r="D167" s="1726" t="s">
        <v>552</v>
      </c>
      <c r="E167" s="1726"/>
      <c r="F167" s="1726"/>
      <c r="G167" s="1726" t="s">
        <v>552</v>
      </c>
      <c r="H167" s="1726" t="s">
        <v>552</v>
      </c>
      <c r="I167" s="1731" t="s">
        <v>552</v>
      </c>
      <c r="J167" s="1726" t="s">
        <v>552</v>
      </c>
      <c r="K167" s="1734" t="s">
        <v>552</v>
      </c>
      <c r="L167" s="1726"/>
      <c r="M167" s="1726"/>
      <c r="N167" s="1734" t="s">
        <v>552</v>
      </c>
      <c r="O167" s="1731" t="s">
        <v>552</v>
      </c>
      <c r="P167" s="1726" t="s">
        <v>552</v>
      </c>
      <c r="Q167" s="1726" t="s">
        <v>552</v>
      </c>
      <c r="R167" s="1726" t="s">
        <v>552</v>
      </c>
      <c r="S167" s="1726"/>
      <c r="T167" s="1726"/>
      <c r="U167" s="1726" t="s">
        <v>552</v>
      </c>
      <c r="V167" s="1726" t="s">
        <v>552</v>
      </c>
      <c r="W167" s="1726" t="s">
        <v>552</v>
      </c>
      <c r="X167" s="1726" t="s">
        <v>552</v>
      </c>
      <c r="Y167" s="1726" t="s">
        <v>552</v>
      </c>
      <c r="Z167" s="1726"/>
      <c r="AA167" s="1726"/>
      <c r="AB167" s="1726"/>
      <c r="AC167" s="1726" t="s">
        <v>552</v>
      </c>
      <c r="AD167" s="1739" t="s">
        <v>552</v>
      </c>
      <c r="AE167" s="1734" t="s">
        <v>552</v>
      </c>
      <c r="AF167" s="1734" t="s">
        <v>552</v>
      </c>
      <c r="AG167" s="1726"/>
      <c r="AH167" s="648">
        <v>27</v>
      </c>
      <c r="AI167" s="649">
        <v>29</v>
      </c>
    </row>
    <row r="168" spans="1:35" ht="21.95" customHeight="1" x14ac:dyDescent="0.2">
      <c r="A168" s="441">
        <v>3701</v>
      </c>
      <c r="B168" s="673" t="s">
        <v>622</v>
      </c>
      <c r="C168" s="1726" t="s">
        <v>552</v>
      </c>
      <c r="D168" s="1726" t="s">
        <v>552</v>
      </c>
      <c r="E168" s="1726"/>
      <c r="F168" s="1726"/>
      <c r="G168" s="1727" t="s">
        <v>552</v>
      </c>
      <c r="H168" s="1726" t="s">
        <v>552</v>
      </c>
      <c r="I168" s="1726" t="s">
        <v>552</v>
      </c>
      <c r="J168" s="1726" t="s">
        <v>552</v>
      </c>
      <c r="K168" s="1726" t="s">
        <v>552</v>
      </c>
      <c r="L168" s="1726"/>
      <c r="M168" s="1726"/>
      <c r="N168" s="1726" t="s">
        <v>552</v>
      </c>
      <c r="O168" s="1726" t="s">
        <v>552</v>
      </c>
      <c r="P168" s="1726" t="s">
        <v>552</v>
      </c>
      <c r="Q168" s="1726" t="s">
        <v>552</v>
      </c>
      <c r="R168" s="1726" t="s">
        <v>552</v>
      </c>
      <c r="S168" s="1726"/>
      <c r="T168" s="1726"/>
      <c r="U168" s="1726" t="s">
        <v>552</v>
      </c>
      <c r="V168" s="1726" t="s">
        <v>552</v>
      </c>
      <c r="W168" s="1726" t="s">
        <v>552</v>
      </c>
      <c r="X168" s="1726" t="s">
        <v>552</v>
      </c>
      <c r="Y168" s="1726" t="s">
        <v>552</v>
      </c>
      <c r="Z168" s="1726"/>
      <c r="AA168" s="1726"/>
      <c r="AB168" s="1726"/>
      <c r="AC168" s="1726" t="s">
        <v>552</v>
      </c>
      <c r="AD168" s="1739" t="s">
        <v>552</v>
      </c>
      <c r="AE168" s="1734" t="s">
        <v>552</v>
      </c>
      <c r="AF168" s="1734" t="s">
        <v>552</v>
      </c>
      <c r="AG168" s="1726"/>
      <c r="AH168" s="648">
        <v>75</v>
      </c>
      <c r="AI168" s="649">
        <v>29</v>
      </c>
    </row>
    <row r="169" spans="1:35" ht="21.95" customHeight="1" x14ac:dyDescent="0.2">
      <c r="A169" s="441">
        <v>3701</v>
      </c>
      <c r="B169" s="673" t="s">
        <v>623</v>
      </c>
      <c r="C169" s="1726" t="s">
        <v>552</v>
      </c>
      <c r="D169" s="1726" t="s">
        <v>552</v>
      </c>
      <c r="E169" s="1726"/>
      <c r="F169" s="1726"/>
      <c r="G169" s="1573" t="s">
        <v>617</v>
      </c>
      <c r="H169" s="1726" t="s">
        <v>552</v>
      </c>
      <c r="I169" s="1726" t="s">
        <v>552</v>
      </c>
      <c r="J169" s="1726" t="s">
        <v>552</v>
      </c>
      <c r="K169" s="1726" t="s">
        <v>552</v>
      </c>
      <c r="L169" s="1726"/>
      <c r="M169" s="1726"/>
      <c r="N169" s="1726" t="s">
        <v>552</v>
      </c>
      <c r="O169" s="1726" t="s">
        <v>552</v>
      </c>
      <c r="P169" s="1726" t="s">
        <v>552</v>
      </c>
      <c r="Q169" s="1726" t="s">
        <v>552</v>
      </c>
      <c r="R169" s="1726" t="s">
        <v>552</v>
      </c>
      <c r="S169" s="1726"/>
      <c r="T169" s="1726"/>
      <c r="U169" s="1726" t="s">
        <v>552</v>
      </c>
      <c r="V169" s="1726" t="s">
        <v>552</v>
      </c>
      <c r="W169" s="1726" t="s">
        <v>552</v>
      </c>
      <c r="X169" s="1726" t="s">
        <v>552</v>
      </c>
      <c r="Y169" s="1726" t="s">
        <v>552</v>
      </c>
      <c r="Z169" s="1726"/>
      <c r="AA169" s="1726"/>
      <c r="AB169" s="1726"/>
      <c r="AC169" s="1726" t="s">
        <v>552</v>
      </c>
      <c r="AD169" s="1739" t="s">
        <v>552</v>
      </c>
      <c r="AE169" s="1734" t="s">
        <v>552</v>
      </c>
      <c r="AF169" s="1734" t="s">
        <v>552</v>
      </c>
      <c r="AG169" s="1740"/>
      <c r="AH169" s="648">
        <v>29</v>
      </c>
      <c r="AI169" s="649">
        <v>31</v>
      </c>
    </row>
    <row r="170" spans="1:35" ht="21.95" customHeight="1" x14ac:dyDescent="0.2">
      <c r="A170" s="441">
        <v>3701</v>
      </c>
      <c r="B170" s="1111" t="s">
        <v>720</v>
      </c>
      <c r="C170" s="1726" t="s">
        <v>552</v>
      </c>
      <c r="D170" s="1726" t="s">
        <v>552</v>
      </c>
      <c r="E170" s="1726"/>
      <c r="F170" s="1726"/>
      <c r="G170" s="1726" t="s">
        <v>552</v>
      </c>
      <c r="H170" s="1726" t="s">
        <v>552</v>
      </c>
      <c r="I170" s="1726" t="s">
        <v>552</v>
      </c>
      <c r="J170" s="1726" t="s">
        <v>552</v>
      </c>
      <c r="K170" s="1726" t="s">
        <v>552</v>
      </c>
      <c r="L170" s="1726"/>
      <c r="M170" s="1726"/>
      <c r="N170" s="1726"/>
      <c r="O170" s="1726" t="s">
        <v>552</v>
      </c>
      <c r="P170" s="1726" t="s">
        <v>552</v>
      </c>
      <c r="Q170" s="1726" t="s">
        <v>552</v>
      </c>
      <c r="R170" s="1726" t="s">
        <v>552</v>
      </c>
      <c r="S170" s="1726"/>
      <c r="T170" s="1726"/>
      <c r="U170" s="1726" t="s">
        <v>552</v>
      </c>
      <c r="V170" s="1726" t="s">
        <v>552</v>
      </c>
      <c r="W170" s="1726" t="s">
        <v>552</v>
      </c>
      <c r="X170" s="1726" t="s">
        <v>552</v>
      </c>
      <c r="Y170" s="1726" t="s">
        <v>552</v>
      </c>
      <c r="Z170" s="1726"/>
      <c r="AA170" s="1726"/>
      <c r="AB170" s="1726"/>
      <c r="AC170" s="1726" t="s">
        <v>552</v>
      </c>
      <c r="AD170" s="1726" t="s">
        <v>552</v>
      </c>
      <c r="AE170" s="1726" t="s">
        <v>552</v>
      </c>
      <c r="AF170" s="1741" t="s">
        <v>552</v>
      </c>
      <c r="AG170" s="1112"/>
      <c r="AH170" s="1113"/>
      <c r="AI170" s="1113"/>
    </row>
    <row r="171" spans="1:35" ht="21.95" customHeight="1" thickBot="1" x14ac:dyDescent="0.25">
      <c r="A171" s="621"/>
      <c r="B171" s="1111"/>
      <c r="C171" s="1726"/>
      <c r="D171" s="1726"/>
      <c r="E171" s="1726"/>
      <c r="F171" s="1726"/>
      <c r="G171" s="1726"/>
      <c r="H171" s="1726"/>
      <c r="I171" s="1726"/>
      <c r="J171" s="1726"/>
      <c r="K171" s="1726"/>
      <c r="L171" s="1726"/>
      <c r="M171" s="1726"/>
      <c r="O171" s="1726"/>
      <c r="P171" s="1726"/>
      <c r="Q171" s="1726"/>
      <c r="R171" s="1726"/>
      <c r="S171" s="1726"/>
      <c r="T171" s="1726"/>
      <c r="U171" s="1726"/>
      <c r="V171" s="1726"/>
      <c r="W171" s="1726"/>
      <c r="X171" s="1726"/>
      <c r="Y171" s="1726"/>
      <c r="Z171" s="1726"/>
      <c r="AA171" s="1726"/>
      <c r="AB171" s="1726"/>
      <c r="AC171" s="1726"/>
      <c r="AD171" s="1726"/>
      <c r="AE171" s="1726"/>
      <c r="AF171" s="1726"/>
      <c r="AG171" s="525"/>
      <c r="AH171" s="591"/>
      <c r="AI171" s="591"/>
    </row>
    <row r="172" spans="1:35" ht="21" customHeight="1" thickBot="1" x14ac:dyDescent="0.25">
      <c r="A172" s="1" t="s">
        <v>624</v>
      </c>
      <c r="N172" s="573"/>
    </row>
    <row r="173" spans="1:35" ht="21" customHeight="1" x14ac:dyDescent="0.2">
      <c r="B173" s="200" t="s">
        <v>604</v>
      </c>
      <c r="C173" s="7"/>
      <c r="D173" s="530" t="s">
        <v>2</v>
      </c>
      <c r="E173" s="51"/>
      <c r="F173" s="573"/>
      <c r="G173" s="7"/>
      <c r="H173" s="530" t="s">
        <v>3</v>
      </c>
      <c r="I173" s="51"/>
      <c r="J173" s="573"/>
      <c r="K173" s="7"/>
      <c r="L173" s="530" t="s">
        <v>4</v>
      </c>
      <c r="M173" s="51"/>
      <c r="N173" s="580"/>
      <c r="O173" s="7"/>
      <c r="P173" s="530" t="s">
        <v>5</v>
      </c>
      <c r="Q173" s="51"/>
      <c r="R173" s="573"/>
      <c r="S173" s="7"/>
      <c r="T173" s="530" t="s">
        <v>6</v>
      </c>
      <c r="U173" s="51"/>
      <c r="V173" s="573"/>
      <c r="W173" s="7"/>
      <c r="X173" s="530" t="s">
        <v>7</v>
      </c>
      <c r="Y173" s="51"/>
      <c r="Z173" s="573"/>
      <c r="AA173" s="7"/>
      <c r="AB173" s="530" t="s">
        <v>8</v>
      </c>
      <c r="AC173" s="51"/>
      <c r="AD173" s="51"/>
      <c r="AE173" s="424" t="s">
        <v>10</v>
      </c>
      <c r="AF173" s="51"/>
      <c r="AG173" s="51"/>
      <c r="AH173" s="51"/>
      <c r="AI173" s="531"/>
    </row>
    <row r="174" spans="1:35" ht="21" customHeight="1" x14ac:dyDescent="0.2">
      <c r="B174" s="9">
        <v>8502</v>
      </c>
      <c r="C174" s="14" t="s">
        <v>11</v>
      </c>
      <c r="D174" s="659"/>
      <c r="E174" s="55"/>
      <c r="F174" s="580"/>
      <c r="G174" s="14" t="s">
        <v>11</v>
      </c>
      <c r="H174" s="659"/>
      <c r="I174" s="55"/>
      <c r="J174" s="580"/>
      <c r="K174" s="14" t="s">
        <v>11</v>
      </c>
      <c r="L174" s="659"/>
      <c r="M174" s="55"/>
      <c r="N174" s="580"/>
      <c r="O174" s="14" t="s">
        <v>11</v>
      </c>
      <c r="P174" s="659"/>
      <c r="Q174" s="55"/>
      <c r="R174" s="580"/>
      <c r="S174" s="14" t="s">
        <v>12</v>
      </c>
      <c r="T174" s="659"/>
      <c r="U174" s="55"/>
      <c r="V174" s="580"/>
      <c r="W174" s="14"/>
      <c r="X174" s="659"/>
      <c r="Y174" s="55"/>
      <c r="Z174" s="580"/>
      <c r="AA174" s="14"/>
      <c r="AB174" s="659"/>
      <c r="AC174" s="55"/>
      <c r="AD174" s="55"/>
      <c r="AE174" s="660"/>
      <c r="AF174" s="55"/>
      <c r="AG174" s="55"/>
      <c r="AH174" s="55"/>
      <c r="AI174" s="661"/>
    </row>
    <row r="175" spans="1:35" ht="21" customHeight="1" x14ac:dyDescent="0.2">
      <c r="B175" s="662">
        <v>3701</v>
      </c>
      <c r="C175" s="121" t="s">
        <v>11</v>
      </c>
      <c r="D175" s="130"/>
      <c r="E175" s="55"/>
      <c r="F175" s="580"/>
      <c r="G175" s="121" t="s">
        <v>11</v>
      </c>
      <c r="H175" s="659"/>
      <c r="I175" s="55"/>
      <c r="J175" s="580"/>
      <c r="K175" s="121" t="s">
        <v>11</v>
      </c>
      <c r="L175" s="659"/>
      <c r="M175" s="55"/>
      <c r="N175" s="580"/>
      <c r="O175" s="121" t="s">
        <v>11</v>
      </c>
      <c r="P175" s="659"/>
      <c r="Q175" s="55"/>
      <c r="R175" s="580"/>
      <c r="S175" s="14" t="s">
        <v>12</v>
      </c>
      <c r="T175" s="659"/>
      <c r="U175" s="55"/>
      <c r="V175" s="580"/>
      <c r="W175" s="14"/>
      <c r="X175" s="659"/>
      <c r="Y175" s="55"/>
      <c r="Z175" s="580"/>
      <c r="AA175" s="14"/>
      <c r="AB175" s="659"/>
      <c r="AC175" s="55"/>
      <c r="AD175" s="55"/>
      <c r="AE175" s="660"/>
      <c r="AF175" s="55"/>
      <c r="AG175" s="55"/>
      <c r="AH175" s="55"/>
      <c r="AI175" s="661"/>
    </row>
    <row r="176" spans="1:35" ht="21" customHeight="1" x14ac:dyDescent="0.2">
      <c r="B176" s="662">
        <v>3705</v>
      </c>
      <c r="C176" s="121" t="s">
        <v>147</v>
      </c>
      <c r="D176" s="130"/>
      <c r="E176" s="55"/>
      <c r="F176" s="580"/>
      <c r="G176" s="121" t="s">
        <v>147</v>
      </c>
      <c r="H176" s="659"/>
      <c r="I176" s="55"/>
      <c r="J176" s="580"/>
      <c r="K176" s="121" t="s">
        <v>147</v>
      </c>
      <c r="L176" s="659"/>
      <c r="M176" s="55"/>
      <c r="N176" s="580"/>
      <c r="O176" s="121" t="s">
        <v>147</v>
      </c>
      <c r="P176" s="659"/>
      <c r="Q176" s="55"/>
      <c r="R176" s="580"/>
      <c r="S176" s="121" t="s">
        <v>536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5" ht="21" customHeight="1" x14ac:dyDescent="0.2">
      <c r="B177" s="662" t="s">
        <v>625</v>
      </c>
      <c r="C177" s="611" t="s">
        <v>626</v>
      </c>
      <c r="D177" s="130"/>
      <c r="E177" s="55"/>
      <c r="F177" s="580"/>
      <c r="G177" s="611" t="s">
        <v>626</v>
      </c>
      <c r="H177" s="659"/>
      <c r="I177" s="55"/>
      <c r="J177" s="580"/>
      <c r="K177" s="611" t="s">
        <v>626</v>
      </c>
      <c r="L177" s="659"/>
      <c r="M177" s="55"/>
      <c r="N177" s="580"/>
      <c r="O177" s="611" t="s">
        <v>626</v>
      </c>
      <c r="P177" s="659"/>
      <c r="Q177" s="55"/>
      <c r="R177" s="580"/>
      <c r="S177" s="611" t="s">
        <v>626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5" ht="21" customHeight="1" x14ac:dyDescent="0.2">
      <c r="B178" s="662" t="s">
        <v>627</v>
      </c>
      <c r="C178" s="611" t="s">
        <v>628</v>
      </c>
      <c r="D178" s="130"/>
      <c r="E178" s="55"/>
      <c r="F178" s="580"/>
      <c r="G178" s="659" t="s">
        <v>629</v>
      </c>
      <c r="H178" s="659"/>
      <c r="I178" s="55"/>
      <c r="J178" s="580"/>
      <c r="K178" s="659" t="s">
        <v>630</v>
      </c>
      <c r="L178" s="659"/>
      <c r="M178" s="55"/>
      <c r="N178" s="580"/>
      <c r="O178" s="659" t="s">
        <v>630</v>
      </c>
      <c r="P178" s="659"/>
      <c r="Q178" s="55"/>
      <c r="R178" s="580"/>
      <c r="S178" s="659" t="s">
        <v>631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5" ht="21" customHeight="1" x14ac:dyDescent="0.2">
      <c r="B179" s="662" t="s">
        <v>324</v>
      </c>
      <c r="C179" s="611" t="s">
        <v>632</v>
      </c>
      <c r="D179" s="130"/>
      <c r="E179" s="55"/>
      <c r="F179" s="580"/>
      <c r="G179" s="611" t="s">
        <v>632</v>
      </c>
      <c r="H179" s="130"/>
      <c r="I179" s="55"/>
      <c r="J179" s="580"/>
      <c r="K179" s="611" t="s">
        <v>632</v>
      </c>
      <c r="L179" s="130"/>
      <c r="M179" s="55"/>
      <c r="N179" s="580"/>
      <c r="O179" s="611" t="s">
        <v>632</v>
      </c>
      <c r="P179" s="130"/>
      <c r="Q179" s="55"/>
      <c r="R179" s="580"/>
      <c r="S179" s="659" t="s">
        <v>633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5" ht="21" customHeight="1" thickBot="1" x14ac:dyDescent="0.25">
      <c r="B180" s="662" t="s">
        <v>325</v>
      </c>
      <c r="C180" s="611" t="s">
        <v>634</v>
      </c>
      <c r="D180" s="130"/>
      <c r="E180" s="55"/>
      <c r="F180" s="580"/>
      <c r="G180" s="611" t="s">
        <v>634</v>
      </c>
      <c r="H180" s="130"/>
      <c r="I180" s="55"/>
      <c r="J180" s="580"/>
      <c r="K180" s="611" t="s">
        <v>634</v>
      </c>
      <c r="L180" s="130"/>
      <c r="M180" s="55"/>
      <c r="N180" s="239"/>
      <c r="O180" s="611" t="s">
        <v>634</v>
      </c>
      <c r="P180" s="130"/>
      <c r="Q180" s="55"/>
      <c r="R180" s="580"/>
      <c r="S180" s="659" t="s">
        <v>635</v>
      </c>
      <c r="T180" s="659"/>
      <c r="U180" s="55"/>
      <c r="V180" s="580"/>
      <c r="W180" s="14"/>
      <c r="X180" s="659"/>
      <c r="Y180" s="55"/>
      <c r="Z180" s="580"/>
      <c r="AA180" s="14"/>
      <c r="AB180" s="659"/>
      <c r="AC180" s="55"/>
      <c r="AD180" s="55"/>
      <c r="AE180" s="660"/>
      <c r="AF180" s="55"/>
      <c r="AG180" s="55"/>
      <c r="AH180" s="55"/>
      <c r="AI180" s="661"/>
    </row>
    <row r="181" spans="1:35" ht="21" customHeight="1" thickBot="1" x14ac:dyDescent="0.25">
      <c r="B181" s="671" t="s">
        <v>326</v>
      </c>
      <c r="C181" s="618" t="s">
        <v>736</v>
      </c>
      <c r="D181" s="48"/>
      <c r="E181" s="678"/>
      <c r="F181" s="239"/>
      <c r="G181" s="618" t="s">
        <v>736</v>
      </c>
      <c r="H181" s="48"/>
      <c r="I181" s="678"/>
      <c r="J181" s="239"/>
      <c r="K181" s="618" t="s">
        <v>736</v>
      </c>
      <c r="L181" s="48"/>
      <c r="M181" s="678"/>
      <c r="O181" s="618" t="s">
        <v>743</v>
      </c>
      <c r="P181" s="48"/>
      <c r="Q181" s="678"/>
      <c r="R181" s="239"/>
      <c r="S181" s="148" t="s">
        <v>723</v>
      </c>
      <c r="T181" s="148"/>
      <c r="U181" s="678"/>
      <c r="V181" s="239"/>
      <c r="W181" s="679"/>
      <c r="X181" s="148"/>
      <c r="Y181" s="678"/>
      <c r="Z181" s="239"/>
      <c r="AA181" s="679"/>
      <c r="AB181" s="148"/>
      <c r="AC181" s="678"/>
      <c r="AD181" s="678"/>
      <c r="AE181" s="680"/>
      <c r="AF181" s="678"/>
      <c r="AG181" s="678"/>
      <c r="AH181" s="678"/>
      <c r="AI181" s="681"/>
    </row>
    <row r="182" spans="1:35" ht="21" customHeight="1" x14ac:dyDescent="0.2">
      <c r="B182" s="273"/>
      <c r="C182" s="311"/>
      <c r="D182" s="72"/>
      <c r="G182" s="311"/>
      <c r="H182" s="72"/>
      <c r="K182" s="311"/>
      <c r="L182" s="72"/>
      <c r="O182" s="311"/>
      <c r="P182" s="72"/>
      <c r="S182" s="311"/>
      <c r="T182" s="311"/>
      <c r="X182" s="311"/>
      <c r="AB182" s="311"/>
      <c r="AE182" s="311"/>
    </row>
    <row r="183" spans="1:35" ht="21" customHeight="1" thickBot="1" x14ac:dyDescent="0.25">
      <c r="A183" s="682" t="s">
        <v>638</v>
      </c>
      <c r="N183" s="177"/>
    </row>
    <row r="184" spans="1:35" ht="21" customHeight="1" x14ac:dyDescent="0.2">
      <c r="A184" s="585"/>
      <c r="B184" s="296" t="s">
        <v>469</v>
      </c>
      <c r="C184" s="177">
        <v>1</v>
      </c>
      <c r="D184" s="177">
        <v>2</v>
      </c>
      <c r="E184" s="497">
        <v>3</v>
      </c>
      <c r="F184" s="497">
        <v>4</v>
      </c>
      <c r="G184" s="177">
        <v>5</v>
      </c>
      <c r="H184" s="177">
        <v>6</v>
      </c>
      <c r="I184" s="177">
        <v>7</v>
      </c>
      <c r="J184" s="177">
        <v>8</v>
      </c>
      <c r="K184" s="177">
        <v>9</v>
      </c>
      <c r="L184" s="497">
        <v>10</v>
      </c>
      <c r="M184" s="497">
        <v>11</v>
      </c>
      <c r="N184" s="553">
        <v>12</v>
      </c>
      <c r="O184" s="177">
        <v>13</v>
      </c>
      <c r="P184" s="177">
        <v>14</v>
      </c>
      <c r="Q184" s="177">
        <v>15</v>
      </c>
      <c r="R184" s="177">
        <v>16</v>
      </c>
      <c r="S184" s="497">
        <v>17</v>
      </c>
      <c r="T184" s="497">
        <v>18</v>
      </c>
      <c r="U184" s="177">
        <v>19</v>
      </c>
      <c r="V184" s="177">
        <v>20</v>
      </c>
      <c r="W184" s="177">
        <v>21</v>
      </c>
      <c r="X184" s="177">
        <v>22</v>
      </c>
      <c r="Y184" s="177">
        <v>23</v>
      </c>
      <c r="Z184" s="497">
        <v>24</v>
      </c>
      <c r="AA184" s="497">
        <v>25</v>
      </c>
      <c r="AB184" s="497">
        <v>26</v>
      </c>
      <c r="AC184" s="177">
        <v>27</v>
      </c>
      <c r="AD184" s="177">
        <v>28</v>
      </c>
      <c r="AE184" s="177">
        <v>29</v>
      </c>
      <c r="AF184" s="177">
        <v>30</v>
      </c>
      <c r="AG184" s="497">
        <v>31</v>
      </c>
      <c r="AH184" s="499" t="s">
        <v>470</v>
      </c>
      <c r="AI184" s="500" t="s">
        <v>471</v>
      </c>
    </row>
    <row r="185" spans="1:35" ht="21" customHeight="1" x14ac:dyDescent="0.2">
      <c r="A185" s="441">
        <v>3702</v>
      </c>
      <c r="B185" s="152" t="s">
        <v>639</v>
      </c>
      <c r="C185" s="587">
        <v>1</v>
      </c>
      <c r="D185" s="587">
        <v>1</v>
      </c>
      <c r="E185" s="587"/>
      <c r="F185" s="587"/>
      <c r="G185" s="587">
        <v>2</v>
      </c>
      <c r="H185" s="587">
        <v>2</v>
      </c>
      <c r="I185" s="1482">
        <v>2</v>
      </c>
      <c r="J185" s="587">
        <v>2</v>
      </c>
      <c r="K185" s="587">
        <v>2</v>
      </c>
      <c r="L185" s="587"/>
      <c r="M185" s="587"/>
      <c r="N185" s="587" t="s">
        <v>482</v>
      </c>
      <c r="O185" s="1482">
        <v>1</v>
      </c>
      <c r="P185" s="587">
        <v>1</v>
      </c>
      <c r="Q185" s="587">
        <v>1</v>
      </c>
      <c r="R185" s="587">
        <v>1</v>
      </c>
      <c r="S185" s="587"/>
      <c r="T185" s="587"/>
      <c r="U185" s="587">
        <v>2</v>
      </c>
      <c r="V185" s="587">
        <v>2</v>
      </c>
      <c r="W185" s="587">
        <v>2</v>
      </c>
      <c r="X185" s="587">
        <v>2</v>
      </c>
      <c r="Y185" s="587">
        <v>2</v>
      </c>
      <c r="Z185" s="503"/>
      <c r="AA185" s="503"/>
      <c r="AB185" s="587"/>
      <c r="AC185" s="587">
        <v>1</v>
      </c>
      <c r="AD185" s="587">
        <v>1</v>
      </c>
      <c r="AE185" s="1524">
        <v>1</v>
      </c>
      <c r="AF185" s="1524">
        <v>1</v>
      </c>
      <c r="AG185" s="587"/>
      <c r="AH185" s="505">
        <v>37</v>
      </c>
      <c r="AI185" s="506">
        <v>37</v>
      </c>
    </row>
    <row r="186" spans="1:35" ht="21" customHeight="1" x14ac:dyDescent="0.2">
      <c r="A186" s="441">
        <v>3701</v>
      </c>
      <c r="B186" s="152" t="s">
        <v>640</v>
      </c>
      <c r="C186" s="1516" t="s">
        <v>482</v>
      </c>
      <c r="D186" s="1516" t="s">
        <v>482</v>
      </c>
      <c r="E186" s="587"/>
      <c r="F186" s="587"/>
      <c r="G186" s="587" t="s">
        <v>482</v>
      </c>
      <c r="H186" s="587" t="s">
        <v>482</v>
      </c>
      <c r="I186" s="1482" t="s">
        <v>482</v>
      </c>
      <c r="J186" s="587" t="s">
        <v>482</v>
      </c>
      <c r="K186" s="587" t="s">
        <v>482</v>
      </c>
      <c r="L186" s="587"/>
      <c r="M186" s="587"/>
      <c r="N186" s="587">
        <v>2</v>
      </c>
      <c r="O186" s="1482" t="s">
        <v>482</v>
      </c>
      <c r="P186" s="587" t="s">
        <v>482</v>
      </c>
      <c r="Q186" s="587" t="s">
        <v>482</v>
      </c>
      <c r="R186" s="587" t="s">
        <v>482</v>
      </c>
      <c r="S186" s="587"/>
      <c r="T186" s="587"/>
      <c r="U186" s="587" t="s">
        <v>482</v>
      </c>
      <c r="V186" s="587" t="s">
        <v>482</v>
      </c>
      <c r="W186" s="587" t="s">
        <v>482</v>
      </c>
      <c r="X186" s="587" t="s">
        <v>482</v>
      </c>
      <c r="Y186" s="587" t="s">
        <v>482</v>
      </c>
      <c r="Z186" s="503"/>
      <c r="AA186" s="503"/>
      <c r="AB186" s="587"/>
      <c r="AC186" s="587" t="s">
        <v>482</v>
      </c>
      <c r="AD186" s="587" t="s">
        <v>482</v>
      </c>
      <c r="AE186" s="587" t="s">
        <v>482</v>
      </c>
      <c r="AF186" s="587" t="s">
        <v>482</v>
      </c>
      <c r="AG186" s="587"/>
      <c r="AH186" s="505">
        <v>74</v>
      </c>
      <c r="AI186" s="506">
        <v>37</v>
      </c>
    </row>
    <row r="187" spans="1:35" ht="21" customHeight="1" x14ac:dyDescent="0.2">
      <c r="A187" s="441">
        <v>3702</v>
      </c>
      <c r="B187" s="152" t="s">
        <v>641</v>
      </c>
      <c r="C187" s="587">
        <v>2</v>
      </c>
      <c r="D187" s="587">
        <v>2</v>
      </c>
      <c r="E187" s="587"/>
      <c r="F187" s="587"/>
      <c r="G187" s="587">
        <v>1</v>
      </c>
      <c r="H187" s="587">
        <v>1</v>
      </c>
      <c r="I187" s="587">
        <v>1</v>
      </c>
      <c r="J187" s="587">
        <v>1</v>
      </c>
      <c r="K187" s="587">
        <v>1</v>
      </c>
      <c r="L187" s="587"/>
      <c r="M187" s="587"/>
      <c r="N187" s="503"/>
      <c r="O187" s="587">
        <v>2</v>
      </c>
      <c r="P187" s="587">
        <v>2</v>
      </c>
      <c r="Q187" s="587">
        <v>2</v>
      </c>
      <c r="R187" s="587">
        <v>2</v>
      </c>
      <c r="S187" s="587"/>
      <c r="T187" s="587"/>
      <c r="U187" s="587">
        <v>1</v>
      </c>
      <c r="V187" s="587">
        <v>1</v>
      </c>
      <c r="W187" s="587">
        <v>1</v>
      </c>
      <c r="X187" s="587">
        <v>1</v>
      </c>
      <c r="Y187" s="587">
        <v>1</v>
      </c>
      <c r="Z187" s="503"/>
      <c r="AA187" s="503"/>
      <c r="AB187" s="587"/>
      <c r="AC187" s="587">
        <v>2</v>
      </c>
      <c r="AD187" s="587">
        <v>2</v>
      </c>
      <c r="AE187" s="587">
        <v>2</v>
      </c>
      <c r="AF187" s="587">
        <v>2</v>
      </c>
      <c r="AG187" s="587"/>
      <c r="AH187" s="505">
        <v>76</v>
      </c>
      <c r="AI187" s="506">
        <v>37</v>
      </c>
    </row>
    <row r="188" spans="1:35" ht="21" customHeight="1" x14ac:dyDescent="0.2">
      <c r="A188" s="683">
        <v>3706</v>
      </c>
      <c r="B188" s="552"/>
      <c r="C188" s="503"/>
      <c r="D188" s="503"/>
      <c r="E188" s="503"/>
      <c r="F188" s="503"/>
      <c r="G188" s="503"/>
      <c r="H188" s="503"/>
      <c r="I188" s="503"/>
      <c r="J188" s="503"/>
      <c r="K188" s="503"/>
      <c r="L188" s="503"/>
      <c r="M188" s="503"/>
      <c r="N188" s="1109"/>
      <c r="O188" s="503"/>
      <c r="P188" s="503"/>
      <c r="Q188" s="503"/>
      <c r="R188" s="503"/>
      <c r="S188" s="503"/>
      <c r="T188" s="503"/>
      <c r="U188" s="503"/>
      <c r="V188" s="503"/>
      <c r="W188" s="503"/>
      <c r="X188" s="503"/>
      <c r="Y188" s="503"/>
      <c r="Z188" s="503"/>
      <c r="AA188" s="503"/>
      <c r="AB188" s="503"/>
      <c r="AC188" s="503"/>
      <c r="AD188" s="503"/>
      <c r="AE188" s="503"/>
      <c r="AF188" s="503"/>
      <c r="AG188" s="503"/>
      <c r="AH188" s="505"/>
      <c r="AI188" s="506"/>
    </row>
    <row r="189" spans="1:35" ht="21" customHeight="1" x14ac:dyDescent="0.2">
      <c r="A189" s="684"/>
      <c r="B189" s="685" t="s">
        <v>642</v>
      </c>
      <c r="C189" s="686"/>
      <c r="D189" s="686"/>
      <c r="E189" s="686"/>
      <c r="F189" s="686"/>
      <c r="G189" s="686"/>
      <c r="H189" s="686"/>
      <c r="I189" s="686"/>
      <c r="J189" s="686"/>
      <c r="K189" s="686"/>
      <c r="L189" s="686"/>
      <c r="M189" s="686"/>
      <c r="N189" s="1544"/>
      <c r="O189" s="686"/>
      <c r="P189" s="686"/>
      <c r="Q189" s="686"/>
      <c r="R189" s="686"/>
      <c r="S189" s="686"/>
      <c r="T189" s="686"/>
      <c r="U189" s="686"/>
      <c r="V189" s="686"/>
      <c r="W189" s="686"/>
      <c r="X189" s="686"/>
      <c r="Y189" s="686"/>
      <c r="Z189" s="686"/>
      <c r="AA189" s="686"/>
      <c r="AB189" s="686"/>
      <c r="AC189" s="686"/>
      <c r="AD189" s="686"/>
      <c r="AE189" s="686"/>
      <c r="AF189" s="686"/>
      <c r="AG189" s="687"/>
      <c r="AH189" s="688"/>
      <c r="AI189" s="689"/>
    </row>
    <row r="190" spans="1:35" ht="21" customHeight="1" x14ac:dyDescent="0.2">
      <c r="A190" s="441">
        <v>3702</v>
      </c>
      <c r="B190" s="133" t="s">
        <v>724</v>
      </c>
      <c r="C190" s="587" t="s">
        <v>643</v>
      </c>
      <c r="D190" s="587" t="s">
        <v>643</v>
      </c>
      <c r="E190" s="587"/>
      <c r="F190" s="587"/>
      <c r="G190" s="587" t="s">
        <v>596</v>
      </c>
      <c r="H190" s="587" t="s">
        <v>596</v>
      </c>
      <c r="I190" s="1482" t="s">
        <v>596</v>
      </c>
      <c r="J190" s="587" t="s">
        <v>596</v>
      </c>
      <c r="K190" s="587" t="s">
        <v>596</v>
      </c>
      <c r="L190" s="587"/>
      <c r="M190" s="587"/>
      <c r="N190" s="587" t="s">
        <v>644</v>
      </c>
      <c r="O190" s="1482" t="s">
        <v>644</v>
      </c>
      <c r="P190" s="587" t="s">
        <v>644</v>
      </c>
      <c r="Q190" s="587" t="s">
        <v>644</v>
      </c>
      <c r="R190" s="587" t="s">
        <v>644</v>
      </c>
      <c r="S190" s="587"/>
      <c r="T190" s="587"/>
      <c r="U190" s="1516" t="s">
        <v>758</v>
      </c>
      <c r="V190" s="587" t="s">
        <v>643</v>
      </c>
      <c r="W190" s="587" t="s">
        <v>643</v>
      </c>
      <c r="X190" s="587" t="s">
        <v>643</v>
      </c>
      <c r="Y190" s="587" t="s">
        <v>643</v>
      </c>
      <c r="Z190" s="587"/>
      <c r="AA190" s="587"/>
      <c r="AB190" s="587" t="s">
        <v>596</v>
      </c>
      <c r="AC190" s="587" t="s">
        <v>596</v>
      </c>
      <c r="AD190" s="587" t="s">
        <v>596</v>
      </c>
      <c r="AE190" s="587" t="s">
        <v>596</v>
      </c>
      <c r="AF190" s="587" t="s">
        <v>596</v>
      </c>
      <c r="AG190" s="503"/>
      <c r="AH190" s="505">
        <v>0</v>
      </c>
      <c r="AI190" s="506">
        <v>0</v>
      </c>
    </row>
    <row r="191" spans="1:35" ht="21" customHeight="1" x14ac:dyDescent="0.2">
      <c r="A191" s="441"/>
      <c r="B191" s="152" t="s">
        <v>645</v>
      </c>
      <c r="C191" s="587" t="s">
        <v>596</v>
      </c>
      <c r="D191" s="587" t="s">
        <v>596</v>
      </c>
      <c r="E191" s="587"/>
      <c r="F191" s="587"/>
      <c r="G191" s="587" t="s">
        <v>644</v>
      </c>
      <c r="H191" s="587" t="s">
        <v>644</v>
      </c>
      <c r="I191" s="587" t="s">
        <v>644</v>
      </c>
      <c r="J191" s="587" t="s">
        <v>644</v>
      </c>
      <c r="K191" s="587" t="s">
        <v>644</v>
      </c>
      <c r="L191" s="587"/>
      <c r="M191" s="587"/>
      <c r="N191" s="587" t="s">
        <v>643</v>
      </c>
      <c r="O191" s="587" t="s">
        <v>643</v>
      </c>
      <c r="P191" s="587" t="s">
        <v>643</v>
      </c>
      <c r="Q191" s="587" t="s">
        <v>643</v>
      </c>
      <c r="R191" s="587" t="s">
        <v>643</v>
      </c>
      <c r="S191" s="587"/>
      <c r="T191" s="587"/>
      <c r="U191" s="587" t="s">
        <v>596</v>
      </c>
      <c r="V191" s="587" t="s">
        <v>596</v>
      </c>
      <c r="W191" s="587" t="s">
        <v>596</v>
      </c>
      <c r="X191" s="587" t="s">
        <v>596</v>
      </c>
      <c r="Y191" s="587" t="s">
        <v>596</v>
      </c>
      <c r="Z191" s="587"/>
      <c r="AA191" s="587"/>
      <c r="AB191" s="587" t="s">
        <v>644</v>
      </c>
      <c r="AC191" s="1544" t="s">
        <v>644</v>
      </c>
      <c r="AD191" s="1544" t="s">
        <v>644</v>
      </c>
      <c r="AE191" s="1524" t="s">
        <v>644</v>
      </c>
      <c r="AF191" s="1524" t="s">
        <v>644</v>
      </c>
      <c r="AG191" s="503"/>
      <c r="AH191" s="505">
        <v>81</v>
      </c>
      <c r="AI191" s="506">
        <v>37</v>
      </c>
    </row>
    <row r="192" spans="1:35" ht="21" customHeight="1" x14ac:dyDescent="0.2">
      <c r="A192" s="441"/>
      <c r="B192" s="152" t="s">
        <v>646</v>
      </c>
      <c r="C192" s="587" t="s">
        <v>644</v>
      </c>
      <c r="D192" s="587" t="s">
        <v>644</v>
      </c>
      <c r="E192" s="587"/>
      <c r="F192" s="587"/>
      <c r="G192" s="587" t="s">
        <v>643</v>
      </c>
      <c r="H192" s="587" t="s">
        <v>643</v>
      </c>
      <c r="I192" s="587" t="s">
        <v>643</v>
      </c>
      <c r="J192" s="587" t="s">
        <v>643</v>
      </c>
      <c r="K192" s="587" t="s">
        <v>643</v>
      </c>
      <c r="L192" s="587"/>
      <c r="M192" s="587"/>
      <c r="N192" s="1583" t="s">
        <v>596</v>
      </c>
      <c r="O192" s="587" t="s">
        <v>596</v>
      </c>
      <c r="P192" s="587" t="s">
        <v>596</v>
      </c>
      <c r="Q192" s="1540" t="s">
        <v>596</v>
      </c>
      <c r="R192" s="587" t="s">
        <v>596</v>
      </c>
      <c r="S192" s="587"/>
      <c r="T192" s="587"/>
      <c r="U192" s="587" t="s">
        <v>644</v>
      </c>
      <c r="V192" s="587" t="s">
        <v>644</v>
      </c>
      <c r="W192" s="587" t="s">
        <v>644</v>
      </c>
      <c r="X192" s="587" t="s">
        <v>644</v>
      </c>
      <c r="Y192" s="587" t="s">
        <v>644</v>
      </c>
      <c r="Z192" s="587"/>
      <c r="AA192" s="587"/>
      <c r="AB192" s="587" t="s">
        <v>643</v>
      </c>
      <c r="AC192" s="587" t="s">
        <v>643</v>
      </c>
      <c r="AD192" s="1524" t="s">
        <v>643</v>
      </c>
      <c r="AE192" s="1524" t="s">
        <v>643</v>
      </c>
      <c r="AF192" s="587" t="s">
        <v>643</v>
      </c>
      <c r="AG192" s="503"/>
      <c r="AH192" s="505">
        <v>74</v>
      </c>
      <c r="AI192" s="506">
        <v>29</v>
      </c>
    </row>
    <row r="193" spans="1:35" ht="21" customHeight="1" x14ac:dyDescent="0.2"/>
    <row r="194" spans="1:35" ht="21" customHeight="1" thickBot="1" x14ac:dyDescent="0.25"/>
    <row r="195" spans="1:35" ht="21" customHeight="1" thickBot="1" x14ac:dyDescent="0.25">
      <c r="A195" s="1" t="s">
        <v>647</v>
      </c>
      <c r="N195" s="573"/>
    </row>
    <row r="196" spans="1:35" ht="21" customHeight="1" x14ac:dyDescent="0.2">
      <c r="B196" s="200" t="s">
        <v>604</v>
      </c>
      <c r="C196" s="7"/>
      <c r="D196" s="530" t="s">
        <v>2</v>
      </c>
      <c r="E196" s="51"/>
      <c r="F196" s="573"/>
      <c r="G196" s="7"/>
      <c r="H196" s="530" t="s">
        <v>3</v>
      </c>
      <c r="I196" s="51"/>
      <c r="J196" s="573"/>
      <c r="K196" s="7"/>
      <c r="L196" s="530" t="s">
        <v>4</v>
      </c>
      <c r="M196" s="51"/>
      <c r="N196" s="580"/>
      <c r="O196" s="7"/>
      <c r="P196" s="530" t="s">
        <v>5</v>
      </c>
      <c r="Q196" s="51"/>
      <c r="R196" s="573"/>
      <c r="S196" s="7"/>
      <c r="T196" s="530" t="s">
        <v>6</v>
      </c>
      <c r="U196" s="51"/>
      <c r="V196" s="573"/>
      <c r="W196" s="7"/>
      <c r="X196" s="530" t="s">
        <v>7</v>
      </c>
      <c r="Y196" s="51"/>
      <c r="Z196" s="573"/>
      <c r="AA196" s="7"/>
      <c r="AB196" s="530" t="s">
        <v>8</v>
      </c>
      <c r="AC196" s="51"/>
      <c r="AD196" s="51"/>
      <c r="AE196" s="424" t="s">
        <v>10</v>
      </c>
      <c r="AF196" s="51"/>
      <c r="AG196" s="51"/>
      <c r="AH196" s="51"/>
      <c r="AI196" s="531"/>
    </row>
    <row r="197" spans="1:35" ht="21" customHeight="1" thickBot="1" x14ac:dyDescent="0.25">
      <c r="B197" s="9">
        <v>8500</v>
      </c>
      <c r="C197" s="121" t="s">
        <v>33</v>
      </c>
      <c r="D197" s="659"/>
      <c r="E197" s="55"/>
      <c r="F197" s="580"/>
      <c r="G197" s="121" t="s">
        <v>33</v>
      </c>
      <c r="H197" s="659"/>
      <c r="I197" s="55"/>
      <c r="J197" s="580"/>
      <c r="K197" s="121" t="s">
        <v>33</v>
      </c>
      <c r="L197" s="659"/>
      <c r="M197" s="55"/>
      <c r="N197" s="239"/>
      <c r="O197" s="121" t="s">
        <v>33</v>
      </c>
      <c r="P197" s="659"/>
      <c r="Q197" s="55"/>
      <c r="R197" s="580"/>
      <c r="S197" s="121" t="s">
        <v>34</v>
      </c>
      <c r="T197" s="659"/>
      <c r="U197" s="55"/>
      <c r="V197" s="580"/>
      <c r="W197" s="14"/>
      <c r="X197" s="659"/>
      <c r="Y197" s="55"/>
      <c r="Z197" s="580"/>
      <c r="AA197" s="14"/>
      <c r="AB197" s="659"/>
      <c r="AC197" s="55"/>
      <c r="AD197" s="55"/>
      <c r="AE197" s="660"/>
      <c r="AF197" s="55"/>
      <c r="AG197" s="55"/>
      <c r="AH197" s="55"/>
      <c r="AI197" s="661"/>
    </row>
    <row r="198" spans="1:35" ht="21" customHeight="1" thickBot="1" x14ac:dyDescent="0.25">
      <c r="B198" s="162" t="s">
        <v>648</v>
      </c>
      <c r="C198" s="690" t="s">
        <v>649</v>
      </c>
      <c r="D198" s="607"/>
      <c r="E198" s="678"/>
      <c r="F198" s="239"/>
      <c r="G198" s="690" t="s">
        <v>649</v>
      </c>
      <c r="H198" s="148"/>
      <c r="I198" s="678"/>
      <c r="J198" s="239"/>
      <c r="K198" s="690" t="s">
        <v>649</v>
      </c>
      <c r="L198" s="148"/>
      <c r="M198" s="678"/>
      <c r="O198" s="690" t="s">
        <v>650</v>
      </c>
      <c r="P198" s="148"/>
      <c r="Q198" s="678"/>
      <c r="R198" s="239"/>
      <c r="S198" s="690" t="s">
        <v>16</v>
      </c>
      <c r="T198" s="148"/>
      <c r="U198" s="678"/>
      <c r="V198" s="239"/>
      <c r="W198" s="679"/>
      <c r="X198" s="148"/>
      <c r="Y198" s="678"/>
      <c r="Z198" s="239"/>
      <c r="AA198" s="679"/>
      <c r="AB198" s="148"/>
      <c r="AC198" s="678"/>
      <c r="AD198" s="678"/>
      <c r="AE198" s="680"/>
      <c r="AF198" s="678"/>
      <c r="AG198" s="678"/>
      <c r="AH198" s="678"/>
      <c r="AI198" s="681"/>
    </row>
    <row r="199" spans="1:35" ht="21" customHeight="1" thickBot="1" x14ac:dyDescent="0.25">
      <c r="A199" s="60" t="s">
        <v>651</v>
      </c>
      <c r="N199" s="177"/>
    </row>
    <row r="200" spans="1:35" ht="21" customHeight="1" x14ac:dyDescent="0.2">
      <c r="A200" s="691"/>
      <c r="B200" s="296" t="s">
        <v>469</v>
      </c>
      <c r="C200" s="177">
        <v>1</v>
      </c>
      <c r="D200" s="177">
        <v>2</v>
      </c>
      <c r="E200" s="497">
        <v>3</v>
      </c>
      <c r="F200" s="497">
        <v>4</v>
      </c>
      <c r="G200" s="177">
        <v>5</v>
      </c>
      <c r="H200" s="177">
        <v>6</v>
      </c>
      <c r="I200" s="177">
        <v>7</v>
      </c>
      <c r="J200" s="177">
        <v>8</v>
      </c>
      <c r="K200" s="177">
        <v>9</v>
      </c>
      <c r="L200" s="497">
        <v>10</v>
      </c>
      <c r="M200" s="497">
        <v>11</v>
      </c>
      <c r="N200" s="553">
        <v>12</v>
      </c>
      <c r="O200" s="177">
        <v>13</v>
      </c>
      <c r="P200" s="177">
        <v>14</v>
      </c>
      <c r="Q200" s="177">
        <v>15</v>
      </c>
      <c r="R200" s="177">
        <v>16</v>
      </c>
      <c r="S200" s="497">
        <v>17</v>
      </c>
      <c r="T200" s="497">
        <v>18</v>
      </c>
      <c r="U200" s="177">
        <v>19</v>
      </c>
      <c r="V200" s="177">
        <v>20</v>
      </c>
      <c r="W200" s="177">
        <v>21</v>
      </c>
      <c r="X200" s="177">
        <v>22</v>
      </c>
      <c r="Y200" s="177">
        <v>23</v>
      </c>
      <c r="Z200" s="497">
        <v>24</v>
      </c>
      <c r="AA200" s="497">
        <v>25</v>
      </c>
      <c r="AB200" s="497">
        <v>26</v>
      </c>
      <c r="AC200" s="177">
        <v>27</v>
      </c>
      <c r="AD200" s="177">
        <v>28</v>
      </c>
      <c r="AE200" s="177">
        <v>29</v>
      </c>
      <c r="AF200" s="177">
        <v>30</v>
      </c>
      <c r="AG200" s="497">
        <v>31</v>
      </c>
      <c r="AH200" s="499" t="s">
        <v>470</v>
      </c>
      <c r="AI200" s="500" t="s">
        <v>471</v>
      </c>
    </row>
    <row r="201" spans="1:35" ht="21" customHeight="1" x14ac:dyDescent="0.2">
      <c r="A201" s="154">
        <v>8500</v>
      </c>
      <c r="B201" s="692" t="s">
        <v>652</v>
      </c>
      <c r="C201" s="587" t="s">
        <v>482</v>
      </c>
      <c r="D201" s="587" t="s">
        <v>482</v>
      </c>
      <c r="E201" s="587"/>
      <c r="F201" s="587"/>
      <c r="G201" s="587" t="s">
        <v>482</v>
      </c>
      <c r="H201" s="587" t="s">
        <v>482</v>
      </c>
      <c r="I201" s="587" t="s">
        <v>482</v>
      </c>
      <c r="J201" s="587" t="s">
        <v>482</v>
      </c>
      <c r="K201" s="587" t="s">
        <v>482</v>
      </c>
      <c r="L201" s="587"/>
      <c r="M201" s="587"/>
      <c r="N201" s="587" t="s">
        <v>482</v>
      </c>
      <c r="O201" s="587" t="s">
        <v>482</v>
      </c>
      <c r="P201" s="587" t="s">
        <v>482</v>
      </c>
      <c r="Q201" s="587" t="s">
        <v>482</v>
      </c>
      <c r="R201" s="587" t="s">
        <v>482</v>
      </c>
      <c r="S201" s="587"/>
      <c r="T201" s="587"/>
      <c r="U201" s="587" t="s">
        <v>482</v>
      </c>
      <c r="V201" s="587" t="s">
        <v>482</v>
      </c>
      <c r="W201" s="587" t="s">
        <v>482</v>
      </c>
      <c r="X201" s="1060" t="s">
        <v>482</v>
      </c>
      <c r="Y201" s="1060" t="s">
        <v>482</v>
      </c>
      <c r="Z201" s="503"/>
      <c r="AA201" s="503"/>
      <c r="AB201" s="587"/>
      <c r="AC201" s="587" t="s">
        <v>482</v>
      </c>
      <c r="AD201" s="587" t="s">
        <v>482</v>
      </c>
      <c r="AE201" s="1606" t="s">
        <v>482</v>
      </c>
      <c r="AF201" s="1606" t="s">
        <v>482</v>
      </c>
      <c r="AG201" s="587"/>
      <c r="AH201" s="693">
        <v>95</v>
      </c>
      <c r="AI201" s="694">
        <v>37</v>
      </c>
    </row>
    <row r="202" spans="1:35" ht="21" customHeight="1" x14ac:dyDescent="0.2">
      <c r="A202" s="501" t="s">
        <v>653</v>
      </c>
      <c r="B202" s="152" t="s">
        <v>654</v>
      </c>
      <c r="C202" s="587" t="s">
        <v>482</v>
      </c>
      <c r="D202" s="587" t="s">
        <v>482</v>
      </c>
      <c r="E202" s="587"/>
      <c r="F202" s="587"/>
      <c r="G202" s="587" t="s">
        <v>482</v>
      </c>
      <c r="H202" s="587" t="s">
        <v>482</v>
      </c>
      <c r="I202" s="587" t="s">
        <v>482</v>
      </c>
      <c r="J202" s="587" t="s">
        <v>482</v>
      </c>
      <c r="K202" s="587" t="s">
        <v>482</v>
      </c>
      <c r="L202" s="587"/>
      <c r="M202" s="587"/>
      <c r="N202" s="587" t="s">
        <v>482</v>
      </c>
      <c r="O202" s="587" t="s">
        <v>482</v>
      </c>
      <c r="P202" s="587" t="s">
        <v>482</v>
      </c>
      <c r="Q202" s="587" t="s">
        <v>482</v>
      </c>
      <c r="R202" s="587" t="s">
        <v>482</v>
      </c>
      <c r="S202" s="587"/>
      <c r="T202" s="587"/>
      <c r="U202" s="587" t="s">
        <v>482</v>
      </c>
      <c r="V202" s="587" t="s">
        <v>482</v>
      </c>
      <c r="W202" s="587" t="s">
        <v>482</v>
      </c>
      <c r="X202" s="587" t="s">
        <v>482</v>
      </c>
      <c r="Y202" s="587" t="s">
        <v>482</v>
      </c>
      <c r="Z202" s="503"/>
      <c r="AA202" s="503"/>
      <c r="AB202" s="1060"/>
      <c r="AC202" s="1060" t="s">
        <v>482</v>
      </c>
      <c r="AD202" s="1060" t="s">
        <v>482</v>
      </c>
      <c r="AE202" s="1060" t="s">
        <v>482</v>
      </c>
      <c r="AF202" s="1060" t="s">
        <v>482</v>
      </c>
      <c r="AG202" s="1060"/>
      <c r="AH202" s="693">
        <v>0</v>
      </c>
      <c r="AI202" s="694">
        <v>15</v>
      </c>
    </row>
    <row r="203" spans="1:35" ht="21" customHeight="1" x14ac:dyDescent="0.2">
      <c r="A203" s="152">
        <v>8500</v>
      </c>
      <c r="B203" s="152" t="s">
        <v>655</v>
      </c>
      <c r="C203" s="587" t="s">
        <v>482</v>
      </c>
      <c r="D203" s="587" t="s">
        <v>482</v>
      </c>
      <c r="E203" s="587"/>
      <c r="F203" s="587"/>
      <c r="G203" s="587" t="s">
        <v>482</v>
      </c>
      <c r="H203" s="587" t="s">
        <v>482</v>
      </c>
      <c r="I203" s="587" t="s">
        <v>482</v>
      </c>
      <c r="J203" s="587" t="s">
        <v>482</v>
      </c>
      <c r="K203" s="587" t="s">
        <v>482</v>
      </c>
      <c r="L203" s="587"/>
      <c r="M203" s="587"/>
      <c r="N203" s="587" t="s">
        <v>482</v>
      </c>
      <c r="O203" s="587" t="s">
        <v>482</v>
      </c>
      <c r="P203" s="587" t="s">
        <v>482</v>
      </c>
      <c r="Q203" s="587" t="s">
        <v>482</v>
      </c>
      <c r="R203" s="587" t="s">
        <v>482</v>
      </c>
      <c r="S203" s="587"/>
      <c r="T203" s="587"/>
      <c r="U203" s="587" t="s">
        <v>482</v>
      </c>
      <c r="V203" s="587" t="s">
        <v>482</v>
      </c>
      <c r="W203" s="587" t="s">
        <v>482</v>
      </c>
      <c r="X203" s="587" t="s">
        <v>482</v>
      </c>
      <c r="Y203" s="587" t="s">
        <v>482</v>
      </c>
      <c r="Z203" s="503"/>
      <c r="AA203" s="503"/>
      <c r="AB203" s="587"/>
      <c r="AC203" s="1524" t="s">
        <v>482</v>
      </c>
      <c r="AD203" s="1524" t="s">
        <v>482</v>
      </c>
      <c r="AE203" s="587" t="s">
        <v>482</v>
      </c>
      <c r="AF203" s="587" t="s">
        <v>482</v>
      </c>
      <c r="AG203" s="587"/>
      <c r="AH203" s="693">
        <v>44</v>
      </c>
      <c r="AI203" s="694">
        <v>37</v>
      </c>
    </row>
    <row r="204" spans="1:35" ht="21.95" customHeight="1" x14ac:dyDescent="0.2">
      <c r="A204" s="441"/>
      <c r="B204" s="152" t="s">
        <v>656</v>
      </c>
      <c r="C204" s="587" t="s">
        <v>482</v>
      </c>
      <c r="D204" s="587" t="s">
        <v>482</v>
      </c>
      <c r="E204" s="587"/>
      <c r="F204" s="587"/>
      <c r="G204" s="587" t="s">
        <v>482</v>
      </c>
      <c r="H204" s="587" t="s">
        <v>482</v>
      </c>
      <c r="I204" s="587" t="s">
        <v>482</v>
      </c>
      <c r="J204" s="587" t="s">
        <v>482</v>
      </c>
      <c r="K204" s="587" t="s">
        <v>482</v>
      </c>
      <c r="L204" s="587"/>
      <c r="M204" s="587"/>
      <c r="N204" s="587" t="s">
        <v>482</v>
      </c>
      <c r="O204" s="587" t="s">
        <v>482</v>
      </c>
      <c r="P204" s="587" t="s">
        <v>482</v>
      </c>
      <c r="Q204" s="587" t="s">
        <v>482</v>
      </c>
      <c r="R204" s="587" t="s">
        <v>482</v>
      </c>
      <c r="S204" s="587"/>
      <c r="T204" s="587"/>
      <c r="U204" s="587" t="s">
        <v>482</v>
      </c>
      <c r="V204" s="587" t="s">
        <v>482</v>
      </c>
      <c r="W204" s="587" t="s">
        <v>482</v>
      </c>
      <c r="X204" s="587" t="s">
        <v>482</v>
      </c>
      <c r="Y204" s="587" t="s">
        <v>482</v>
      </c>
      <c r="Z204" s="503"/>
      <c r="AA204" s="503"/>
      <c r="AB204" s="587"/>
      <c r="AC204" s="587" t="s">
        <v>482</v>
      </c>
      <c r="AD204" s="587" t="s">
        <v>482</v>
      </c>
      <c r="AE204" s="587" t="s">
        <v>482</v>
      </c>
      <c r="AF204" s="587" t="s">
        <v>482</v>
      </c>
      <c r="AG204" s="587"/>
      <c r="AH204" s="693">
        <v>111</v>
      </c>
      <c r="AI204" s="694">
        <v>37</v>
      </c>
    </row>
    <row r="205" spans="1:35" ht="21.95" customHeight="1" x14ac:dyDescent="0.2">
      <c r="A205" s="512">
        <v>3350</v>
      </c>
      <c r="B205" s="54" t="s">
        <v>657</v>
      </c>
      <c r="C205" s="587" t="s">
        <v>482</v>
      </c>
      <c r="D205" s="587" t="s">
        <v>482</v>
      </c>
      <c r="E205" s="587"/>
      <c r="F205" s="587"/>
      <c r="G205" s="587" t="s">
        <v>482</v>
      </c>
      <c r="H205" s="587" t="s">
        <v>482</v>
      </c>
      <c r="I205" s="1516" t="s">
        <v>617</v>
      </c>
      <c r="J205" s="587" t="s">
        <v>482</v>
      </c>
      <c r="K205" s="587" t="s">
        <v>482</v>
      </c>
      <c r="L205" s="587"/>
      <c r="M205" s="587"/>
      <c r="N205" s="587" t="s">
        <v>482</v>
      </c>
      <c r="O205" s="587" t="s">
        <v>482</v>
      </c>
      <c r="P205" s="587" t="s">
        <v>482</v>
      </c>
      <c r="Q205" s="587" t="s">
        <v>482</v>
      </c>
      <c r="R205" s="587" t="s">
        <v>482</v>
      </c>
      <c r="S205" s="587"/>
      <c r="T205" s="587"/>
      <c r="U205" s="587" t="s">
        <v>482</v>
      </c>
      <c r="V205" s="587" t="s">
        <v>482</v>
      </c>
      <c r="W205" s="587" t="s">
        <v>482</v>
      </c>
      <c r="X205" s="587" t="s">
        <v>482</v>
      </c>
      <c r="Y205" s="587" t="s">
        <v>482</v>
      </c>
      <c r="Z205" s="503"/>
      <c r="AA205" s="503"/>
      <c r="AB205" s="587"/>
      <c r="AC205" s="587" t="s">
        <v>482</v>
      </c>
      <c r="AD205" s="1571" t="s">
        <v>482</v>
      </c>
      <c r="AE205" s="1571" t="s">
        <v>482</v>
      </c>
      <c r="AF205" s="587" t="s">
        <v>482</v>
      </c>
      <c r="AG205" s="587"/>
      <c r="AH205" s="693">
        <v>37</v>
      </c>
      <c r="AI205" s="694">
        <v>37</v>
      </c>
    </row>
    <row r="206" spans="1:35" ht="21.95" customHeight="1" thickBot="1" x14ac:dyDescent="0.25">
      <c r="A206" s="524">
        <v>3701</v>
      </c>
      <c r="B206" s="152" t="s">
        <v>658</v>
      </c>
      <c r="C206" s="587" t="s">
        <v>482</v>
      </c>
      <c r="D206" s="587" t="s">
        <v>482</v>
      </c>
      <c r="E206" s="587"/>
      <c r="F206" s="587"/>
      <c r="G206" s="587" t="s">
        <v>482</v>
      </c>
      <c r="H206" s="587" t="s">
        <v>482</v>
      </c>
      <c r="I206" s="587" t="s">
        <v>482</v>
      </c>
      <c r="J206" s="587" t="s">
        <v>482</v>
      </c>
      <c r="K206" s="587" t="s">
        <v>482</v>
      </c>
      <c r="L206" s="587"/>
      <c r="M206" s="587"/>
      <c r="O206" s="587" t="s">
        <v>482</v>
      </c>
      <c r="P206" s="587" t="s">
        <v>482</v>
      </c>
      <c r="Q206" s="587" t="s">
        <v>482</v>
      </c>
      <c r="R206" s="587" t="s">
        <v>482</v>
      </c>
      <c r="S206" s="587"/>
      <c r="T206" s="587"/>
      <c r="U206" s="587" t="s">
        <v>482</v>
      </c>
      <c r="V206" s="587" t="s">
        <v>482</v>
      </c>
      <c r="W206" s="587" t="s">
        <v>482</v>
      </c>
      <c r="X206" s="587" t="s">
        <v>482</v>
      </c>
      <c r="Y206" s="587" t="s">
        <v>482</v>
      </c>
      <c r="Z206" s="503"/>
      <c r="AA206" s="503"/>
      <c r="AB206" s="587"/>
      <c r="AC206" s="587" t="s">
        <v>482</v>
      </c>
      <c r="AD206" s="587" t="s">
        <v>482</v>
      </c>
      <c r="AE206" s="587" t="s">
        <v>482</v>
      </c>
      <c r="AF206" s="587" t="s">
        <v>482</v>
      </c>
      <c r="AG206" s="587"/>
      <c r="AH206" s="705">
        <v>60</v>
      </c>
      <c r="AI206" s="706">
        <v>23</v>
      </c>
    </row>
    <row r="207" spans="1:35" ht="25.5" customHeight="1" thickBot="1" x14ac:dyDescent="0.25">
      <c r="A207" s="1" t="s">
        <v>683</v>
      </c>
      <c r="N207" s="573"/>
    </row>
    <row r="208" spans="1:35" ht="21" customHeight="1" x14ac:dyDescent="0.2">
      <c r="A208" s="1"/>
      <c r="B208" s="200" t="s">
        <v>604</v>
      </c>
      <c r="C208" s="7"/>
      <c r="D208" s="530" t="s">
        <v>2</v>
      </c>
      <c r="E208" s="51"/>
      <c r="F208" s="573"/>
      <c r="G208" s="7"/>
      <c r="H208" s="530" t="s">
        <v>3</v>
      </c>
      <c r="I208" s="51"/>
      <c r="J208" s="573"/>
      <c r="K208" s="7"/>
      <c r="L208" s="530" t="s">
        <v>4</v>
      </c>
      <c r="M208" s="51"/>
      <c r="N208" s="580"/>
      <c r="O208" s="7"/>
      <c r="P208" s="530" t="s">
        <v>5</v>
      </c>
      <c r="Q208" s="51"/>
      <c r="R208" s="573"/>
      <c r="S208" s="7"/>
      <c r="T208" s="530" t="s">
        <v>6</v>
      </c>
      <c r="U208" s="51"/>
      <c r="V208" s="573"/>
      <c r="W208" s="7"/>
      <c r="X208" s="530" t="s">
        <v>7</v>
      </c>
      <c r="Y208" s="51"/>
      <c r="Z208" s="573"/>
      <c r="AA208" s="7"/>
      <c r="AB208" s="530" t="s">
        <v>8</v>
      </c>
      <c r="AC208" s="51"/>
      <c r="AD208" s="51"/>
      <c r="AE208" s="424" t="s">
        <v>10</v>
      </c>
      <c r="AF208" s="51"/>
      <c r="AG208" s="51"/>
      <c r="AH208" s="51"/>
      <c r="AI208" s="531"/>
    </row>
    <row r="209" spans="1:35" ht="21" customHeight="1" x14ac:dyDescent="0.2">
      <c r="A209" s="1"/>
      <c r="B209" s="9"/>
      <c r="C209" s="14"/>
      <c r="D209" s="659"/>
      <c r="E209" s="55"/>
      <c r="F209" s="580"/>
      <c r="G209" s="14"/>
      <c r="H209" s="659"/>
      <c r="I209" s="55"/>
      <c r="J209" s="580"/>
      <c r="K209" s="14"/>
      <c r="L209" s="659"/>
      <c r="M209" s="55"/>
      <c r="N209" s="612"/>
      <c r="O209" s="14"/>
      <c r="P209" s="659"/>
      <c r="Q209" s="55"/>
      <c r="R209" s="580"/>
      <c r="S209" s="14"/>
      <c r="T209" s="659"/>
      <c r="U209" s="55"/>
      <c r="V209" s="580"/>
      <c r="W209" s="14"/>
      <c r="X209" s="659"/>
      <c r="Y209" s="55"/>
      <c r="Z209" s="580"/>
      <c r="AA209" s="14"/>
      <c r="AB209" s="659"/>
      <c r="AC209" s="55"/>
      <c r="AD209" s="55"/>
      <c r="AE209" s="660"/>
      <c r="AF209" s="55"/>
      <c r="AG209" s="55"/>
      <c r="AH209" s="55"/>
      <c r="AI209" s="661"/>
    </row>
    <row r="210" spans="1:35" ht="21" customHeight="1" thickBot="1" x14ac:dyDescent="0.25">
      <c r="B210" s="662"/>
      <c r="C210" s="121"/>
      <c r="D210" s="156"/>
      <c r="E210" s="156"/>
      <c r="F210" s="612"/>
      <c r="G210" s="121"/>
      <c r="H210" s="156"/>
      <c r="I210" s="156"/>
      <c r="J210" s="612"/>
      <c r="K210" s="121"/>
      <c r="L210" s="156"/>
      <c r="M210" s="156"/>
      <c r="N210" s="619"/>
      <c r="O210" s="121"/>
      <c r="P210" s="156"/>
      <c r="Q210" s="156"/>
      <c r="R210" s="612"/>
      <c r="S210" s="121"/>
      <c r="T210" s="156"/>
      <c r="U210" s="156"/>
      <c r="V210" s="612"/>
      <c r="W210" s="121"/>
      <c r="X210" s="156"/>
      <c r="Y210" s="156"/>
      <c r="Z210" s="612"/>
      <c r="AA210" s="611"/>
      <c r="AB210" s="156"/>
      <c r="AC210" s="156"/>
      <c r="AD210" s="613"/>
      <c r="AE210" s="663"/>
      <c r="AF210" s="156"/>
      <c r="AG210" s="156" t="s">
        <v>28</v>
      </c>
      <c r="AH210" s="613"/>
      <c r="AI210" s="489"/>
    </row>
    <row r="211" spans="1:35" ht="21" customHeight="1" thickBot="1" x14ac:dyDescent="0.25">
      <c r="A211" s="1"/>
      <c r="B211" s="47"/>
      <c r="C211" s="618"/>
      <c r="D211" s="53"/>
      <c r="E211" s="53"/>
      <c r="F211" s="619"/>
      <c r="G211" s="618"/>
      <c r="H211" s="53"/>
      <c r="I211" s="53"/>
      <c r="J211" s="619"/>
      <c r="K211" s="618"/>
      <c r="L211" s="53"/>
      <c r="M211" s="53"/>
      <c r="N211" s="353"/>
      <c r="O211" s="618"/>
      <c r="P211" s="53"/>
      <c r="Q211" s="53"/>
      <c r="R211" s="619"/>
      <c r="S211" s="618"/>
      <c r="T211" s="53"/>
      <c r="U211" s="53"/>
      <c r="V211" s="619"/>
      <c r="W211" s="57"/>
      <c r="X211" s="53"/>
      <c r="Y211" s="53"/>
      <c r="Z211" s="619"/>
      <c r="AA211" s="57"/>
      <c r="AB211" s="53"/>
      <c r="AC211" s="53"/>
      <c r="AD211" s="620"/>
      <c r="AE211" s="57"/>
      <c r="AF211" s="53"/>
      <c r="AG211" s="53"/>
      <c r="AH211" s="620"/>
      <c r="AI211" s="544"/>
    </row>
    <row r="212" spans="1:35" ht="33" customHeight="1" thickBot="1" x14ac:dyDescent="0.25">
      <c r="A212" s="1"/>
      <c r="B212" s="72"/>
      <c r="C212" s="311"/>
      <c r="F212" s="353"/>
      <c r="G212" s="311"/>
      <c r="J212" s="353"/>
      <c r="K212" s="311"/>
      <c r="N212" s="177"/>
      <c r="O212" s="311"/>
      <c r="R212" s="353"/>
      <c r="S212" s="311"/>
      <c r="V212" s="353"/>
      <c r="W212" s="353"/>
      <c r="Z212" s="353"/>
      <c r="AA212" s="353"/>
      <c r="AD212" s="353"/>
      <c r="AE212" s="353"/>
      <c r="AH212" s="353"/>
    </row>
    <row r="213" spans="1:35" ht="21" customHeight="1" x14ac:dyDescent="0.2">
      <c r="A213" s="585" t="s">
        <v>468</v>
      </c>
      <c r="B213" s="296" t="s">
        <v>469</v>
      </c>
      <c r="C213" s="177">
        <v>1</v>
      </c>
      <c r="D213" s="177">
        <v>2</v>
      </c>
      <c r="E213" s="497">
        <v>3</v>
      </c>
      <c r="F213" s="497">
        <v>4</v>
      </c>
      <c r="G213" s="177">
        <v>5</v>
      </c>
      <c r="H213" s="177">
        <v>6</v>
      </c>
      <c r="I213" s="177">
        <v>7</v>
      </c>
      <c r="J213" s="177">
        <v>8</v>
      </c>
      <c r="K213" s="177">
        <v>9</v>
      </c>
      <c r="L213" s="497">
        <v>10</v>
      </c>
      <c r="M213" s="497">
        <v>11</v>
      </c>
      <c r="N213" s="553">
        <v>12</v>
      </c>
      <c r="O213" s="177">
        <v>13</v>
      </c>
      <c r="P213" s="177">
        <v>14</v>
      </c>
      <c r="Q213" s="177">
        <v>15</v>
      </c>
      <c r="R213" s="177">
        <v>16</v>
      </c>
      <c r="S213" s="497">
        <v>17</v>
      </c>
      <c r="T213" s="497">
        <v>18</v>
      </c>
      <c r="U213" s="177">
        <v>19</v>
      </c>
      <c r="V213" s="177">
        <v>20</v>
      </c>
      <c r="W213" s="177">
        <v>21</v>
      </c>
      <c r="X213" s="177">
        <v>22</v>
      </c>
      <c r="Y213" s="177">
        <v>23</v>
      </c>
      <c r="Z213" s="497">
        <v>24</v>
      </c>
      <c r="AA213" s="497">
        <v>25</v>
      </c>
      <c r="AB213" s="497">
        <v>26</v>
      </c>
      <c r="AC213" s="177">
        <v>27</v>
      </c>
      <c r="AD213" s="177">
        <v>28</v>
      </c>
      <c r="AE213" s="177">
        <v>29</v>
      </c>
      <c r="AF213" s="177">
        <v>30</v>
      </c>
      <c r="AG213" s="497">
        <v>31</v>
      </c>
      <c r="AH213" s="499" t="s">
        <v>470</v>
      </c>
      <c r="AI213" s="500" t="s">
        <v>471</v>
      </c>
    </row>
    <row r="214" spans="1:35" ht="21" customHeight="1" x14ac:dyDescent="0.2">
      <c r="A214" s="441"/>
      <c r="B214" s="673" t="s">
        <v>661</v>
      </c>
      <c r="C214" s="587" t="s">
        <v>482</v>
      </c>
      <c r="D214" s="587" t="s">
        <v>482</v>
      </c>
      <c r="E214" s="587"/>
      <c r="F214" s="587"/>
      <c r="G214" s="587" t="s">
        <v>482</v>
      </c>
      <c r="H214" s="587" t="s">
        <v>482</v>
      </c>
      <c r="I214" s="587" t="s">
        <v>482</v>
      </c>
      <c r="J214" s="587" t="s">
        <v>482</v>
      </c>
      <c r="K214" s="587" t="s">
        <v>482</v>
      </c>
      <c r="L214" s="587"/>
      <c r="M214" s="587"/>
      <c r="N214" s="587" t="s">
        <v>482</v>
      </c>
      <c r="O214" s="587" t="s">
        <v>482</v>
      </c>
      <c r="P214" s="587" t="s">
        <v>482</v>
      </c>
      <c r="Q214" s="587" t="s">
        <v>482</v>
      </c>
      <c r="R214" s="587" t="s">
        <v>482</v>
      </c>
      <c r="S214" s="587"/>
      <c r="T214" s="587"/>
      <c r="U214" s="587" t="s">
        <v>482</v>
      </c>
      <c r="V214" s="587" t="s">
        <v>482</v>
      </c>
      <c r="W214" s="587" t="s">
        <v>482</v>
      </c>
      <c r="X214" s="587" t="s">
        <v>482</v>
      </c>
      <c r="Y214" s="587" t="s">
        <v>482</v>
      </c>
      <c r="Z214" s="503"/>
      <c r="AA214" s="503"/>
      <c r="AB214" s="587"/>
      <c r="AC214" s="587" t="s">
        <v>482</v>
      </c>
      <c r="AD214" s="587" t="s">
        <v>482</v>
      </c>
      <c r="AE214" s="587" t="s">
        <v>482</v>
      </c>
      <c r="AF214" s="587" t="s">
        <v>482</v>
      </c>
      <c r="AG214" s="587"/>
      <c r="AH214" s="693">
        <v>88</v>
      </c>
      <c r="AI214" s="694">
        <v>37</v>
      </c>
    </row>
    <row r="215" spans="1:35" ht="21" customHeight="1" x14ac:dyDescent="0.2">
      <c r="A215" s="441"/>
      <c r="B215" s="673" t="s">
        <v>662</v>
      </c>
      <c r="C215" s="587" t="s">
        <v>482</v>
      </c>
      <c r="D215" s="587" t="s">
        <v>482</v>
      </c>
      <c r="E215" s="587"/>
      <c r="F215" s="587"/>
      <c r="G215" s="587" t="s">
        <v>482</v>
      </c>
      <c r="H215" s="587" t="s">
        <v>482</v>
      </c>
      <c r="I215" s="587" t="s">
        <v>482</v>
      </c>
      <c r="J215" s="587" t="s">
        <v>482</v>
      </c>
      <c r="K215" s="587" t="s">
        <v>482</v>
      </c>
      <c r="L215" s="587"/>
      <c r="M215" s="587"/>
      <c r="N215" s="587" t="s">
        <v>482</v>
      </c>
      <c r="O215" s="587" t="s">
        <v>482</v>
      </c>
      <c r="P215" s="587" t="s">
        <v>482</v>
      </c>
      <c r="Q215" s="587" t="s">
        <v>482</v>
      </c>
      <c r="R215" s="587" t="s">
        <v>482</v>
      </c>
      <c r="S215" s="587"/>
      <c r="T215" s="587"/>
      <c r="U215" s="587" t="s">
        <v>482</v>
      </c>
      <c r="V215" s="587" t="s">
        <v>482</v>
      </c>
      <c r="W215" s="587" t="s">
        <v>482</v>
      </c>
      <c r="X215" s="587" t="s">
        <v>482</v>
      </c>
      <c r="Y215" s="587" t="s">
        <v>482</v>
      </c>
      <c r="Z215" s="503"/>
      <c r="AA215" s="503"/>
      <c r="AB215" s="587"/>
      <c r="AC215" s="587" t="s">
        <v>482</v>
      </c>
      <c r="AD215" s="1544" t="s">
        <v>482</v>
      </c>
      <c r="AE215" s="1544" t="s">
        <v>482</v>
      </c>
      <c r="AF215" s="587" t="s">
        <v>482</v>
      </c>
      <c r="AG215" s="587"/>
      <c r="AH215" s="693">
        <v>83</v>
      </c>
      <c r="AI215" s="694">
        <v>37</v>
      </c>
    </row>
    <row r="216" spans="1:35" ht="21" customHeight="1" x14ac:dyDescent="0.2">
      <c r="A216" s="441"/>
      <c r="B216" s="673" t="s">
        <v>663</v>
      </c>
      <c r="C216" s="587" t="s">
        <v>482</v>
      </c>
      <c r="D216" s="587" t="s">
        <v>482</v>
      </c>
      <c r="E216" s="587"/>
      <c r="F216" s="587"/>
      <c r="G216" s="587" t="s">
        <v>482</v>
      </c>
      <c r="H216" s="587" t="s">
        <v>482</v>
      </c>
      <c r="I216" s="587" t="s">
        <v>482</v>
      </c>
      <c r="J216" s="587" t="s">
        <v>482</v>
      </c>
      <c r="K216" s="587" t="s">
        <v>482</v>
      </c>
      <c r="L216" s="587"/>
      <c r="M216" s="587"/>
      <c r="N216" s="587" t="s">
        <v>482</v>
      </c>
      <c r="O216" s="587" t="s">
        <v>482</v>
      </c>
      <c r="P216" s="587" t="s">
        <v>482</v>
      </c>
      <c r="Q216" s="587" t="s">
        <v>482</v>
      </c>
      <c r="R216" s="587" t="s">
        <v>482</v>
      </c>
      <c r="S216" s="587"/>
      <c r="T216" s="587"/>
      <c r="U216" s="587" t="s">
        <v>482</v>
      </c>
      <c r="V216" s="587" t="s">
        <v>482</v>
      </c>
      <c r="W216" s="587" t="s">
        <v>482</v>
      </c>
      <c r="X216" s="587" t="s">
        <v>482</v>
      </c>
      <c r="Y216" s="587" t="s">
        <v>482</v>
      </c>
      <c r="Z216" s="503"/>
      <c r="AA216" s="503"/>
      <c r="AB216" s="587"/>
      <c r="AC216" s="587" t="s">
        <v>482</v>
      </c>
      <c r="AD216" s="1548" t="s">
        <v>482</v>
      </c>
      <c r="AE216" s="1548" t="s">
        <v>482</v>
      </c>
      <c r="AF216" s="1548" t="s">
        <v>482</v>
      </c>
      <c r="AG216" s="587"/>
      <c r="AH216" s="693">
        <v>35</v>
      </c>
      <c r="AI216" s="694">
        <v>23</v>
      </c>
    </row>
    <row r="217" spans="1:35" ht="21" customHeight="1" x14ac:dyDescent="0.2">
      <c r="A217" s="441"/>
      <c r="B217" s="673" t="s">
        <v>664</v>
      </c>
      <c r="C217" s="587" t="s">
        <v>482</v>
      </c>
      <c r="D217" s="587" t="s">
        <v>482</v>
      </c>
      <c r="E217" s="587"/>
      <c r="F217" s="587"/>
      <c r="G217" s="1516" t="s">
        <v>482</v>
      </c>
      <c r="H217" s="1516" t="s">
        <v>482</v>
      </c>
      <c r="I217" s="1516" t="s">
        <v>482</v>
      </c>
      <c r="J217" s="1516" t="s">
        <v>482</v>
      </c>
      <c r="K217" s="1516" t="s">
        <v>617</v>
      </c>
      <c r="L217" s="587"/>
      <c r="M217" s="587"/>
      <c r="N217" s="587" t="s">
        <v>482</v>
      </c>
      <c r="O217" s="587" t="s">
        <v>482</v>
      </c>
      <c r="P217" s="587" t="s">
        <v>482</v>
      </c>
      <c r="Q217" s="587" t="s">
        <v>482</v>
      </c>
      <c r="R217" s="587" t="s">
        <v>482</v>
      </c>
      <c r="S217" s="587"/>
      <c r="T217" s="587"/>
      <c r="U217" s="587" t="s">
        <v>482</v>
      </c>
      <c r="V217" s="587" t="s">
        <v>482</v>
      </c>
      <c r="W217" s="587" t="s">
        <v>482</v>
      </c>
      <c r="X217" s="587" t="s">
        <v>482</v>
      </c>
      <c r="Y217" s="587" t="s">
        <v>482</v>
      </c>
      <c r="Z217" s="503"/>
      <c r="AA217" s="503"/>
      <c r="AB217" s="587"/>
      <c r="AC217" s="587" t="s">
        <v>482</v>
      </c>
      <c r="AD217" s="1548" t="s">
        <v>482</v>
      </c>
      <c r="AE217" s="1548" t="s">
        <v>482</v>
      </c>
      <c r="AF217" s="1548" t="s">
        <v>482</v>
      </c>
      <c r="AG217" s="587"/>
      <c r="AH217" s="693">
        <v>51</v>
      </c>
      <c r="AI217" s="694">
        <v>31</v>
      </c>
    </row>
    <row r="218" spans="1:35" ht="21" customHeight="1" x14ac:dyDescent="0.2">
      <c r="A218" s="441"/>
      <c r="B218" s="673" t="s">
        <v>665</v>
      </c>
      <c r="C218" s="587" t="s">
        <v>482</v>
      </c>
      <c r="D218" s="587" t="s">
        <v>482</v>
      </c>
      <c r="E218" s="587"/>
      <c r="F218" s="587"/>
      <c r="G218" s="587" t="s">
        <v>482</v>
      </c>
      <c r="H218" s="587" t="s">
        <v>482</v>
      </c>
      <c r="I218" s="587" t="s">
        <v>482</v>
      </c>
      <c r="J218" s="587" t="s">
        <v>482</v>
      </c>
      <c r="K218" s="587" t="s">
        <v>482</v>
      </c>
      <c r="L218" s="587"/>
      <c r="M218" s="587"/>
      <c r="N218" s="587" t="s">
        <v>482</v>
      </c>
      <c r="O218" s="587" t="s">
        <v>482</v>
      </c>
      <c r="P218" s="587" t="s">
        <v>482</v>
      </c>
      <c r="Q218" s="587" t="s">
        <v>482</v>
      </c>
      <c r="R218" s="587" t="s">
        <v>482</v>
      </c>
      <c r="S218" s="587"/>
      <c r="T218" s="587"/>
      <c r="U218" s="587" t="s">
        <v>482</v>
      </c>
      <c r="V218" s="587" t="s">
        <v>482</v>
      </c>
      <c r="W218" s="587" t="s">
        <v>482</v>
      </c>
      <c r="X218" s="587" t="s">
        <v>482</v>
      </c>
      <c r="Y218" s="587" t="s">
        <v>482</v>
      </c>
      <c r="Z218" s="503"/>
      <c r="AA218" s="503"/>
      <c r="AB218" s="587"/>
      <c r="AC218" s="587" t="s">
        <v>482</v>
      </c>
      <c r="AD218" s="587" t="s">
        <v>482</v>
      </c>
      <c r="AE218" s="587" t="s">
        <v>482</v>
      </c>
      <c r="AF218" s="587" t="s">
        <v>482</v>
      </c>
      <c r="AG218" s="587"/>
      <c r="AH218" s="693">
        <v>37</v>
      </c>
      <c r="AI218" s="694">
        <v>37</v>
      </c>
    </row>
    <row r="219" spans="1:35" ht="21" customHeight="1" x14ac:dyDescent="0.2">
      <c r="A219" s="441"/>
      <c r="B219" s="673" t="s">
        <v>666</v>
      </c>
      <c r="C219" s="587" t="s">
        <v>482</v>
      </c>
      <c r="D219" s="587" t="s">
        <v>482</v>
      </c>
      <c r="E219" s="587"/>
      <c r="F219" s="587"/>
      <c r="G219" s="587" t="s">
        <v>482</v>
      </c>
      <c r="H219" s="587" t="s">
        <v>482</v>
      </c>
      <c r="I219" s="587" t="s">
        <v>482</v>
      </c>
      <c r="J219" s="587" t="s">
        <v>482</v>
      </c>
      <c r="K219" s="587" t="s">
        <v>482</v>
      </c>
      <c r="L219" s="587"/>
      <c r="M219" s="587"/>
      <c r="N219" s="587" t="s">
        <v>482</v>
      </c>
      <c r="O219" s="587" t="s">
        <v>482</v>
      </c>
      <c r="P219" s="587" t="s">
        <v>482</v>
      </c>
      <c r="Q219" s="587" t="s">
        <v>482</v>
      </c>
      <c r="R219" s="587" t="s">
        <v>482</v>
      </c>
      <c r="S219" s="587"/>
      <c r="T219" s="587"/>
      <c r="U219" s="587" t="s">
        <v>482</v>
      </c>
      <c r="V219" s="587" t="s">
        <v>482</v>
      </c>
      <c r="W219" s="587" t="s">
        <v>482</v>
      </c>
      <c r="X219" s="587" t="s">
        <v>482</v>
      </c>
      <c r="Y219" s="587" t="s">
        <v>482</v>
      </c>
      <c r="Z219" s="503"/>
      <c r="AA219" s="503"/>
      <c r="AB219" s="587"/>
      <c r="AC219" s="587" t="s">
        <v>482</v>
      </c>
      <c r="AD219" s="1621" t="s">
        <v>552</v>
      </c>
      <c r="AE219" s="1621" t="s">
        <v>552</v>
      </c>
      <c r="AF219" s="587" t="s">
        <v>482</v>
      </c>
      <c r="AG219" s="587"/>
      <c r="AH219" s="693">
        <v>37</v>
      </c>
      <c r="AI219" s="694">
        <v>22</v>
      </c>
    </row>
    <row r="220" spans="1:35" ht="21" customHeight="1" x14ac:dyDescent="0.2">
      <c r="A220" s="441"/>
      <c r="B220" s="673" t="s">
        <v>667</v>
      </c>
      <c r="C220" s="1516" t="s">
        <v>482</v>
      </c>
      <c r="D220" s="1516" t="s">
        <v>617</v>
      </c>
      <c r="E220" s="587"/>
      <c r="F220" s="587"/>
      <c r="G220" s="587" t="s">
        <v>482</v>
      </c>
      <c r="H220" s="587" t="s">
        <v>482</v>
      </c>
      <c r="I220" s="587" t="s">
        <v>482</v>
      </c>
      <c r="J220" s="587" t="s">
        <v>482</v>
      </c>
      <c r="K220" s="587" t="s">
        <v>482</v>
      </c>
      <c r="L220" s="587"/>
      <c r="M220" s="587"/>
      <c r="N220" s="587" t="s">
        <v>482</v>
      </c>
      <c r="O220" s="587" t="s">
        <v>482</v>
      </c>
      <c r="P220" s="587" t="s">
        <v>482</v>
      </c>
      <c r="Q220" s="587" t="s">
        <v>482</v>
      </c>
      <c r="R220" s="587" t="s">
        <v>482</v>
      </c>
      <c r="S220" s="587"/>
      <c r="T220" s="587"/>
      <c r="U220" s="587" t="s">
        <v>482</v>
      </c>
      <c r="V220" s="587" t="s">
        <v>482</v>
      </c>
      <c r="W220" s="587" t="s">
        <v>482</v>
      </c>
      <c r="X220" s="587" t="s">
        <v>482</v>
      </c>
      <c r="Y220" s="587" t="s">
        <v>482</v>
      </c>
      <c r="Z220" s="503"/>
      <c r="AA220" s="503"/>
      <c r="AB220" s="587"/>
      <c r="AC220" s="587" t="s">
        <v>482</v>
      </c>
      <c r="AD220" s="587" t="s">
        <v>482</v>
      </c>
      <c r="AE220" s="587" t="s">
        <v>482</v>
      </c>
      <c r="AF220" s="587" t="s">
        <v>482</v>
      </c>
      <c r="AG220" s="587"/>
      <c r="AH220" s="693">
        <v>26</v>
      </c>
      <c r="AI220" s="694">
        <v>37</v>
      </c>
    </row>
    <row r="221" spans="1:35" ht="21" customHeight="1" x14ac:dyDescent="0.2">
      <c r="A221" s="441"/>
      <c r="B221" s="673" t="s">
        <v>668</v>
      </c>
      <c r="C221" s="587" t="s">
        <v>482</v>
      </c>
      <c r="D221" s="587" t="s">
        <v>482</v>
      </c>
      <c r="E221" s="587"/>
      <c r="F221" s="587"/>
      <c r="G221" s="587" t="s">
        <v>482</v>
      </c>
      <c r="H221" s="587" t="s">
        <v>482</v>
      </c>
      <c r="I221" s="587" t="s">
        <v>482</v>
      </c>
      <c r="J221" s="587" t="s">
        <v>482</v>
      </c>
      <c r="K221" s="587" t="s">
        <v>482</v>
      </c>
      <c r="L221" s="587"/>
      <c r="M221" s="587"/>
      <c r="N221" s="587" t="s">
        <v>482</v>
      </c>
      <c r="O221" s="587" t="s">
        <v>482</v>
      </c>
      <c r="P221" s="587" t="s">
        <v>482</v>
      </c>
      <c r="Q221" s="587" t="s">
        <v>482</v>
      </c>
      <c r="R221" s="587" t="s">
        <v>482</v>
      </c>
      <c r="S221" s="587"/>
      <c r="T221" s="587"/>
      <c r="U221" s="587" t="s">
        <v>482</v>
      </c>
      <c r="V221" s="587" t="s">
        <v>482</v>
      </c>
      <c r="W221" s="587" t="s">
        <v>482</v>
      </c>
      <c r="X221" s="587" t="s">
        <v>482</v>
      </c>
      <c r="Y221" s="587" t="s">
        <v>482</v>
      </c>
      <c r="Z221" s="503"/>
      <c r="AA221" s="503"/>
      <c r="AB221" s="587"/>
      <c r="AC221" s="587" t="s">
        <v>482</v>
      </c>
      <c r="AD221" s="1548" t="s">
        <v>482</v>
      </c>
      <c r="AE221" s="1548" t="s">
        <v>482</v>
      </c>
      <c r="AF221" s="1548" t="s">
        <v>482</v>
      </c>
      <c r="AG221" s="587"/>
      <c r="AH221" s="693">
        <v>185</v>
      </c>
      <c r="AI221" s="694">
        <v>37</v>
      </c>
    </row>
    <row r="222" spans="1:35" ht="21" customHeight="1" x14ac:dyDescent="0.2">
      <c r="A222" s="441"/>
      <c r="B222" s="673" t="s">
        <v>669</v>
      </c>
      <c r="C222" s="587" t="s">
        <v>482</v>
      </c>
      <c r="D222" s="587" t="s">
        <v>482</v>
      </c>
      <c r="E222" s="587"/>
      <c r="F222" s="587"/>
      <c r="G222" s="587" t="s">
        <v>482</v>
      </c>
      <c r="H222" s="587" t="s">
        <v>482</v>
      </c>
      <c r="I222" s="587" t="s">
        <v>482</v>
      </c>
      <c r="J222" s="587" t="s">
        <v>482</v>
      </c>
      <c r="K222" s="587" t="s">
        <v>482</v>
      </c>
      <c r="L222" s="587"/>
      <c r="M222" s="587"/>
      <c r="N222" s="587" t="s">
        <v>482</v>
      </c>
      <c r="O222" s="587" t="s">
        <v>482</v>
      </c>
      <c r="P222" s="587" t="s">
        <v>482</v>
      </c>
      <c r="Q222" s="587" t="s">
        <v>482</v>
      </c>
      <c r="R222" s="587" t="s">
        <v>482</v>
      </c>
      <c r="S222" s="587"/>
      <c r="T222" s="587"/>
      <c r="U222" s="587" t="s">
        <v>482</v>
      </c>
      <c r="V222" s="587" t="s">
        <v>482</v>
      </c>
      <c r="W222" s="587" t="s">
        <v>482</v>
      </c>
      <c r="X222" s="587" t="s">
        <v>482</v>
      </c>
      <c r="Y222" s="587" t="s">
        <v>482</v>
      </c>
      <c r="Z222" s="503"/>
      <c r="AA222" s="503"/>
      <c r="AB222" s="587"/>
      <c r="AC222" s="1548" t="s">
        <v>482</v>
      </c>
      <c r="AD222" s="1548" t="s">
        <v>482</v>
      </c>
      <c r="AE222" s="1548" t="s">
        <v>482</v>
      </c>
      <c r="AF222" s="1548" t="s">
        <v>482</v>
      </c>
      <c r="AG222" s="587"/>
      <c r="AH222" s="693">
        <v>75</v>
      </c>
      <c r="AI222" s="694">
        <v>37</v>
      </c>
    </row>
    <row r="223" spans="1:35" ht="21" customHeight="1" x14ac:dyDescent="0.2">
      <c r="A223" s="441"/>
      <c r="B223" s="673" t="s">
        <v>670</v>
      </c>
      <c r="C223" s="587" t="s">
        <v>482</v>
      </c>
      <c r="D223" s="587" t="s">
        <v>482</v>
      </c>
      <c r="E223" s="587"/>
      <c r="F223" s="587"/>
      <c r="G223" s="587" t="s">
        <v>482</v>
      </c>
      <c r="H223" s="587" t="s">
        <v>482</v>
      </c>
      <c r="I223" s="587" t="s">
        <v>482</v>
      </c>
      <c r="J223" s="587" t="s">
        <v>482</v>
      </c>
      <c r="K223" s="587" t="s">
        <v>482</v>
      </c>
      <c r="L223" s="587"/>
      <c r="M223" s="587"/>
      <c r="N223" s="587" t="s">
        <v>482</v>
      </c>
      <c r="O223" s="587" t="s">
        <v>482</v>
      </c>
      <c r="P223" s="587" t="s">
        <v>482</v>
      </c>
      <c r="Q223" s="587" t="s">
        <v>482</v>
      </c>
      <c r="R223" s="587" t="s">
        <v>482</v>
      </c>
      <c r="S223" s="587"/>
      <c r="T223" s="587"/>
      <c r="U223" s="587" t="s">
        <v>482</v>
      </c>
      <c r="V223" s="587" t="s">
        <v>482</v>
      </c>
      <c r="W223" s="587" t="s">
        <v>482</v>
      </c>
      <c r="X223" s="587" t="s">
        <v>482</v>
      </c>
      <c r="Y223" s="587" t="s">
        <v>482</v>
      </c>
      <c r="Z223" s="503"/>
      <c r="AA223" s="503"/>
      <c r="AB223" s="587"/>
      <c r="AC223" s="1548" t="s">
        <v>482</v>
      </c>
      <c r="AD223" s="1548" t="s">
        <v>482</v>
      </c>
      <c r="AE223" s="1548" t="s">
        <v>482</v>
      </c>
      <c r="AF223" s="1548" t="s">
        <v>482</v>
      </c>
      <c r="AG223" s="587"/>
      <c r="AH223" s="693">
        <v>8</v>
      </c>
      <c r="AI223" s="694">
        <v>37</v>
      </c>
    </row>
    <row r="224" spans="1:35" ht="21" customHeight="1" x14ac:dyDescent="0.2">
      <c r="A224" s="441"/>
      <c r="B224" s="673"/>
      <c r="C224" s="587" t="s">
        <v>482</v>
      </c>
      <c r="D224" s="587" t="s">
        <v>482</v>
      </c>
      <c r="E224" s="587"/>
      <c r="F224" s="587"/>
      <c r="G224" s="587" t="s">
        <v>482</v>
      </c>
      <c r="H224" s="587" t="s">
        <v>482</v>
      </c>
      <c r="I224" s="587" t="s">
        <v>482</v>
      </c>
      <c r="J224" s="587" t="s">
        <v>482</v>
      </c>
      <c r="K224" s="587" t="s">
        <v>482</v>
      </c>
      <c r="L224" s="587"/>
      <c r="M224" s="587"/>
      <c r="N224" s="587" t="s">
        <v>482</v>
      </c>
      <c r="O224" s="587" t="s">
        <v>482</v>
      </c>
      <c r="P224" s="587" t="s">
        <v>482</v>
      </c>
      <c r="Q224" s="587" t="s">
        <v>482</v>
      </c>
      <c r="R224" s="587" t="s">
        <v>482</v>
      </c>
      <c r="S224" s="587"/>
      <c r="T224" s="587"/>
      <c r="U224" s="587" t="s">
        <v>482</v>
      </c>
      <c r="V224" s="587" t="s">
        <v>482</v>
      </c>
      <c r="W224" s="587" t="s">
        <v>482</v>
      </c>
      <c r="X224" s="587" t="s">
        <v>482</v>
      </c>
      <c r="Y224" s="587" t="s">
        <v>482</v>
      </c>
      <c r="Z224" s="503"/>
      <c r="AA224" s="503"/>
      <c r="AB224" s="587"/>
      <c r="AC224" s="587" t="s">
        <v>482</v>
      </c>
      <c r="AD224" s="587" t="s">
        <v>482</v>
      </c>
      <c r="AE224" s="587" t="s">
        <v>482</v>
      </c>
      <c r="AF224" s="587" t="s">
        <v>482</v>
      </c>
      <c r="AG224" s="587"/>
      <c r="AH224" s="693"/>
      <c r="AI224" s="694"/>
    </row>
    <row r="225" spans="1:35" ht="21" customHeight="1" x14ac:dyDescent="0.2">
      <c r="A225" s="441"/>
      <c r="B225" s="152" t="s">
        <v>671</v>
      </c>
      <c r="C225" s="1516" t="s">
        <v>482</v>
      </c>
      <c r="D225" s="1516" t="s">
        <v>617</v>
      </c>
      <c r="E225" s="587"/>
      <c r="F225" s="587"/>
      <c r="G225" s="587" t="s">
        <v>482</v>
      </c>
      <c r="H225" s="587" t="s">
        <v>482</v>
      </c>
      <c r="I225" s="587" t="s">
        <v>482</v>
      </c>
      <c r="J225" s="587" t="s">
        <v>482</v>
      </c>
      <c r="K225" s="587" t="s">
        <v>482</v>
      </c>
      <c r="L225" s="587"/>
      <c r="M225" s="587"/>
      <c r="N225" s="587" t="s">
        <v>482</v>
      </c>
      <c r="O225" s="587" t="s">
        <v>482</v>
      </c>
      <c r="P225" s="587" t="s">
        <v>482</v>
      </c>
      <c r="Q225" s="587" t="s">
        <v>482</v>
      </c>
      <c r="R225" s="587" t="s">
        <v>482</v>
      </c>
      <c r="S225" s="587"/>
      <c r="T225" s="587"/>
      <c r="U225" s="587" t="s">
        <v>482</v>
      </c>
      <c r="V225" s="587" t="s">
        <v>482</v>
      </c>
      <c r="W225" s="587" t="s">
        <v>482</v>
      </c>
      <c r="X225" s="587" t="s">
        <v>482</v>
      </c>
      <c r="Y225" s="587" t="s">
        <v>482</v>
      </c>
      <c r="Z225" s="503"/>
      <c r="AA225" s="503"/>
      <c r="AB225" s="587"/>
      <c r="AC225" s="1548" t="s">
        <v>482</v>
      </c>
      <c r="AD225" s="1548" t="s">
        <v>482</v>
      </c>
      <c r="AE225" s="1548" t="s">
        <v>482</v>
      </c>
      <c r="AF225" s="1548" t="s">
        <v>482</v>
      </c>
      <c r="AG225" s="587"/>
      <c r="AH225" s="693">
        <v>1</v>
      </c>
      <c r="AI225" s="694">
        <v>37</v>
      </c>
    </row>
    <row r="226" spans="1:35" ht="21" customHeight="1" x14ac:dyDescent="0.2">
      <c r="A226" s="152"/>
      <c r="B226" s="152"/>
      <c r="C226" s="587" t="s">
        <v>482</v>
      </c>
      <c r="D226" s="587" t="s">
        <v>482</v>
      </c>
      <c r="E226" s="587"/>
      <c r="F226" s="587"/>
      <c r="G226" s="587" t="s">
        <v>482</v>
      </c>
      <c r="H226" s="587" t="s">
        <v>482</v>
      </c>
      <c r="I226" s="587" t="s">
        <v>482</v>
      </c>
      <c r="J226" s="587" t="s">
        <v>482</v>
      </c>
      <c r="K226" s="587" t="s">
        <v>482</v>
      </c>
      <c r="L226" s="587"/>
      <c r="M226" s="587"/>
      <c r="N226" s="587" t="s">
        <v>482</v>
      </c>
      <c r="O226" s="587" t="s">
        <v>482</v>
      </c>
      <c r="P226" s="587" t="s">
        <v>482</v>
      </c>
      <c r="Q226" s="587" t="s">
        <v>482</v>
      </c>
      <c r="R226" s="587" t="s">
        <v>482</v>
      </c>
      <c r="S226" s="587"/>
      <c r="T226" s="587"/>
      <c r="U226" s="587" t="s">
        <v>482</v>
      </c>
      <c r="V226" s="587" t="s">
        <v>482</v>
      </c>
      <c r="W226" s="587" t="s">
        <v>482</v>
      </c>
      <c r="X226" s="587" t="s">
        <v>482</v>
      </c>
      <c r="Y226" s="587" t="s">
        <v>482</v>
      </c>
      <c r="Z226" s="503"/>
      <c r="AA226" s="503"/>
      <c r="AB226" s="587"/>
      <c r="AC226" s="587" t="s">
        <v>482</v>
      </c>
      <c r="AD226" s="587" t="s">
        <v>482</v>
      </c>
      <c r="AE226" s="587" t="s">
        <v>482</v>
      </c>
      <c r="AF226" s="587" t="s">
        <v>482</v>
      </c>
      <c r="AG226" s="587"/>
      <c r="AH226" s="693"/>
      <c r="AI226" s="694"/>
    </row>
    <row r="227" spans="1:35" ht="21" customHeight="1" x14ac:dyDescent="0.2">
      <c r="A227" s="152"/>
      <c r="B227" s="152" t="s">
        <v>672</v>
      </c>
      <c r="C227" s="587" t="s">
        <v>482</v>
      </c>
      <c r="D227" s="587" t="s">
        <v>482</v>
      </c>
      <c r="E227" s="587"/>
      <c r="F227" s="587"/>
      <c r="G227" s="587" t="s">
        <v>482</v>
      </c>
      <c r="H227" s="587" t="s">
        <v>482</v>
      </c>
      <c r="I227" s="587" t="s">
        <v>482</v>
      </c>
      <c r="J227" s="587" t="s">
        <v>482</v>
      </c>
      <c r="K227" s="587" t="s">
        <v>482</v>
      </c>
      <c r="L227" s="587"/>
      <c r="M227" s="587"/>
      <c r="N227" s="587" t="s">
        <v>482</v>
      </c>
      <c r="O227" s="587" t="s">
        <v>482</v>
      </c>
      <c r="P227" s="587" t="s">
        <v>482</v>
      </c>
      <c r="Q227" s="587" t="s">
        <v>482</v>
      </c>
      <c r="R227" s="587" t="s">
        <v>482</v>
      </c>
      <c r="S227" s="587"/>
      <c r="T227" s="587"/>
      <c r="U227" s="587" t="s">
        <v>482</v>
      </c>
      <c r="V227" s="587" t="s">
        <v>482</v>
      </c>
      <c r="W227" s="587" t="s">
        <v>482</v>
      </c>
      <c r="X227" s="587" t="s">
        <v>482</v>
      </c>
      <c r="Y227" s="587" t="s">
        <v>482</v>
      </c>
      <c r="Z227" s="503"/>
      <c r="AA227" s="503"/>
      <c r="AB227" s="587"/>
      <c r="AC227" s="587" t="s">
        <v>482</v>
      </c>
      <c r="AD227" s="1621" t="s">
        <v>552</v>
      </c>
      <c r="AE227" s="1621" t="s">
        <v>552</v>
      </c>
      <c r="AF227" s="1621" t="s">
        <v>552</v>
      </c>
      <c r="AG227" s="587"/>
      <c r="AH227" s="693">
        <v>54</v>
      </c>
      <c r="AI227" s="694">
        <v>16</v>
      </c>
    </row>
    <row r="228" spans="1:35" ht="21" customHeight="1" x14ac:dyDescent="0.2">
      <c r="A228" s="152"/>
      <c r="B228" s="152" t="s">
        <v>673</v>
      </c>
      <c r="C228" s="587" t="s">
        <v>482</v>
      </c>
      <c r="D228" s="587" t="s">
        <v>482</v>
      </c>
      <c r="E228" s="587"/>
      <c r="F228" s="587"/>
      <c r="G228" s="587" t="s">
        <v>482</v>
      </c>
      <c r="H228" s="587" t="s">
        <v>482</v>
      </c>
      <c r="I228" s="587" t="s">
        <v>482</v>
      </c>
      <c r="J228" s="587" t="s">
        <v>482</v>
      </c>
      <c r="K228" s="587" t="s">
        <v>482</v>
      </c>
      <c r="L228" s="587"/>
      <c r="M228" s="587"/>
      <c r="N228" s="503"/>
      <c r="O228" s="587" t="s">
        <v>482</v>
      </c>
      <c r="P228" s="587" t="s">
        <v>482</v>
      </c>
      <c r="Q228" s="587" t="s">
        <v>482</v>
      </c>
      <c r="R228" s="587" t="s">
        <v>482</v>
      </c>
      <c r="S228" s="587"/>
      <c r="T228" s="587"/>
      <c r="U228" s="587" t="s">
        <v>482</v>
      </c>
      <c r="V228" s="587" t="s">
        <v>482</v>
      </c>
      <c r="W228" s="587" t="s">
        <v>482</v>
      </c>
      <c r="X228" s="587" t="s">
        <v>482</v>
      </c>
      <c r="Y228" s="587" t="s">
        <v>482</v>
      </c>
      <c r="Z228" s="503"/>
      <c r="AA228" s="503"/>
      <c r="AB228" s="587"/>
      <c r="AC228" s="587" t="s">
        <v>482</v>
      </c>
      <c r="AD228" s="587" t="s">
        <v>482</v>
      </c>
      <c r="AE228" s="587" t="s">
        <v>482</v>
      </c>
      <c r="AF228" s="587" t="s">
        <v>482</v>
      </c>
      <c r="AG228" s="587"/>
      <c r="AH228" s="693">
        <v>2</v>
      </c>
      <c r="AI228" s="694">
        <v>24</v>
      </c>
    </row>
    <row r="229" spans="1:35" ht="21" customHeight="1" x14ac:dyDescent="0.2">
      <c r="A229" s="152"/>
      <c r="B229" s="152"/>
      <c r="C229" s="503"/>
      <c r="D229" s="503"/>
      <c r="E229" s="503"/>
      <c r="F229" s="503"/>
      <c r="G229" s="503"/>
      <c r="H229" s="503"/>
      <c r="I229" s="503"/>
      <c r="J229" s="503"/>
      <c r="K229" s="503"/>
      <c r="L229" s="503"/>
      <c r="M229" s="503"/>
      <c r="N229" s="152"/>
      <c r="O229" s="503"/>
      <c r="P229" s="503"/>
      <c r="Q229" s="503"/>
      <c r="R229" s="503"/>
      <c r="S229" s="503"/>
      <c r="T229" s="503"/>
      <c r="U229" s="503"/>
      <c r="V229" s="503"/>
      <c r="W229" s="503"/>
      <c r="X229" s="503"/>
      <c r="Y229" s="503"/>
      <c r="Z229" s="503"/>
      <c r="AA229" s="503"/>
      <c r="AB229" s="503"/>
      <c r="AC229" s="503"/>
      <c r="AD229" s="503"/>
      <c r="AE229" s="503"/>
      <c r="AF229" s="503"/>
      <c r="AG229" s="695"/>
      <c r="AH229" s="693"/>
      <c r="AI229" s="694"/>
    </row>
    <row r="230" spans="1:35" ht="21" customHeight="1" x14ac:dyDescent="0.2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4"/>
      <c r="AH230" s="328"/>
      <c r="AI230" s="190"/>
    </row>
    <row r="231" spans="1:35" ht="21" customHeight="1" x14ac:dyDescent="0.2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4"/>
      <c r="AH231" s="328"/>
      <c r="AI231" s="190"/>
    </row>
    <row r="232" spans="1:35" ht="21" customHeight="1" thickBot="1" x14ac:dyDescent="0.25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4"/>
      <c r="AH232" s="330"/>
      <c r="AI232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1" max="16383" man="1"/>
  </rowBreak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12"/>
  <dimension ref="A1:AK232"/>
  <sheetViews>
    <sheetView topLeftCell="A94" zoomScale="68" zoomScaleNormal="68" workbookViewId="0">
      <selection activeCell="Y40" sqref="Y40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497">
        <v>1</v>
      </c>
      <c r="D10" s="177">
        <v>2</v>
      </c>
      <c r="E10" s="177">
        <v>3</v>
      </c>
      <c r="F10" s="177">
        <v>4</v>
      </c>
      <c r="G10" s="177">
        <v>5</v>
      </c>
      <c r="H10" s="177">
        <v>6</v>
      </c>
      <c r="I10" s="497">
        <v>7</v>
      </c>
      <c r="J10" s="497">
        <v>8</v>
      </c>
      <c r="K10" s="177">
        <v>9</v>
      </c>
      <c r="L10" s="177">
        <v>10</v>
      </c>
      <c r="M10" s="177">
        <v>11</v>
      </c>
      <c r="N10" s="177">
        <v>12</v>
      </c>
      <c r="O10" s="177">
        <v>13</v>
      </c>
      <c r="P10" s="497">
        <v>14</v>
      </c>
      <c r="Q10" s="497">
        <v>15</v>
      </c>
      <c r="R10" s="177">
        <v>16</v>
      </c>
      <c r="S10" s="177">
        <v>17</v>
      </c>
      <c r="T10" s="177">
        <v>18</v>
      </c>
      <c r="U10" s="177">
        <v>19</v>
      </c>
      <c r="V10" s="177">
        <v>20</v>
      </c>
      <c r="W10" s="497">
        <v>21</v>
      </c>
      <c r="X10" s="497">
        <v>22</v>
      </c>
      <c r="Y10" s="177">
        <v>23</v>
      </c>
      <c r="Z10" s="177">
        <v>24</v>
      </c>
      <c r="AA10" s="177">
        <v>25</v>
      </c>
      <c r="AB10" s="177">
        <v>26</v>
      </c>
      <c r="AC10" s="177">
        <v>27</v>
      </c>
      <c r="AD10" s="497">
        <v>28</v>
      </c>
      <c r="AE10" s="497">
        <v>29</v>
      </c>
      <c r="AF10" s="177">
        <v>30</v>
      </c>
      <c r="AG10" s="177">
        <v>31</v>
      </c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x14ac:dyDescent="0.2">
      <c r="A13" s="512">
        <v>8546</v>
      </c>
      <c r="B13" s="513" t="s">
        <v>473</v>
      </c>
      <c r="C13" s="514"/>
      <c r="D13" s="514">
        <v>2</v>
      </c>
      <c r="E13" s="514">
        <v>2</v>
      </c>
      <c r="F13" s="514">
        <v>2</v>
      </c>
      <c r="G13" s="514">
        <v>2</v>
      </c>
      <c r="H13" s="514">
        <v>2</v>
      </c>
      <c r="I13" s="1569" t="s">
        <v>474</v>
      </c>
      <c r="J13" s="1569" t="s">
        <v>474</v>
      </c>
      <c r="K13" s="514" t="s">
        <v>475</v>
      </c>
      <c r="L13" s="514" t="s">
        <v>475</v>
      </c>
      <c r="M13" s="514" t="s">
        <v>475</v>
      </c>
      <c r="N13" s="514" t="s">
        <v>475</v>
      </c>
      <c r="O13" s="514" t="s">
        <v>475</v>
      </c>
      <c r="P13" s="514"/>
      <c r="Q13" s="514"/>
      <c r="R13" s="514">
        <v>3</v>
      </c>
      <c r="S13" s="514">
        <v>3</v>
      </c>
      <c r="T13" s="514">
        <v>3</v>
      </c>
      <c r="U13" s="514">
        <v>3</v>
      </c>
      <c r="V13" s="514">
        <v>3</v>
      </c>
      <c r="W13" s="514"/>
      <c r="X13" s="514"/>
      <c r="Y13" s="514">
        <v>4</v>
      </c>
      <c r="Z13" s="514">
        <v>4</v>
      </c>
      <c r="AA13" s="514">
        <v>4</v>
      </c>
      <c r="AB13" s="514">
        <v>4</v>
      </c>
      <c r="AC13" s="514">
        <v>4</v>
      </c>
      <c r="AD13" s="514" t="s">
        <v>476</v>
      </c>
      <c r="AE13" s="514" t="s">
        <v>476</v>
      </c>
      <c r="AF13" s="514" t="s">
        <v>475</v>
      </c>
      <c r="AG13" s="514" t="s">
        <v>475</v>
      </c>
      <c r="AH13" s="505">
        <v>88</v>
      </c>
      <c r="AI13" s="506">
        <v>15</v>
      </c>
    </row>
    <row r="14" spans="1:35" ht="21.95" customHeight="1" x14ac:dyDescent="0.2">
      <c r="A14" s="501">
        <v>8546</v>
      </c>
      <c r="B14" s="346" t="s">
        <v>477</v>
      </c>
      <c r="C14" s="514" t="s">
        <v>476</v>
      </c>
      <c r="D14" s="514" t="s">
        <v>475</v>
      </c>
      <c r="E14" s="514" t="s">
        <v>475</v>
      </c>
      <c r="F14" s="514" t="s">
        <v>475</v>
      </c>
      <c r="G14" s="514" t="s">
        <v>475</v>
      </c>
      <c r="H14" s="514" t="s">
        <v>475</v>
      </c>
      <c r="I14" s="514"/>
      <c r="J14" s="514"/>
      <c r="K14" s="514">
        <v>1</v>
      </c>
      <c r="L14" s="514">
        <v>1</v>
      </c>
      <c r="M14" s="514">
        <v>1</v>
      </c>
      <c r="N14" s="514">
        <v>1</v>
      </c>
      <c r="O14" s="514">
        <v>1</v>
      </c>
      <c r="P14" s="514"/>
      <c r="Q14" s="514"/>
      <c r="R14" s="514">
        <v>2</v>
      </c>
      <c r="S14" s="514">
        <v>2</v>
      </c>
      <c r="T14" s="514">
        <v>2</v>
      </c>
      <c r="U14" s="514">
        <v>2</v>
      </c>
      <c r="V14" s="514">
        <v>2</v>
      </c>
      <c r="W14" s="514" t="s">
        <v>474</v>
      </c>
      <c r="X14" s="514" t="s">
        <v>474</v>
      </c>
      <c r="Y14" s="514" t="s">
        <v>475</v>
      </c>
      <c r="Z14" s="514" t="s">
        <v>475</v>
      </c>
      <c r="AA14" s="514" t="s">
        <v>475</v>
      </c>
      <c r="AB14" s="514" t="s">
        <v>475</v>
      </c>
      <c r="AC14" s="514" t="s">
        <v>475</v>
      </c>
      <c r="AD14" s="514"/>
      <c r="AE14" s="514"/>
      <c r="AF14" s="514">
        <v>3</v>
      </c>
      <c r="AG14" s="514">
        <v>3</v>
      </c>
      <c r="AH14" s="505">
        <v>83</v>
      </c>
      <c r="AI14" s="506">
        <v>37</v>
      </c>
    </row>
    <row r="15" spans="1:35" ht="21.95" customHeight="1" x14ac:dyDescent="0.2">
      <c r="A15" s="501">
        <v>8546</v>
      </c>
      <c r="B15" s="346" t="s">
        <v>174</v>
      </c>
      <c r="C15" s="514"/>
      <c r="D15" s="1103">
        <v>1</v>
      </c>
      <c r="E15" s="1103">
        <v>1</v>
      </c>
      <c r="F15" s="1103">
        <v>1</v>
      </c>
      <c r="G15" s="1103">
        <v>1</v>
      </c>
      <c r="H15" s="1103">
        <v>1</v>
      </c>
      <c r="I15" s="1456"/>
      <c r="J15" s="1456"/>
      <c r="K15" s="514">
        <v>2</v>
      </c>
      <c r="L15" s="514">
        <v>2</v>
      </c>
      <c r="M15" s="514">
        <v>2</v>
      </c>
      <c r="N15" s="514">
        <v>2</v>
      </c>
      <c r="O15" s="514">
        <v>2</v>
      </c>
      <c r="P15" s="514" t="s">
        <v>474</v>
      </c>
      <c r="Q15" s="514" t="s">
        <v>474</v>
      </c>
      <c r="R15" s="514" t="s">
        <v>475</v>
      </c>
      <c r="S15" s="514" t="s">
        <v>475</v>
      </c>
      <c r="T15" s="514" t="s">
        <v>475</v>
      </c>
      <c r="U15" s="514" t="s">
        <v>475</v>
      </c>
      <c r="V15" s="514" t="s">
        <v>475</v>
      </c>
      <c r="W15" s="514"/>
      <c r="X15" s="514"/>
      <c r="Y15" s="514">
        <v>3</v>
      </c>
      <c r="Z15" s="1534">
        <v>3</v>
      </c>
      <c r="AA15" s="1534">
        <v>3</v>
      </c>
      <c r="AB15" s="1534">
        <v>3</v>
      </c>
      <c r="AC15" s="1534" t="s">
        <v>685</v>
      </c>
      <c r="AD15" s="514"/>
      <c r="AE15" s="514"/>
      <c r="AF15" s="514">
        <v>4</v>
      </c>
      <c r="AG15" s="514">
        <v>4</v>
      </c>
      <c r="AH15" s="505">
        <v>21</v>
      </c>
      <c r="AI15" s="506">
        <v>37</v>
      </c>
    </row>
    <row r="16" spans="1:35" ht="21.95" customHeight="1" x14ac:dyDescent="0.2">
      <c r="A16" s="501">
        <v>8546</v>
      </c>
      <c r="B16" s="346" t="s">
        <v>478</v>
      </c>
      <c r="C16" s="514"/>
      <c r="D16" s="514">
        <v>3</v>
      </c>
      <c r="E16" s="514">
        <v>3</v>
      </c>
      <c r="F16" s="514">
        <v>3</v>
      </c>
      <c r="G16" s="1534">
        <v>3</v>
      </c>
      <c r="H16" s="1534" t="s">
        <v>685</v>
      </c>
      <c r="I16" s="514"/>
      <c r="J16" s="514"/>
      <c r="K16" s="514">
        <v>4</v>
      </c>
      <c r="L16" s="514">
        <v>4</v>
      </c>
      <c r="M16" s="514">
        <v>4</v>
      </c>
      <c r="N16" s="514">
        <v>4</v>
      </c>
      <c r="O16" s="514" t="s">
        <v>475</v>
      </c>
      <c r="P16" s="514" t="s">
        <v>476</v>
      </c>
      <c r="Q16" s="514" t="s">
        <v>476</v>
      </c>
      <c r="R16" s="514" t="s">
        <v>475</v>
      </c>
      <c r="S16" s="514" t="s">
        <v>475</v>
      </c>
      <c r="T16" s="514" t="s">
        <v>475</v>
      </c>
      <c r="U16" s="514" t="s">
        <v>475</v>
      </c>
      <c r="V16" s="514" t="s">
        <v>475</v>
      </c>
      <c r="W16" s="514"/>
      <c r="X16" s="514"/>
      <c r="Y16" s="514">
        <v>1</v>
      </c>
      <c r="Z16" s="514">
        <v>1</v>
      </c>
      <c r="AA16" s="514">
        <v>1</v>
      </c>
      <c r="AB16" s="514">
        <v>1</v>
      </c>
      <c r="AC16" s="514">
        <v>1</v>
      </c>
      <c r="AD16" s="514"/>
      <c r="AE16" s="514"/>
      <c r="AF16" s="514">
        <v>2</v>
      </c>
      <c r="AG16" s="514">
        <v>2</v>
      </c>
      <c r="AH16" s="505">
        <v>12</v>
      </c>
      <c r="AI16" s="506">
        <v>37</v>
      </c>
    </row>
    <row r="17" spans="1:37" ht="21.95" customHeight="1" x14ac:dyDescent="0.2">
      <c r="A17" s="501">
        <v>8546</v>
      </c>
      <c r="B17" s="346" t="s">
        <v>479</v>
      </c>
      <c r="C17" s="514" t="s">
        <v>474</v>
      </c>
      <c r="D17" s="514" t="s">
        <v>475</v>
      </c>
      <c r="E17" s="514" t="s">
        <v>475</v>
      </c>
      <c r="F17" s="514" t="s">
        <v>475</v>
      </c>
      <c r="G17" s="514" t="s">
        <v>475</v>
      </c>
      <c r="H17" s="514" t="s">
        <v>475</v>
      </c>
      <c r="I17" s="514"/>
      <c r="J17" s="514"/>
      <c r="K17" s="514">
        <v>3</v>
      </c>
      <c r="L17" s="514">
        <v>3</v>
      </c>
      <c r="M17" s="514">
        <v>3</v>
      </c>
      <c r="N17" s="514">
        <v>3</v>
      </c>
      <c r="O17" s="514">
        <v>3</v>
      </c>
      <c r="P17" s="514"/>
      <c r="Q17" s="514"/>
      <c r="R17" s="514">
        <v>4</v>
      </c>
      <c r="S17" s="514">
        <v>4</v>
      </c>
      <c r="T17" s="514">
        <v>4</v>
      </c>
      <c r="U17" s="514">
        <v>4</v>
      </c>
      <c r="V17" s="514">
        <v>4</v>
      </c>
      <c r="W17" s="514" t="s">
        <v>476</v>
      </c>
      <c r="X17" s="514" t="s">
        <v>476</v>
      </c>
      <c r="Y17" s="514" t="s">
        <v>475</v>
      </c>
      <c r="Z17" s="514" t="s">
        <v>475</v>
      </c>
      <c r="AA17" s="514" t="s">
        <v>475</v>
      </c>
      <c r="AB17" s="514" t="s">
        <v>475</v>
      </c>
      <c r="AC17" s="514" t="s">
        <v>475</v>
      </c>
      <c r="AD17" s="514"/>
      <c r="AE17" s="514"/>
      <c r="AF17" s="514">
        <v>1</v>
      </c>
      <c r="AG17" s="514">
        <v>1</v>
      </c>
      <c r="AH17" s="505">
        <v>27</v>
      </c>
      <c r="AI17" s="506">
        <v>37</v>
      </c>
    </row>
    <row r="18" spans="1:37" ht="21.95" customHeight="1" x14ac:dyDescent="0.2">
      <c r="A18" s="501">
        <v>8546</v>
      </c>
      <c r="B18" s="346" t="s">
        <v>480</v>
      </c>
      <c r="C18" s="514"/>
      <c r="D18" s="514">
        <v>4</v>
      </c>
      <c r="E18" s="514">
        <v>4</v>
      </c>
      <c r="F18" s="514">
        <v>4</v>
      </c>
      <c r="G18" s="514">
        <v>4</v>
      </c>
      <c r="H18" s="514">
        <v>4</v>
      </c>
      <c r="I18" s="514" t="s">
        <v>476</v>
      </c>
      <c r="J18" s="514" t="s">
        <v>476</v>
      </c>
      <c r="K18" s="514" t="s">
        <v>475</v>
      </c>
      <c r="L18" s="514" t="s">
        <v>475</v>
      </c>
      <c r="M18" s="514" t="s">
        <v>475</v>
      </c>
      <c r="N18" s="514" t="s">
        <v>475</v>
      </c>
      <c r="O18" s="514" t="s">
        <v>475</v>
      </c>
      <c r="P18" s="514"/>
      <c r="Q18" s="514"/>
      <c r="R18" s="514">
        <v>1</v>
      </c>
      <c r="S18" s="514">
        <v>1</v>
      </c>
      <c r="T18" s="514">
        <v>1</v>
      </c>
      <c r="U18" s="514">
        <v>1</v>
      </c>
      <c r="V18" s="1518">
        <v>1</v>
      </c>
      <c r="W18" s="514"/>
      <c r="X18" s="514"/>
      <c r="Y18" s="514">
        <v>2</v>
      </c>
      <c r="Z18" s="514" t="s">
        <v>552</v>
      </c>
      <c r="AA18" s="514">
        <v>2</v>
      </c>
      <c r="AB18" s="514">
        <v>2</v>
      </c>
      <c r="AC18" s="514">
        <v>2</v>
      </c>
      <c r="AD18" s="514" t="s">
        <v>474</v>
      </c>
      <c r="AE18" s="514" t="s">
        <v>474</v>
      </c>
      <c r="AF18" s="514" t="s">
        <v>475</v>
      </c>
      <c r="AG18" s="514" t="s">
        <v>475</v>
      </c>
      <c r="AH18" s="505">
        <v>38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05"/>
      <c r="AI19" s="506"/>
    </row>
    <row r="20" spans="1:37" ht="21.95" customHeight="1" x14ac:dyDescent="0.2">
      <c r="A20" s="501">
        <v>8500</v>
      </c>
      <c r="B20" s="185" t="s">
        <v>188</v>
      </c>
      <c r="C20" s="514"/>
      <c r="D20" s="514">
        <v>1</v>
      </c>
      <c r="E20" s="514">
        <v>1</v>
      </c>
      <c r="F20" s="514">
        <v>1</v>
      </c>
      <c r="G20" s="514">
        <v>1</v>
      </c>
      <c r="H20" s="514">
        <v>1</v>
      </c>
      <c r="I20" s="514" t="s">
        <v>474</v>
      </c>
      <c r="J20" s="514" t="s">
        <v>474</v>
      </c>
      <c r="K20" s="514" t="s">
        <v>475</v>
      </c>
      <c r="L20" s="514" t="s">
        <v>552</v>
      </c>
      <c r="M20" s="514" t="s">
        <v>475</v>
      </c>
      <c r="N20" s="514" t="s">
        <v>538</v>
      </c>
      <c r="O20" s="514">
        <v>4</v>
      </c>
      <c r="P20" s="514" t="s">
        <v>507</v>
      </c>
      <c r="Q20" s="514" t="s">
        <v>507</v>
      </c>
      <c r="R20" s="514" t="s">
        <v>475</v>
      </c>
      <c r="S20" s="514" t="s">
        <v>475</v>
      </c>
      <c r="T20" s="514" t="s">
        <v>475</v>
      </c>
      <c r="U20" s="514" t="s">
        <v>475</v>
      </c>
      <c r="V20" s="514">
        <v>1</v>
      </c>
      <c r="W20" s="514"/>
      <c r="X20" s="514"/>
      <c r="Y20" s="514" t="s">
        <v>552</v>
      </c>
      <c r="Z20" s="514">
        <v>2</v>
      </c>
      <c r="AA20" s="514">
        <v>3</v>
      </c>
      <c r="AB20" s="514">
        <v>3</v>
      </c>
      <c r="AC20" s="514">
        <v>3</v>
      </c>
      <c r="AD20" s="514"/>
      <c r="AE20" s="514"/>
      <c r="AF20" s="514" t="s">
        <v>552</v>
      </c>
      <c r="AG20" s="514" t="s">
        <v>552</v>
      </c>
      <c r="AH20" s="505">
        <v>58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14"/>
      <c r="D21" s="514" t="s">
        <v>552</v>
      </c>
      <c r="E21" s="514" t="s">
        <v>552</v>
      </c>
      <c r="F21" s="1518" t="s">
        <v>552</v>
      </c>
      <c r="G21" s="514">
        <v>3</v>
      </c>
      <c r="H21" s="514">
        <v>3</v>
      </c>
      <c r="I21" s="514" t="s">
        <v>484</v>
      </c>
      <c r="J21" s="514" t="s">
        <v>484</v>
      </c>
      <c r="K21" s="514" t="s">
        <v>552</v>
      </c>
      <c r="L21" s="1518" t="s">
        <v>552</v>
      </c>
      <c r="M21" s="514" t="s">
        <v>552</v>
      </c>
      <c r="N21" s="514" t="s">
        <v>552</v>
      </c>
      <c r="O21" s="514" t="s">
        <v>552</v>
      </c>
      <c r="P21" s="514"/>
      <c r="Q21" s="514"/>
      <c r="R21" s="514" t="s">
        <v>552</v>
      </c>
      <c r="S21" s="514" t="s">
        <v>552</v>
      </c>
      <c r="T21" s="514" t="s">
        <v>552</v>
      </c>
      <c r="U21" s="1518" t="s">
        <v>552</v>
      </c>
      <c r="V21" s="514" t="s">
        <v>552</v>
      </c>
      <c r="W21" s="514"/>
      <c r="X21" s="514"/>
      <c r="Y21" s="514" t="s">
        <v>552</v>
      </c>
      <c r="Z21" s="514" t="s">
        <v>552</v>
      </c>
      <c r="AA21" s="1486" t="s">
        <v>552</v>
      </c>
      <c r="AB21" s="514" t="s">
        <v>552</v>
      </c>
      <c r="AC21" s="514" t="s">
        <v>552</v>
      </c>
      <c r="AD21" s="514"/>
      <c r="AE21" s="514"/>
      <c r="AF21" s="553" t="s">
        <v>552</v>
      </c>
      <c r="AG21" s="553" t="s">
        <v>552</v>
      </c>
      <c r="AH21" s="505">
        <v>37</v>
      </c>
      <c r="AI21" s="506">
        <v>37</v>
      </c>
    </row>
    <row r="22" spans="1:37" ht="21.95" customHeight="1" x14ac:dyDescent="0.2">
      <c r="A22" s="501"/>
      <c r="B22" s="152"/>
      <c r="C22" s="514"/>
      <c r="D22" s="514"/>
      <c r="E22" s="514"/>
      <c r="F22" s="514"/>
      <c r="G22" s="514"/>
      <c r="H22" s="514"/>
      <c r="I22" s="514"/>
      <c r="J22" s="514"/>
      <c r="K22" s="514"/>
      <c r="L22" s="514"/>
      <c r="M22" s="514"/>
      <c r="N22" s="514"/>
      <c r="O22" s="514"/>
      <c r="P22" s="514"/>
      <c r="Q22" s="514"/>
      <c r="R22" s="514"/>
      <c r="S22" s="514"/>
      <c r="T22" s="514"/>
      <c r="U22" s="514"/>
      <c r="V22" s="514"/>
      <c r="W22" s="514"/>
      <c r="X22" s="514"/>
      <c r="Y22" s="514"/>
      <c r="Z22" s="514"/>
      <c r="AA22" s="514"/>
      <c r="AB22" s="514"/>
      <c r="AC22" s="514"/>
      <c r="AD22" s="514"/>
      <c r="AE22" s="514"/>
      <c r="AF22" s="514"/>
      <c r="AG22" s="514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  <c r="AK26" s="1602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27" t="s">
        <v>706</v>
      </c>
      <c r="N31" s="527"/>
      <c r="O31" s="527"/>
      <c r="P31" s="527"/>
      <c r="Q31" s="527"/>
      <c r="R31" s="527"/>
      <c r="S31" s="529"/>
      <c r="T31" s="529" t="s">
        <v>489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x14ac:dyDescent="0.2">
      <c r="A36" s="547" t="s">
        <v>468</v>
      </c>
      <c r="B36" s="181" t="s">
        <v>469</v>
      </c>
      <c r="C36" s="497">
        <v>1</v>
      </c>
      <c r="D36" s="177">
        <v>2</v>
      </c>
      <c r="E36" s="177">
        <v>3</v>
      </c>
      <c r="F36" s="177">
        <v>4</v>
      </c>
      <c r="G36" s="177">
        <v>5</v>
      </c>
      <c r="H36" s="177">
        <v>6</v>
      </c>
      <c r="I36" s="497">
        <v>7</v>
      </c>
      <c r="J36" s="497">
        <v>8</v>
      </c>
      <c r="K36" s="177">
        <v>9</v>
      </c>
      <c r="L36" s="177">
        <v>10</v>
      </c>
      <c r="M36" s="177">
        <v>11</v>
      </c>
      <c r="N36" s="177">
        <v>12</v>
      </c>
      <c r="O36" s="177">
        <v>13</v>
      </c>
      <c r="P36" s="497">
        <v>14</v>
      </c>
      <c r="Q36" s="497">
        <v>15</v>
      </c>
      <c r="R36" s="177">
        <v>16</v>
      </c>
      <c r="S36" s="177">
        <v>17</v>
      </c>
      <c r="T36" s="177">
        <v>18</v>
      </c>
      <c r="U36" s="177">
        <v>19</v>
      </c>
      <c r="V36" s="177">
        <v>20</v>
      </c>
      <c r="W36" s="497">
        <v>21</v>
      </c>
      <c r="X36" s="497">
        <v>22</v>
      </c>
      <c r="Y36" s="177">
        <v>23</v>
      </c>
      <c r="Z36" s="177">
        <v>24</v>
      </c>
      <c r="AA36" s="177">
        <v>25</v>
      </c>
      <c r="AB36" s="177">
        <v>26</v>
      </c>
      <c r="AC36" s="177">
        <v>27</v>
      </c>
      <c r="AD36" s="497">
        <v>28</v>
      </c>
      <c r="AE36" s="497">
        <v>29</v>
      </c>
      <c r="AF36" s="177">
        <v>30</v>
      </c>
      <c r="AG36" s="177">
        <v>31</v>
      </c>
      <c r="AH36" s="499" t="s">
        <v>470</v>
      </c>
      <c r="AI36" s="500" t="s">
        <v>471</v>
      </c>
    </row>
    <row r="37" spans="1:37" ht="21.95" customHeight="1" x14ac:dyDescent="0.2">
      <c r="A37" s="548">
        <v>1</v>
      </c>
      <c r="B37" s="45" t="s">
        <v>502</v>
      </c>
      <c r="C37" s="723" t="s">
        <v>507</v>
      </c>
      <c r="D37" s="723" t="s">
        <v>475</v>
      </c>
      <c r="E37" s="723" t="s">
        <v>475</v>
      </c>
      <c r="F37" s="723" t="s">
        <v>475</v>
      </c>
      <c r="G37" s="723" t="s">
        <v>475</v>
      </c>
      <c r="H37" s="723" t="s">
        <v>475</v>
      </c>
      <c r="I37" s="723"/>
      <c r="J37" s="723"/>
      <c r="K37" s="723">
        <v>6</v>
      </c>
      <c r="L37" s="723">
        <v>6</v>
      </c>
      <c r="M37" s="723">
        <v>6</v>
      </c>
      <c r="N37" s="723">
        <v>6</v>
      </c>
      <c r="O37" s="723">
        <v>6</v>
      </c>
      <c r="P37" s="723" t="s">
        <v>508</v>
      </c>
      <c r="Q37" s="723" t="s">
        <v>504</v>
      </c>
      <c r="R37" s="723" t="s">
        <v>475</v>
      </c>
      <c r="S37" s="723" t="s">
        <v>475</v>
      </c>
      <c r="T37" s="723" t="s">
        <v>475</v>
      </c>
      <c r="U37" s="723" t="s">
        <v>475</v>
      </c>
      <c r="V37" s="723" t="s">
        <v>475</v>
      </c>
      <c r="W37" s="723"/>
      <c r="X37" s="723"/>
      <c r="Y37" s="723">
        <v>5</v>
      </c>
      <c r="Z37" s="723">
        <v>5</v>
      </c>
      <c r="AA37" s="723">
        <v>5</v>
      </c>
      <c r="AB37" s="723">
        <v>5</v>
      </c>
      <c r="AC37" s="723">
        <v>5</v>
      </c>
      <c r="AD37" s="723"/>
      <c r="AE37" s="723"/>
      <c r="AF37" s="723">
        <v>10</v>
      </c>
      <c r="AG37" s="724">
        <v>10</v>
      </c>
      <c r="AH37" s="505">
        <v>56</v>
      </c>
      <c r="AI37" s="506">
        <v>37</v>
      </c>
    </row>
    <row r="38" spans="1:37" ht="21.95" customHeight="1" x14ac:dyDescent="0.2">
      <c r="A38" s="551">
        <v>6</v>
      </c>
      <c r="B38" s="552" t="s">
        <v>506</v>
      </c>
      <c r="C38" s="725" t="s">
        <v>507</v>
      </c>
      <c r="D38" s="725" t="s">
        <v>475</v>
      </c>
      <c r="E38" s="725" t="s">
        <v>475</v>
      </c>
      <c r="F38" s="725" t="s">
        <v>475</v>
      </c>
      <c r="G38" s="725" t="s">
        <v>475</v>
      </c>
      <c r="H38" s="725" t="s">
        <v>475</v>
      </c>
      <c r="I38" s="1552" t="s">
        <v>505</v>
      </c>
      <c r="J38" s="1552" t="s">
        <v>505</v>
      </c>
      <c r="K38" s="725">
        <v>7</v>
      </c>
      <c r="L38" s="725">
        <v>7</v>
      </c>
      <c r="M38" s="725">
        <v>7</v>
      </c>
      <c r="N38" s="725">
        <v>7</v>
      </c>
      <c r="O38" s="725">
        <v>7</v>
      </c>
      <c r="P38" s="725"/>
      <c r="Q38" s="725"/>
      <c r="R38" s="725">
        <v>4</v>
      </c>
      <c r="S38" s="725">
        <v>4</v>
      </c>
      <c r="T38" s="725">
        <v>4</v>
      </c>
      <c r="U38" s="725">
        <v>4</v>
      </c>
      <c r="V38" s="725">
        <v>4</v>
      </c>
      <c r="W38" s="725"/>
      <c r="X38" s="725"/>
      <c r="Y38" s="725">
        <v>3</v>
      </c>
      <c r="Z38" s="725">
        <v>3</v>
      </c>
      <c r="AA38" s="1486">
        <v>3</v>
      </c>
      <c r="AB38" s="725">
        <v>3</v>
      </c>
      <c r="AC38" s="1649">
        <v>3</v>
      </c>
      <c r="AD38" s="725"/>
      <c r="AE38" s="725"/>
      <c r="AF38" s="1570">
        <v>11</v>
      </c>
      <c r="AG38" s="726">
        <v>11</v>
      </c>
      <c r="AH38" s="505">
        <v>75</v>
      </c>
      <c r="AI38" s="506">
        <v>37</v>
      </c>
    </row>
    <row r="39" spans="1:37" ht="21.95" customHeight="1" thickBot="1" x14ac:dyDescent="0.25">
      <c r="A39" s="555">
        <v>11</v>
      </c>
      <c r="B39" s="556" t="s">
        <v>509</v>
      </c>
      <c r="C39" s="1617" t="s">
        <v>503</v>
      </c>
      <c r="D39" s="1617" t="s">
        <v>475</v>
      </c>
      <c r="E39" s="1617" t="s">
        <v>475</v>
      </c>
      <c r="F39" s="1617" t="s">
        <v>475</v>
      </c>
      <c r="G39" s="1617" t="s">
        <v>475</v>
      </c>
      <c r="H39" s="1617" t="s">
        <v>475</v>
      </c>
      <c r="I39" s="1617"/>
      <c r="J39" s="1617"/>
      <c r="K39" s="1617">
        <v>8</v>
      </c>
      <c r="L39" s="1617">
        <v>8</v>
      </c>
      <c r="M39" s="1617">
        <v>8</v>
      </c>
      <c r="N39" s="1617">
        <v>8</v>
      </c>
      <c r="O39" s="1574">
        <v>8</v>
      </c>
      <c r="P39" s="1617" t="s">
        <v>504</v>
      </c>
      <c r="Q39" s="1617" t="s">
        <v>504</v>
      </c>
      <c r="R39" s="1617" t="s">
        <v>475</v>
      </c>
      <c r="S39" s="1617" t="s">
        <v>475</v>
      </c>
      <c r="T39" s="1617" t="s">
        <v>475</v>
      </c>
      <c r="U39" s="1617" t="s">
        <v>475</v>
      </c>
      <c r="V39" s="1617" t="s">
        <v>475</v>
      </c>
      <c r="W39" s="1617"/>
      <c r="X39" s="1617"/>
      <c r="Y39" s="1574">
        <v>1</v>
      </c>
      <c r="Z39" s="1574">
        <v>1</v>
      </c>
      <c r="AA39" s="1574">
        <v>1</v>
      </c>
      <c r="AB39" s="1574">
        <v>1</v>
      </c>
      <c r="AC39" s="1574">
        <v>1</v>
      </c>
      <c r="AD39" s="1617"/>
      <c r="AE39" s="1617"/>
      <c r="AF39" s="1574">
        <v>9</v>
      </c>
      <c r="AG39" s="1575">
        <v>9</v>
      </c>
      <c r="AH39" s="505">
        <v>23</v>
      </c>
      <c r="AI39" s="506">
        <v>37</v>
      </c>
    </row>
    <row r="40" spans="1:37" ht="21.95" customHeight="1" x14ac:dyDescent="0.2">
      <c r="A40" s="548">
        <v>2</v>
      </c>
      <c r="B40" s="45" t="s">
        <v>510</v>
      </c>
      <c r="C40" s="723"/>
      <c r="D40" s="723">
        <v>6</v>
      </c>
      <c r="E40" s="723">
        <v>6</v>
      </c>
      <c r="F40" s="729">
        <v>6</v>
      </c>
      <c r="G40" s="729">
        <v>6</v>
      </c>
      <c r="H40" s="723">
        <v>6</v>
      </c>
      <c r="I40" s="723" t="s">
        <v>508</v>
      </c>
      <c r="J40" s="723" t="s">
        <v>504</v>
      </c>
      <c r="K40" s="723" t="s">
        <v>475</v>
      </c>
      <c r="L40" s="723" t="s">
        <v>475</v>
      </c>
      <c r="M40" s="723" t="s">
        <v>475</v>
      </c>
      <c r="N40" s="723" t="s">
        <v>475</v>
      </c>
      <c r="O40" s="723" t="s">
        <v>475</v>
      </c>
      <c r="P40" s="723"/>
      <c r="Q40" s="723"/>
      <c r="R40" s="1507">
        <v>5</v>
      </c>
      <c r="S40" s="723">
        <v>5</v>
      </c>
      <c r="T40" s="723">
        <v>5</v>
      </c>
      <c r="U40" s="723">
        <v>5</v>
      </c>
      <c r="V40" s="723">
        <v>5</v>
      </c>
      <c r="W40" s="723"/>
      <c r="X40" s="723"/>
      <c r="Y40" s="1507">
        <v>10</v>
      </c>
      <c r="Z40" s="723">
        <v>10</v>
      </c>
      <c r="AA40" s="1486">
        <v>10</v>
      </c>
      <c r="AB40" s="723">
        <v>10</v>
      </c>
      <c r="AC40" s="729">
        <v>10</v>
      </c>
      <c r="AD40" s="1644" t="s">
        <v>507</v>
      </c>
      <c r="AE40" s="723" t="s">
        <v>475</v>
      </c>
      <c r="AF40" s="1507" t="s">
        <v>475</v>
      </c>
      <c r="AG40" s="724" t="s">
        <v>475</v>
      </c>
      <c r="AH40" s="696">
        <v>4</v>
      </c>
      <c r="AI40" s="506">
        <v>37</v>
      </c>
    </row>
    <row r="41" spans="1:37" ht="21.95" customHeight="1" x14ac:dyDescent="0.2">
      <c r="A41" s="551">
        <v>7</v>
      </c>
      <c r="B41" s="152" t="s">
        <v>512</v>
      </c>
      <c r="C41" s="725" t="s">
        <v>505</v>
      </c>
      <c r="D41" s="725">
        <v>7</v>
      </c>
      <c r="E41" s="725">
        <v>7</v>
      </c>
      <c r="F41" s="725">
        <v>7</v>
      </c>
      <c r="G41" s="725">
        <v>7</v>
      </c>
      <c r="H41" s="725">
        <v>7</v>
      </c>
      <c r="I41" s="725"/>
      <c r="J41" s="725"/>
      <c r="K41" s="1453">
        <v>4</v>
      </c>
      <c r="L41" s="1453">
        <v>4</v>
      </c>
      <c r="M41" s="1453">
        <v>4</v>
      </c>
      <c r="N41" s="1453">
        <v>4</v>
      </c>
      <c r="O41" s="1453">
        <v>4</v>
      </c>
      <c r="P41" s="1453"/>
      <c r="Q41" s="1453"/>
      <c r="R41" s="725" t="s">
        <v>552</v>
      </c>
      <c r="S41" s="725" t="s">
        <v>552</v>
      </c>
      <c r="T41" s="725" t="s">
        <v>552</v>
      </c>
      <c r="U41" s="725" t="s">
        <v>552</v>
      </c>
      <c r="V41" s="725" t="s">
        <v>552</v>
      </c>
      <c r="W41" s="725"/>
      <c r="X41" s="725"/>
      <c r="Y41" s="725">
        <v>11</v>
      </c>
      <c r="Z41" s="725">
        <v>11</v>
      </c>
      <c r="AA41" s="725">
        <v>11</v>
      </c>
      <c r="AB41" s="725">
        <v>11</v>
      </c>
      <c r="AC41" s="725">
        <v>11</v>
      </c>
      <c r="AD41" s="725" t="s">
        <v>503</v>
      </c>
      <c r="AE41" s="725" t="s">
        <v>503</v>
      </c>
      <c r="AF41" s="725" t="s">
        <v>475</v>
      </c>
      <c r="AG41" s="726" t="s">
        <v>475</v>
      </c>
      <c r="AH41" s="505">
        <v>16</v>
      </c>
      <c r="AI41" s="506">
        <v>37</v>
      </c>
    </row>
    <row r="42" spans="1:37" ht="21.95" customHeight="1" x14ac:dyDescent="0.2">
      <c r="A42" s="555">
        <v>12</v>
      </c>
      <c r="B42" s="560" t="s">
        <v>514</v>
      </c>
      <c r="C42" s="727"/>
      <c r="D42" s="727">
        <v>8</v>
      </c>
      <c r="E42" s="727">
        <v>8</v>
      </c>
      <c r="F42" s="727">
        <v>8</v>
      </c>
      <c r="G42" s="727">
        <v>8</v>
      </c>
      <c r="H42" s="727">
        <v>8</v>
      </c>
      <c r="I42" s="727" t="s">
        <v>504</v>
      </c>
      <c r="J42" s="727" t="s">
        <v>504</v>
      </c>
      <c r="K42" s="727" t="s">
        <v>475</v>
      </c>
      <c r="L42" s="727" t="s">
        <v>475</v>
      </c>
      <c r="M42" s="727" t="s">
        <v>475</v>
      </c>
      <c r="N42" s="727" t="s">
        <v>475</v>
      </c>
      <c r="O42" s="727" t="s">
        <v>475</v>
      </c>
      <c r="P42" s="727"/>
      <c r="Q42" s="727"/>
      <c r="R42" s="727">
        <v>1</v>
      </c>
      <c r="S42" s="727">
        <v>1</v>
      </c>
      <c r="T42" s="727">
        <v>1</v>
      </c>
      <c r="U42" s="727">
        <v>1</v>
      </c>
      <c r="V42" s="727">
        <v>1</v>
      </c>
      <c r="W42" s="727"/>
      <c r="X42" s="727"/>
      <c r="Y42" s="727">
        <v>9</v>
      </c>
      <c r="Z42" s="727">
        <v>9</v>
      </c>
      <c r="AA42" s="727">
        <v>9</v>
      </c>
      <c r="AB42" s="727">
        <v>9</v>
      </c>
      <c r="AC42" s="727">
        <v>9</v>
      </c>
      <c r="AD42" s="727" t="s">
        <v>511</v>
      </c>
      <c r="AE42" s="727" t="s">
        <v>507</v>
      </c>
      <c r="AF42" s="727" t="s">
        <v>475</v>
      </c>
      <c r="AG42" s="728" t="s">
        <v>475</v>
      </c>
      <c r="AH42" s="696">
        <v>0</v>
      </c>
      <c r="AI42" s="506">
        <v>18</v>
      </c>
    </row>
    <row r="43" spans="1:37" ht="21.95" customHeight="1" x14ac:dyDescent="0.2">
      <c r="A43" s="561">
        <v>3</v>
      </c>
      <c r="B43" s="562" t="s">
        <v>515</v>
      </c>
      <c r="C43" s="1618" t="s">
        <v>504</v>
      </c>
      <c r="D43" s="1618" t="s">
        <v>475</v>
      </c>
      <c r="E43" s="1618" t="s">
        <v>475</v>
      </c>
      <c r="F43" s="1618" t="s">
        <v>475</v>
      </c>
      <c r="G43" s="1618" t="s">
        <v>475</v>
      </c>
      <c r="H43" s="1618" t="s">
        <v>475</v>
      </c>
      <c r="I43" s="1618"/>
      <c r="J43" s="1618"/>
      <c r="K43" s="1618">
        <v>4</v>
      </c>
      <c r="L43" s="1618">
        <v>4</v>
      </c>
      <c r="M43" s="1618">
        <v>4</v>
      </c>
      <c r="N43" s="1618">
        <v>4</v>
      </c>
      <c r="O43" s="1618">
        <v>4</v>
      </c>
      <c r="P43" s="1618"/>
      <c r="Q43" s="1618"/>
      <c r="R43" s="1619">
        <v>10</v>
      </c>
      <c r="S43" s="1618">
        <v>10</v>
      </c>
      <c r="T43" s="1618">
        <v>10</v>
      </c>
      <c r="U43" s="1618">
        <v>10</v>
      </c>
      <c r="V43" s="1618">
        <v>10</v>
      </c>
      <c r="W43" s="1618" t="s">
        <v>507</v>
      </c>
      <c r="X43" s="1618" t="s">
        <v>507</v>
      </c>
      <c r="Y43" s="1618" t="s">
        <v>475</v>
      </c>
      <c r="Z43" s="1618" t="s">
        <v>475</v>
      </c>
      <c r="AA43" s="1618" t="s">
        <v>475</v>
      </c>
      <c r="AB43" s="1618" t="s">
        <v>475</v>
      </c>
      <c r="AC43" s="1618" t="s">
        <v>475</v>
      </c>
      <c r="AD43" s="1618" t="s">
        <v>505</v>
      </c>
      <c r="AE43" s="1618" t="s">
        <v>505</v>
      </c>
      <c r="AF43" s="1618">
        <v>7</v>
      </c>
      <c r="AG43" s="1620">
        <v>7</v>
      </c>
      <c r="AH43" s="505">
        <v>1</v>
      </c>
      <c r="AI43" s="506">
        <v>37</v>
      </c>
    </row>
    <row r="44" spans="1:37" ht="21.95" customHeight="1" x14ac:dyDescent="0.2">
      <c r="A44" s="551">
        <v>8</v>
      </c>
      <c r="B44" s="318" t="s">
        <v>516</v>
      </c>
      <c r="C44" s="725"/>
      <c r="D44" s="1453">
        <v>4</v>
      </c>
      <c r="E44" s="1453">
        <v>4</v>
      </c>
      <c r="F44" s="1453">
        <v>4</v>
      </c>
      <c r="G44" s="1475">
        <v>4</v>
      </c>
      <c r="H44" s="1453">
        <v>4</v>
      </c>
      <c r="I44" s="1453"/>
      <c r="J44" s="1453"/>
      <c r="K44" s="1570">
        <v>3</v>
      </c>
      <c r="L44" s="1570">
        <v>3</v>
      </c>
      <c r="M44" s="1570">
        <v>3</v>
      </c>
      <c r="N44" s="1570">
        <v>3</v>
      </c>
      <c r="O44" s="1570">
        <v>3</v>
      </c>
      <c r="P44" s="725"/>
      <c r="Q44" s="731"/>
      <c r="R44" s="725">
        <v>11</v>
      </c>
      <c r="S44" s="732">
        <v>11</v>
      </c>
      <c r="T44" s="725">
        <v>11</v>
      </c>
      <c r="U44" s="725">
        <v>11</v>
      </c>
      <c r="V44" s="725">
        <v>11</v>
      </c>
      <c r="W44" s="725" t="s">
        <v>503</v>
      </c>
      <c r="X44" s="725" t="s">
        <v>503</v>
      </c>
      <c r="Y44" s="725" t="s">
        <v>475</v>
      </c>
      <c r="Z44" s="725" t="s">
        <v>475</v>
      </c>
      <c r="AA44" s="725" t="s">
        <v>475</v>
      </c>
      <c r="AB44" s="725" t="s">
        <v>475</v>
      </c>
      <c r="AC44" s="725" t="s">
        <v>475</v>
      </c>
      <c r="AD44" s="725"/>
      <c r="AE44" s="725"/>
      <c r="AF44" s="725">
        <v>8</v>
      </c>
      <c r="AG44" s="726">
        <v>8</v>
      </c>
      <c r="AH44" s="505">
        <v>43</v>
      </c>
      <c r="AI44" s="506">
        <v>15</v>
      </c>
    </row>
    <row r="45" spans="1:37" ht="21.95" customHeight="1" x14ac:dyDescent="0.2">
      <c r="A45" s="555">
        <v>13</v>
      </c>
      <c r="B45" s="52" t="s">
        <v>517</v>
      </c>
      <c r="C45" s="727" t="s">
        <v>504</v>
      </c>
      <c r="D45" s="727" t="s">
        <v>475</v>
      </c>
      <c r="E45" s="727" t="s">
        <v>475</v>
      </c>
      <c r="F45" s="727" t="s">
        <v>475</v>
      </c>
      <c r="G45" s="727" t="s">
        <v>475</v>
      </c>
      <c r="H45" s="727" t="s">
        <v>475</v>
      </c>
      <c r="I45" s="727"/>
      <c r="J45" s="727"/>
      <c r="K45" s="727">
        <v>1</v>
      </c>
      <c r="L45" s="727">
        <v>1</v>
      </c>
      <c r="M45" s="727">
        <v>1</v>
      </c>
      <c r="N45" s="727">
        <v>1</v>
      </c>
      <c r="O45" s="727">
        <v>1</v>
      </c>
      <c r="P45" s="727"/>
      <c r="Q45" s="727"/>
      <c r="R45" s="733">
        <v>9</v>
      </c>
      <c r="S45" s="727">
        <v>9</v>
      </c>
      <c r="T45" s="727">
        <v>9</v>
      </c>
      <c r="U45" s="727">
        <v>9</v>
      </c>
      <c r="V45" s="727">
        <v>9</v>
      </c>
      <c r="W45" s="727" t="s">
        <v>511</v>
      </c>
      <c r="X45" s="727" t="s">
        <v>507</v>
      </c>
      <c r="Y45" s="727" t="s">
        <v>475</v>
      </c>
      <c r="Z45" s="727" t="s">
        <v>475</v>
      </c>
      <c r="AA45" s="727" t="s">
        <v>475</v>
      </c>
      <c r="AB45" s="727" t="s">
        <v>475</v>
      </c>
      <c r="AC45" s="727" t="s">
        <v>475</v>
      </c>
      <c r="AD45" s="727"/>
      <c r="AE45" s="727"/>
      <c r="AF45" s="727">
        <v>6</v>
      </c>
      <c r="AG45" s="728">
        <v>6</v>
      </c>
      <c r="AH45" s="505">
        <v>56</v>
      </c>
      <c r="AI45" s="506">
        <v>37</v>
      </c>
    </row>
    <row r="46" spans="1:37" ht="21.95" customHeight="1" x14ac:dyDescent="0.2">
      <c r="A46" s="561">
        <v>4</v>
      </c>
      <c r="B46" s="318" t="s">
        <v>518</v>
      </c>
      <c r="C46" s="730"/>
      <c r="D46" s="730">
        <v>5</v>
      </c>
      <c r="E46" s="730">
        <v>5</v>
      </c>
      <c r="F46" s="730">
        <v>5</v>
      </c>
      <c r="G46" s="730">
        <v>5</v>
      </c>
      <c r="H46" s="730">
        <v>5</v>
      </c>
      <c r="I46" s="730"/>
      <c r="J46" s="730"/>
      <c r="K46" s="730">
        <v>10</v>
      </c>
      <c r="L46" s="730">
        <v>10</v>
      </c>
      <c r="M46" s="730">
        <v>10</v>
      </c>
      <c r="N46" s="730">
        <v>10</v>
      </c>
      <c r="O46" s="730" t="s">
        <v>475</v>
      </c>
      <c r="P46" s="730" t="s">
        <v>475</v>
      </c>
      <c r="Q46" s="730" t="s">
        <v>475</v>
      </c>
      <c r="R46" s="514" t="s">
        <v>552</v>
      </c>
      <c r="S46" s="730" t="s">
        <v>475</v>
      </c>
      <c r="T46" s="730" t="s">
        <v>475</v>
      </c>
      <c r="U46" s="730" t="s">
        <v>475</v>
      </c>
      <c r="V46" s="730" t="s">
        <v>475</v>
      </c>
      <c r="W46" s="730" t="s">
        <v>505</v>
      </c>
      <c r="X46" s="730" t="s">
        <v>505</v>
      </c>
      <c r="Y46" s="730">
        <v>7</v>
      </c>
      <c r="Z46" s="730">
        <v>7</v>
      </c>
      <c r="AA46" s="514">
        <v>7</v>
      </c>
      <c r="AB46" s="730">
        <v>7</v>
      </c>
      <c r="AC46" s="730">
        <v>7</v>
      </c>
      <c r="AD46" s="730"/>
      <c r="AE46" s="730"/>
      <c r="AF46" s="1646">
        <v>4</v>
      </c>
      <c r="AG46" s="734">
        <v>4</v>
      </c>
      <c r="AH46" s="505">
        <v>141</v>
      </c>
      <c r="AI46" s="506">
        <v>0</v>
      </c>
    </row>
    <row r="47" spans="1:37" ht="21.95" customHeight="1" x14ac:dyDescent="0.2">
      <c r="A47" s="551">
        <v>9</v>
      </c>
      <c r="B47" s="318" t="s">
        <v>519</v>
      </c>
      <c r="C47" s="725"/>
      <c r="D47" s="725">
        <v>3</v>
      </c>
      <c r="E47" s="725">
        <v>3</v>
      </c>
      <c r="F47" s="725">
        <v>3</v>
      </c>
      <c r="G47" s="725">
        <v>3</v>
      </c>
      <c r="H47" s="725">
        <v>3</v>
      </c>
      <c r="I47" s="725"/>
      <c r="J47" s="725"/>
      <c r="K47" s="725">
        <v>11</v>
      </c>
      <c r="L47" s="725">
        <v>11</v>
      </c>
      <c r="M47" s="725">
        <v>11</v>
      </c>
      <c r="N47" s="725">
        <v>11</v>
      </c>
      <c r="O47" s="725">
        <v>11</v>
      </c>
      <c r="P47" s="725" t="s">
        <v>503</v>
      </c>
      <c r="Q47" s="725" t="s">
        <v>503</v>
      </c>
      <c r="R47" s="725" t="s">
        <v>475</v>
      </c>
      <c r="S47" s="725" t="s">
        <v>475</v>
      </c>
      <c r="T47" s="725" t="s">
        <v>475</v>
      </c>
      <c r="U47" s="725" t="s">
        <v>475</v>
      </c>
      <c r="V47" s="725" t="s">
        <v>475</v>
      </c>
      <c r="W47" s="725"/>
      <c r="X47" s="725"/>
      <c r="Y47" s="725">
        <v>8</v>
      </c>
      <c r="Z47" s="725">
        <v>8</v>
      </c>
      <c r="AA47" s="725">
        <v>8</v>
      </c>
      <c r="AB47" s="725">
        <v>8</v>
      </c>
      <c r="AC47" s="725">
        <v>8</v>
      </c>
      <c r="AD47" s="725" t="s">
        <v>504</v>
      </c>
      <c r="AE47" s="725" t="s">
        <v>504</v>
      </c>
      <c r="AF47" s="725" t="s">
        <v>475</v>
      </c>
      <c r="AG47" s="731" t="s">
        <v>475</v>
      </c>
      <c r="AH47" s="505">
        <v>1</v>
      </c>
      <c r="AI47" s="506">
        <v>37</v>
      </c>
    </row>
    <row r="48" spans="1:37" ht="21.95" customHeight="1" thickBot="1" x14ac:dyDescent="0.25">
      <c r="A48" s="555">
        <v>14</v>
      </c>
      <c r="B48" s="560" t="s">
        <v>520</v>
      </c>
      <c r="C48" s="727"/>
      <c r="D48" s="1574">
        <v>1</v>
      </c>
      <c r="E48" s="1574">
        <v>1</v>
      </c>
      <c r="F48" s="1574">
        <v>1</v>
      </c>
      <c r="G48" s="1588">
        <v>1</v>
      </c>
      <c r="H48" s="1589">
        <v>1</v>
      </c>
      <c r="I48" s="733"/>
      <c r="J48" s="733"/>
      <c r="K48" s="733">
        <v>9</v>
      </c>
      <c r="L48" s="730">
        <v>9</v>
      </c>
      <c r="M48" s="730">
        <v>9</v>
      </c>
      <c r="N48" s="730">
        <v>9</v>
      </c>
      <c r="O48" s="733">
        <v>9</v>
      </c>
      <c r="P48" s="733" t="s">
        <v>511</v>
      </c>
      <c r="Q48" s="727" t="s">
        <v>507</v>
      </c>
      <c r="R48" s="727" t="s">
        <v>475</v>
      </c>
      <c r="S48" s="727" t="s">
        <v>475</v>
      </c>
      <c r="T48" s="727" t="s">
        <v>475</v>
      </c>
      <c r="U48" s="727" t="s">
        <v>475</v>
      </c>
      <c r="V48" s="727" t="s">
        <v>475</v>
      </c>
      <c r="W48" s="727"/>
      <c r="X48" s="727"/>
      <c r="Y48" s="727">
        <v>6</v>
      </c>
      <c r="Z48" s="727">
        <v>6</v>
      </c>
      <c r="AA48" s="727">
        <v>6</v>
      </c>
      <c r="AB48" s="727">
        <v>6</v>
      </c>
      <c r="AC48" s="727">
        <v>6</v>
      </c>
      <c r="AD48" s="727" t="s">
        <v>508</v>
      </c>
      <c r="AE48" s="727" t="s">
        <v>504</v>
      </c>
      <c r="AF48" s="727" t="s">
        <v>475</v>
      </c>
      <c r="AG48" s="735" t="s">
        <v>475</v>
      </c>
      <c r="AH48" s="505">
        <v>85</v>
      </c>
      <c r="AI48" s="506">
        <v>37</v>
      </c>
    </row>
    <row r="49" spans="1:35" ht="21.95" customHeight="1" x14ac:dyDescent="0.2">
      <c r="A49" s="548">
        <v>5</v>
      </c>
      <c r="B49" s="552" t="s">
        <v>521</v>
      </c>
      <c r="C49" s="723"/>
      <c r="D49" s="723">
        <v>10</v>
      </c>
      <c r="E49" s="723">
        <v>10</v>
      </c>
      <c r="F49" s="723">
        <v>10</v>
      </c>
      <c r="G49" s="723">
        <v>10</v>
      </c>
      <c r="H49" s="723">
        <v>10</v>
      </c>
      <c r="I49" s="723" t="s">
        <v>507</v>
      </c>
      <c r="J49" s="723" t="s">
        <v>507</v>
      </c>
      <c r="K49" s="723" t="s">
        <v>475</v>
      </c>
      <c r="L49" s="723" t="s">
        <v>475</v>
      </c>
      <c r="M49" s="723" t="s">
        <v>475</v>
      </c>
      <c r="N49" s="723" t="s">
        <v>475</v>
      </c>
      <c r="O49" s="723" t="s">
        <v>475</v>
      </c>
      <c r="P49" s="723" t="s">
        <v>505</v>
      </c>
      <c r="Q49" s="723" t="s">
        <v>505</v>
      </c>
      <c r="R49" s="723">
        <v>7</v>
      </c>
      <c r="S49" s="723">
        <v>7</v>
      </c>
      <c r="T49" s="723">
        <v>7</v>
      </c>
      <c r="U49" s="1652">
        <v>7</v>
      </c>
      <c r="V49" s="1652" t="s">
        <v>688</v>
      </c>
      <c r="W49" s="723"/>
      <c r="X49" s="723"/>
      <c r="Y49" s="723">
        <v>4</v>
      </c>
      <c r="Z49" s="723">
        <v>4</v>
      </c>
      <c r="AA49" s="1486">
        <v>4</v>
      </c>
      <c r="AB49" s="723">
        <v>4</v>
      </c>
      <c r="AC49" s="723">
        <v>4</v>
      </c>
      <c r="AD49" s="723"/>
      <c r="AE49" s="736"/>
      <c r="AF49" s="723">
        <v>3</v>
      </c>
      <c r="AG49" s="736">
        <v>3</v>
      </c>
      <c r="AH49" s="505">
        <v>48</v>
      </c>
      <c r="AI49" s="506">
        <v>0</v>
      </c>
    </row>
    <row r="50" spans="1:35" ht="21.95" customHeight="1" x14ac:dyDescent="0.2">
      <c r="A50" s="551">
        <v>10</v>
      </c>
      <c r="B50" s="318" t="s">
        <v>523</v>
      </c>
      <c r="C50" s="725"/>
      <c r="D50" s="725">
        <v>11</v>
      </c>
      <c r="E50" s="725">
        <v>11</v>
      </c>
      <c r="F50" s="725">
        <v>11</v>
      </c>
      <c r="G50" s="725">
        <v>11</v>
      </c>
      <c r="H50" s="725">
        <v>11</v>
      </c>
      <c r="I50" s="725" t="s">
        <v>503</v>
      </c>
      <c r="J50" s="725" t="s">
        <v>503</v>
      </c>
      <c r="K50" s="725" t="s">
        <v>475</v>
      </c>
      <c r="L50" s="725" t="s">
        <v>475</v>
      </c>
      <c r="M50" s="725" t="s">
        <v>475</v>
      </c>
      <c r="N50" s="725" t="s">
        <v>475</v>
      </c>
      <c r="O50" s="725" t="s">
        <v>475</v>
      </c>
      <c r="P50" s="725"/>
      <c r="Q50" s="725"/>
      <c r="R50" s="725">
        <v>8</v>
      </c>
      <c r="S50" s="725">
        <v>8</v>
      </c>
      <c r="T50" s="725">
        <v>8</v>
      </c>
      <c r="U50" s="725">
        <v>8</v>
      </c>
      <c r="V50" s="725">
        <v>8</v>
      </c>
      <c r="W50" s="1502" t="s">
        <v>504</v>
      </c>
      <c r="X50" s="1502" t="s">
        <v>504</v>
      </c>
      <c r="Y50" s="725" t="s">
        <v>475</v>
      </c>
      <c r="Z50" s="725" t="s">
        <v>475</v>
      </c>
      <c r="AA50" s="725" t="s">
        <v>475</v>
      </c>
      <c r="AB50" s="725" t="s">
        <v>475</v>
      </c>
      <c r="AC50" s="725" t="s">
        <v>475</v>
      </c>
      <c r="AD50" s="725"/>
      <c r="AE50" s="731"/>
      <c r="AF50" s="725">
        <v>1</v>
      </c>
      <c r="AG50" s="731">
        <v>1</v>
      </c>
      <c r="AH50" s="505">
        <v>23</v>
      </c>
      <c r="AI50" s="506">
        <v>37</v>
      </c>
    </row>
    <row r="51" spans="1:35" ht="21.95" customHeight="1" thickBot="1" x14ac:dyDescent="0.25">
      <c r="A51" s="555">
        <v>15</v>
      </c>
      <c r="B51" s="52" t="s">
        <v>524</v>
      </c>
      <c r="C51" s="727"/>
      <c r="D51" s="727">
        <v>9</v>
      </c>
      <c r="E51" s="727">
        <v>9</v>
      </c>
      <c r="F51" s="727">
        <v>9</v>
      </c>
      <c r="G51" s="727">
        <v>9</v>
      </c>
      <c r="H51" s="727">
        <v>9</v>
      </c>
      <c r="I51" s="727" t="s">
        <v>511</v>
      </c>
      <c r="J51" s="727" t="s">
        <v>507</v>
      </c>
      <c r="K51" s="727" t="s">
        <v>475</v>
      </c>
      <c r="L51" s="727" t="s">
        <v>475</v>
      </c>
      <c r="M51" s="727" t="s">
        <v>475</v>
      </c>
      <c r="N51" s="727" t="s">
        <v>475</v>
      </c>
      <c r="O51" s="727" t="s">
        <v>475</v>
      </c>
      <c r="P51" s="727"/>
      <c r="Q51" s="727"/>
      <c r="R51" s="727">
        <v>6</v>
      </c>
      <c r="S51" s="727">
        <v>6</v>
      </c>
      <c r="T51" s="727">
        <v>6</v>
      </c>
      <c r="U51" s="727">
        <v>6</v>
      </c>
      <c r="V51" s="727">
        <v>6</v>
      </c>
      <c r="W51" s="727" t="s">
        <v>508</v>
      </c>
      <c r="X51" s="727" t="s">
        <v>504</v>
      </c>
      <c r="Y51" s="727" t="s">
        <v>475</v>
      </c>
      <c r="Z51" s="727" t="s">
        <v>475</v>
      </c>
      <c r="AA51" s="1486" t="s">
        <v>475</v>
      </c>
      <c r="AB51" s="727" t="s">
        <v>475</v>
      </c>
      <c r="AC51" s="727" t="s">
        <v>475</v>
      </c>
      <c r="AD51" s="727"/>
      <c r="AE51" s="735"/>
      <c r="AF51" s="1454">
        <v>5</v>
      </c>
      <c r="AG51" s="1455">
        <v>5</v>
      </c>
      <c r="AH51" s="651">
        <v>27</v>
      </c>
      <c r="AI51" s="523">
        <v>37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N53" s="375"/>
      <c r="AH53" s="1"/>
    </row>
    <row r="54" spans="1:35" ht="21.95" customHeight="1" x14ac:dyDescent="0.2">
      <c r="A54" s="524"/>
      <c r="AH54" s="1"/>
    </row>
    <row r="55" spans="1:35" ht="21.95" customHeight="1" x14ac:dyDescent="0.2">
      <c r="A55" s="524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170" t="s">
        <v>106</v>
      </c>
      <c r="C58" s="318" t="s">
        <v>295</v>
      </c>
      <c r="D58" s="152"/>
      <c r="E58" s="152"/>
      <c r="F58" s="318" t="s">
        <v>295</v>
      </c>
      <c r="G58" s="714"/>
      <c r="H58" s="152"/>
      <c r="I58" s="318" t="s">
        <v>295</v>
      </c>
      <c r="J58" s="152"/>
      <c r="K58" s="152"/>
      <c r="L58" s="318" t="s">
        <v>295</v>
      </c>
      <c r="M58" s="152"/>
      <c r="N58" s="152"/>
      <c r="O58" s="318" t="s">
        <v>67</v>
      </c>
      <c r="P58" s="152"/>
      <c r="Q58" s="152"/>
      <c r="R58" s="154"/>
      <c r="S58" s="156"/>
      <c r="T58" s="488"/>
      <c r="U58" s="154"/>
      <c r="V58" s="156"/>
      <c r="W58" s="488"/>
      <c r="X58" s="154"/>
      <c r="Y58" s="156">
        <v>37</v>
      </c>
      <c r="Z58" s="700"/>
      <c r="AA58" s="489"/>
      <c r="AE58" s="360"/>
      <c r="AF58" s="360"/>
      <c r="AG58" s="360"/>
    </row>
    <row r="59" spans="1:35" ht="21.95" customHeight="1" x14ac:dyDescent="0.2">
      <c r="A59" s="1"/>
      <c r="B59" s="47"/>
      <c r="C59" s="57"/>
      <c r="D59" s="53"/>
      <c r="E59" s="541"/>
      <c r="F59" s="57"/>
      <c r="G59" s="583"/>
      <c r="H59" s="53"/>
      <c r="I59" s="57"/>
      <c r="J59" s="53"/>
      <c r="K59" s="541"/>
      <c r="L59" s="57"/>
      <c r="M59" s="53"/>
      <c r="N59" s="541"/>
      <c r="O59" s="57"/>
      <c r="P59" s="53"/>
      <c r="Q59" s="541"/>
      <c r="R59" s="581"/>
      <c r="S59" s="53"/>
      <c r="T59" s="541"/>
      <c r="U59" s="581"/>
      <c r="V59" s="53"/>
      <c r="W59" s="541"/>
      <c r="X59" s="581"/>
      <c r="Y59" s="53"/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497">
        <v>1</v>
      </c>
      <c r="D61" s="177">
        <v>2</v>
      </c>
      <c r="E61" s="177">
        <v>3</v>
      </c>
      <c r="F61" s="177">
        <v>4</v>
      </c>
      <c r="G61" s="177">
        <v>5</v>
      </c>
      <c r="H61" s="177">
        <v>6</v>
      </c>
      <c r="I61" s="497">
        <v>7</v>
      </c>
      <c r="J61" s="497">
        <v>8</v>
      </c>
      <c r="K61" s="177">
        <v>9</v>
      </c>
      <c r="L61" s="177">
        <v>10</v>
      </c>
      <c r="M61" s="177">
        <v>11</v>
      </c>
      <c r="N61" s="177">
        <v>12</v>
      </c>
      <c r="O61" s="177">
        <v>13</v>
      </c>
      <c r="P61" s="497">
        <v>14</v>
      </c>
      <c r="Q61" s="497">
        <v>15</v>
      </c>
      <c r="R61" s="177">
        <v>16</v>
      </c>
      <c r="S61" s="177">
        <v>17</v>
      </c>
      <c r="T61" s="177">
        <v>18</v>
      </c>
      <c r="U61" s="177">
        <v>19</v>
      </c>
      <c r="V61" s="177">
        <v>20</v>
      </c>
      <c r="W61" s="497">
        <v>21</v>
      </c>
      <c r="X61" s="497">
        <v>22</v>
      </c>
      <c r="Y61" s="177">
        <v>23</v>
      </c>
      <c r="Z61" s="177">
        <v>24</v>
      </c>
      <c r="AA61" s="177">
        <v>25</v>
      </c>
      <c r="AB61" s="177">
        <v>26</v>
      </c>
      <c r="AC61" s="177">
        <v>27</v>
      </c>
      <c r="AD61" s="497">
        <v>28</v>
      </c>
      <c r="AE61" s="497">
        <v>29</v>
      </c>
      <c r="AF61" s="177">
        <v>30</v>
      </c>
      <c r="AG61" s="177">
        <v>31</v>
      </c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/>
      <c r="D62" s="587" t="s">
        <v>529</v>
      </c>
      <c r="E62" s="587" t="s">
        <v>529</v>
      </c>
      <c r="F62" s="587" t="s">
        <v>529</v>
      </c>
      <c r="G62" s="587" t="s">
        <v>529</v>
      </c>
      <c r="H62" s="587" t="s">
        <v>529</v>
      </c>
      <c r="I62" s="587"/>
      <c r="J62" s="587"/>
      <c r="K62" s="587" t="s">
        <v>529</v>
      </c>
      <c r="L62" s="587" t="s">
        <v>529</v>
      </c>
      <c r="M62" s="587" t="s">
        <v>529</v>
      </c>
      <c r="N62" s="587" t="s">
        <v>529</v>
      </c>
      <c r="O62" s="587" t="s">
        <v>529</v>
      </c>
      <c r="P62" s="587"/>
      <c r="Q62" s="587"/>
      <c r="R62" s="587" t="s">
        <v>529</v>
      </c>
      <c r="S62" s="587" t="s">
        <v>529</v>
      </c>
      <c r="T62" s="587" t="s">
        <v>529</v>
      </c>
      <c r="U62" s="587" t="s">
        <v>529</v>
      </c>
      <c r="V62" s="587" t="s">
        <v>529</v>
      </c>
      <c r="W62" s="587"/>
      <c r="X62" s="587"/>
      <c r="Y62" s="587" t="s">
        <v>529</v>
      </c>
      <c r="Z62" s="587" t="s">
        <v>529</v>
      </c>
      <c r="AA62" s="587" t="s">
        <v>529</v>
      </c>
      <c r="AB62" s="587" t="s">
        <v>529</v>
      </c>
      <c r="AC62" s="587" t="s">
        <v>529</v>
      </c>
      <c r="AD62" s="587"/>
      <c r="AE62" s="587"/>
      <c r="AF62" s="587" t="s">
        <v>529</v>
      </c>
      <c r="AG62" s="587" t="s">
        <v>529</v>
      </c>
      <c r="AH62" s="505">
        <v>185</v>
      </c>
      <c r="AI62" s="506">
        <v>37</v>
      </c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>
        <v>185</v>
      </c>
      <c r="AI63" s="506">
        <v>37</v>
      </c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thickBot="1" x14ac:dyDescent="0.25">
      <c r="A65" s="589"/>
      <c r="C65" s="590"/>
      <c r="D65" s="590"/>
      <c r="E65" s="590"/>
      <c r="F65" s="590"/>
      <c r="G65" s="590"/>
      <c r="H65" s="590"/>
      <c r="I65" s="590"/>
      <c r="J65" s="590"/>
      <c r="K65" s="590"/>
      <c r="L65" s="590"/>
      <c r="M65" s="590"/>
      <c r="N65" s="590"/>
      <c r="O65" s="590"/>
      <c r="P65" s="590"/>
      <c r="Q65" s="590"/>
      <c r="R65" s="590"/>
      <c r="S65" s="590"/>
      <c r="T65" s="590"/>
      <c r="U65" s="590"/>
      <c r="V65" s="590"/>
      <c r="W65" s="590"/>
      <c r="X65" s="590"/>
      <c r="Y65" s="590"/>
      <c r="Z65" s="590"/>
      <c r="AA65" s="590"/>
      <c r="AB65" s="590"/>
      <c r="AC65" s="590"/>
      <c r="AD65" s="590"/>
      <c r="AE65" s="590"/>
      <c r="AF65" s="590"/>
      <c r="AG65" s="590"/>
      <c r="AH65" s="591"/>
      <c r="AI65" s="591"/>
    </row>
    <row r="66" spans="1:35" ht="21.95" customHeight="1" x14ac:dyDescent="0.2">
      <c r="A66" s="360"/>
      <c r="B66" s="23" t="s">
        <v>532</v>
      </c>
      <c r="C66" s="7"/>
      <c r="D66" s="413" t="s">
        <v>2</v>
      </c>
      <c r="E66" s="572"/>
      <c r="F66" s="7"/>
      <c r="G66" s="6" t="s">
        <v>3</v>
      </c>
      <c r="H66" s="573"/>
      <c r="I66" s="118"/>
      <c r="J66" s="6" t="s">
        <v>4</v>
      </c>
      <c r="K66" s="412"/>
      <c r="L66" s="118"/>
      <c r="M66" s="119" t="s">
        <v>5</v>
      </c>
      <c r="N66" s="412"/>
      <c r="O66" s="118"/>
      <c r="P66" s="6" t="s">
        <v>6</v>
      </c>
      <c r="Q66" s="574"/>
      <c r="R66" s="118"/>
      <c r="S66" s="6" t="s">
        <v>7</v>
      </c>
      <c r="T66" s="575"/>
      <c r="U66" s="118"/>
      <c r="V66" s="6" t="s">
        <v>8</v>
      </c>
      <c r="W66" s="574"/>
      <c r="X66" s="348" t="s">
        <v>9</v>
      </c>
      <c r="Y66" s="593"/>
      <c r="Z66" s="593"/>
      <c r="AA66" s="594"/>
      <c r="AB66" s="27" t="s">
        <v>10</v>
      </c>
      <c r="AC66" s="576"/>
      <c r="AD66" s="576"/>
      <c r="AE66" s="595"/>
      <c r="AF66" s="595"/>
      <c r="AG66" s="596"/>
    </row>
    <row r="67" spans="1:35" ht="21.95" customHeight="1" x14ac:dyDescent="0.2">
      <c r="A67" s="360"/>
      <c r="B67" s="305" t="s">
        <v>533</v>
      </c>
      <c r="C67" s="598" t="s">
        <v>534</v>
      </c>
      <c r="D67" s="482"/>
      <c r="E67" s="483"/>
      <c r="F67" s="598" t="s">
        <v>534</v>
      </c>
      <c r="G67" s="482"/>
      <c r="H67" s="483"/>
      <c r="I67" s="598" t="s">
        <v>534</v>
      </c>
      <c r="J67" s="482"/>
      <c r="K67" s="483"/>
      <c r="L67" s="598" t="s">
        <v>534</v>
      </c>
      <c r="M67" s="482"/>
      <c r="N67" s="483"/>
      <c r="O67" s="598" t="s">
        <v>116</v>
      </c>
      <c r="P67" s="482"/>
      <c r="Q67" s="483"/>
      <c r="R67" s="598"/>
      <c r="S67" s="482"/>
      <c r="T67" s="483"/>
      <c r="U67" s="598"/>
      <c r="V67" s="482"/>
      <c r="W67" s="483"/>
      <c r="X67" s="598"/>
      <c r="Y67" s="482"/>
      <c r="Z67" s="482"/>
      <c r="AA67" s="482"/>
      <c r="AB67" s="475"/>
      <c r="AC67" s="482"/>
      <c r="AD67" s="482"/>
      <c r="AE67" s="482"/>
      <c r="AF67" s="482"/>
      <c r="AG67" s="599"/>
    </row>
    <row r="68" spans="1:35" ht="21.95" customHeight="1" x14ac:dyDescent="0.2">
      <c r="A68" s="360"/>
      <c r="B68" s="305" t="s">
        <v>535</v>
      </c>
      <c r="C68" s="598" t="s">
        <v>147</v>
      </c>
      <c r="D68" s="482"/>
      <c r="E68" s="483"/>
      <c r="F68" s="598" t="s">
        <v>147</v>
      </c>
      <c r="G68" s="482"/>
      <c r="H68" s="483"/>
      <c r="I68" s="598" t="s">
        <v>147</v>
      </c>
      <c r="J68" s="482"/>
      <c r="K68" s="483"/>
      <c r="L68" s="598" t="s">
        <v>147</v>
      </c>
      <c r="M68" s="482"/>
      <c r="N68" s="483"/>
      <c r="O68" s="598" t="s">
        <v>536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x14ac:dyDescent="0.2">
      <c r="A69" s="360"/>
      <c r="B69" s="69"/>
      <c r="C69" s="360"/>
      <c r="D69" s="360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</row>
    <row r="70" spans="1:35" ht="21.95" customHeight="1" x14ac:dyDescent="0.2">
      <c r="A70" s="585" t="s">
        <v>468</v>
      </c>
      <c r="B70" s="296" t="s">
        <v>469</v>
      </c>
      <c r="C70" s="497">
        <v>1</v>
      </c>
      <c r="D70" s="177">
        <v>2</v>
      </c>
      <c r="E70" s="177">
        <v>3</v>
      </c>
      <c r="F70" s="177">
        <v>4</v>
      </c>
      <c r="G70" s="177">
        <v>5</v>
      </c>
      <c r="H70" s="177">
        <v>6</v>
      </c>
      <c r="I70" s="497">
        <v>7</v>
      </c>
      <c r="J70" s="497">
        <v>8</v>
      </c>
      <c r="K70" s="177">
        <v>9</v>
      </c>
      <c r="L70" s="177">
        <v>10</v>
      </c>
      <c r="M70" s="177">
        <v>11</v>
      </c>
      <c r="N70" s="177">
        <v>12</v>
      </c>
      <c r="O70" s="177">
        <v>13</v>
      </c>
      <c r="P70" s="497">
        <v>14</v>
      </c>
      <c r="Q70" s="497">
        <v>15</v>
      </c>
      <c r="R70" s="177">
        <v>16</v>
      </c>
      <c r="S70" s="177">
        <v>17</v>
      </c>
      <c r="T70" s="177">
        <v>18</v>
      </c>
      <c r="U70" s="177">
        <v>19</v>
      </c>
      <c r="V70" s="177">
        <v>20</v>
      </c>
      <c r="W70" s="497">
        <v>21</v>
      </c>
      <c r="X70" s="497">
        <v>22</v>
      </c>
      <c r="Y70" s="177">
        <v>23</v>
      </c>
      <c r="Z70" s="177">
        <v>24</v>
      </c>
      <c r="AA70" s="177">
        <v>25</v>
      </c>
      <c r="AB70" s="177">
        <v>26</v>
      </c>
      <c r="AC70" s="177">
        <v>27</v>
      </c>
      <c r="AD70" s="497">
        <v>28</v>
      </c>
      <c r="AE70" s="497">
        <v>29</v>
      </c>
      <c r="AF70" s="177">
        <v>30</v>
      </c>
      <c r="AG70" s="177">
        <v>31</v>
      </c>
      <c r="AH70" s="499" t="s">
        <v>470</v>
      </c>
      <c r="AI70" s="500" t="s">
        <v>471</v>
      </c>
    </row>
    <row r="71" spans="1:35" ht="21.95" customHeight="1" x14ac:dyDescent="0.2">
      <c r="A71" s="185">
        <v>8520</v>
      </c>
      <c r="B71" s="185" t="s">
        <v>537</v>
      </c>
      <c r="C71" s="514"/>
      <c r="D71" s="514" t="s">
        <v>538</v>
      </c>
      <c r="E71" s="514" t="s">
        <v>538</v>
      </c>
      <c r="F71" s="514" t="s">
        <v>538</v>
      </c>
      <c r="G71" s="514" t="s">
        <v>538</v>
      </c>
      <c r="H71" s="514" t="s">
        <v>538</v>
      </c>
      <c r="I71" s="514"/>
      <c r="J71" s="514"/>
      <c r="K71" s="514" t="s">
        <v>538</v>
      </c>
      <c r="L71" s="1534" t="s">
        <v>538</v>
      </c>
      <c r="M71" s="1534" t="s">
        <v>538</v>
      </c>
      <c r="N71" s="1534" t="s">
        <v>538</v>
      </c>
      <c r="O71" s="1534" t="s">
        <v>726</v>
      </c>
      <c r="P71" s="514"/>
      <c r="Q71" s="514"/>
      <c r="R71" s="514" t="s">
        <v>538</v>
      </c>
      <c r="S71" s="514" t="s">
        <v>538</v>
      </c>
      <c r="T71" s="514" t="s">
        <v>538</v>
      </c>
      <c r="U71" s="514" t="s">
        <v>538</v>
      </c>
      <c r="V71" s="514" t="s">
        <v>538</v>
      </c>
      <c r="W71" s="514"/>
      <c r="X71" s="514"/>
      <c r="Y71" s="514" t="s">
        <v>538</v>
      </c>
      <c r="Z71" s="514" t="s">
        <v>538</v>
      </c>
      <c r="AA71" s="1486" t="s">
        <v>739</v>
      </c>
      <c r="AB71" s="514" t="s">
        <v>538</v>
      </c>
      <c r="AC71" s="514" t="s">
        <v>538</v>
      </c>
      <c r="AD71" s="514"/>
      <c r="AE71" s="514"/>
      <c r="AF71" s="514" t="s">
        <v>538</v>
      </c>
      <c r="AG71" s="514" t="s">
        <v>538</v>
      </c>
      <c r="AH71" s="505">
        <v>28</v>
      </c>
      <c r="AI71" s="506">
        <v>31</v>
      </c>
    </row>
    <row r="72" spans="1:35" ht="21.95" customHeight="1" x14ac:dyDescent="0.2">
      <c r="A72" s="185">
        <v>8521</v>
      </c>
      <c r="B72" s="185" t="s">
        <v>539</v>
      </c>
      <c r="C72" s="514"/>
      <c r="D72" s="514" t="s">
        <v>540</v>
      </c>
      <c r="E72" s="514" t="s">
        <v>540</v>
      </c>
      <c r="F72" s="514" t="s">
        <v>540</v>
      </c>
      <c r="G72" s="514" t="s">
        <v>540</v>
      </c>
      <c r="H72" s="514" t="s">
        <v>540</v>
      </c>
      <c r="I72" s="514"/>
      <c r="J72" s="514"/>
      <c r="K72" s="514" t="s">
        <v>540</v>
      </c>
      <c r="L72" s="514" t="s">
        <v>540</v>
      </c>
      <c r="M72" s="514" t="s">
        <v>540</v>
      </c>
      <c r="N72" s="514" t="s">
        <v>540</v>
      </c>
      <c r="O72" s="514" t="s">
        <v>540</v>
      </c>
      <c r="P72" s="514"/>
      <c r="Q72" s="514"/>
      <c r="R72" s="514" t="s">
        <v>540</v>
      </c>
      <c r="S72" s="514" t="s">
        <v>540</v>
      </c>
      <c r="T72" s="1648" t="s">
        <v>540</v>
      </c>
      <c r="U72" s="514" t="s">
        <v>540</v>
      </c>
      <c r="V72" s="514" t="s">
        <v>540</v>
      </c>
      <c r="W72" s="514"/>
      <c r="X72" s="514"/>
      <c r="Y72" s="514" t="s">
        <v>538</v>
      </c>
      <c r="Z72" s="514" t="s">
        <v>538</v>
      </c>
      <c r="AA72" s="514" t="s">
        <v>540</v>
      </c>
      <c r="AB72" s="514" t="s">
        <v>540</v>
      </c>
      <c r="AC72" s="514" t="s">
        <v>540</v>
      </c>
      <c r="AD72" s="514"/>
      <c r="AE72" s="514"/>
      <c r="AF72" s="514" t="s">
        <v>540</v>
      </c>
      <c r="AG72" s="514" t="s">
        <v>540</v>
      </c>
      <c r="AH72" s="505">
        <v>29</v>
      </c>
      <c r="AI72" s="506">
        <v>37</v>
      </c>
    </row>
    <row r="73" spans="1:35" ht="21.95" customHeight="1" x14ac:dyDescent="0.2">
      <c r="A73" s="360"/>
      <c r="B73" s="360"/>
      <c r="C73" s="546"/>
      <c r="D73" s="525"/>
      <c r="E73" s="525"/>
      <c r="F73" s="525"/>
      <c r="G73" s="525"/>
      <c r="H73" s="525"/>
      <c r="I73" s="525"/>
      <c r="J73" s="525"/>
      <c r="K73" s="525"/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X73" s="525"/>
      <c r="Y73" s="525"/>
      <c r="Z73" s="525"/>
      <c r="AA73" s="525"/>
      <c r="AB73" s="525"/>
      <c r="AC73" s="525"/>
      <c r="AD73" s="525"/>
      <c r="AE73" s="525"/>
      <c r="AF73" s="525"/>
      <c r="AG73" s="525"/>
      <c r="AH73" s="591"/>
      <c r="AI73" s="591"/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x14ac:dyDescent="0.2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x14ac:dyDescent="0.2">
      <c r="A76" s="1" t="s">
        <v>541</v>
      </c>
      <c r="D76" s="360"/>
      <c r="E76" s="360"/>
      <c r="F76" s="360"/>
      <c r="G76" s="570"/>
      <c r="H76" s="360"/>
      <c r="I76" s="360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</row>
    <row r="77" spans="1:35" ht="21.95" customHeight="1" x14ac:dyDescent="0.2">
      <c r="A77" s="1"/>
      <c r="B77" s="23" t="s">
        <v>542</v>
      </c>
      <c r="C77" s="7"/>
      <c r="D77" s="530" t="s">
        <v>2</v>
      </c>
      <c r="E77" s="51"/>
      <c r="F77" s="573"/>
      <c r="G77" s="7"/>
      <c r="H77" s="530" t="s">
        <v>3</v>
      </c>
      <c r="I77" s="51"/>
      <c r="J77" s="573"/>
      <c r="K77" s="7"/>
      <c r="L77" s="530" t="s">
        <v>4</v>
      </c>
      <c r="M77" s="51"/>
      <c r="N77" s="573"/>
      <c r="O77" s="7"/>
      <c r="P77" s="530" t="s">
        <v>5</v>
      </c>
      <c r="Q77" s="51"/>
      <c r="R77" s="573"/>
      <c r="S77" s="7"/>
      <c r="T77" s="530" t="s">
        <v>6</v>
      </c>
      <c r="U77" s="51"/>
      <c r="V77" s="573"/>
      <c r="W77" s="7"/>
      <c r="X77" s="530" t="s">
        <v>7</v>
      </c>
      <c r="Y77" s="51"/>
      <c r="Z77" s="573"/>
      <c r="AA77" s="7"/>
      <c r="AB77" s="530" t="s">
        <v>8</v>
      </c>
      <c r="AC77" s="51"/>
      <c r="AD77" s="51"/>
      <c r="AE77" s="348" t="s">
        <v>9</v>
      </c>
      <c r="AF77" s="51"/>
      <c r="AG77" s="51"/>
      <c r="AH77" s="51"/>
      <c r="AI77" s="531"/>
    </row>
    <row r="78" spans="1:35" ht="21.95" customHeight="1" x14ac:dyDescent="0.2">
      <c r="A78" s="1"/>
      <c r="B78" s="129" t="s">
        <v>324</v>
      </c>
      <c r="C78" s="611" t="s">
        <v>543</v>
      </c>
      <c r="E78" s="156"/>
      <c r="F78" s="612"/>
      <c r="G78" s="611" t="s">
        <v>543</v>
      </c>
      <c r="H78" s="156"/>
      <c r="I78" s="156"/>
      <c r="J78" s="612"/>
      <c r="K78" s="611" t="s">
        <v>543</v>
      </c>
      <c r="L78" s="156"/>
      <c r="M78" s="156"/>
      <c r="N78" s="612"/>
      <c r="O78" s="611" t="s">
        <v>543</v>
      </c>
      <c r="P78" s="156"/>
      <c r="Q78" s="156"/>
      <c r="R78" s="612"/>
      <c r="S78" s="611" t="s">
        <v>544</v>
      </c>
      <c r="T78" s="156"/>
      <c r="U78" s="156"/>
      <c r="V78" s="613"/>
      <c r="W78" s="1055"/>
      <c r="X78" s="1056"/>
      <c r="Y78" s="1056"/>
      <c r="Z78" s="1057"/>
      <c r="AA78" s="613"/>
      <c r="AB78" s="156"/>
      <c r="AC78" s="156"/>
      <c r="AD78" s="613"/>
      <c r="AE78" s="121">
        <v>37</v>
      </c>
      <c r="AG78" s="156"/>
      <c r="AH78" s="613"/>
      <c r="AI78" s="489"/>
    </row>
    <row r="79" spans="1:35" ht="21.95" customHeight="1" x14ac:dyDescent="0.2">
      <c r="A79" s="1"/>
      <c r="B79" s="129" t="s">
        <v>325</v>
      </c>
      <c r="C79" s="611" t="s">
        <v>545</v>
      </c>
      <c r="D79" s="156"/>
      <c r="E79" s="156"/>
      <c r="F79" s="612"/>
      <c r="G79" s="611" t="s">
        <v>545</v>
      </c>
      <c r="H79" s="156"/>
      <c r="I79" s="156"/>
      <c r="J79" s="612"/>
      <c r="K79" s="611" t="s">
        <v>545</v>
      </c>
      <c r="L79" s="156"/>
      <c r="M79" s="156"/>
      <c r="N79" s="612"/>
      <c r="O79" s="611" t="s">
        <v>545</v>
      </c>
      <c r="P79" s="156"/>
      <c r="Q79" s="156"/>
      <c r="R79" s="612"/>
      <c r="S79" s="611" t="s">
        <v>546</v>
      </c>
      <c r="T79" s="156"/>
      <c r="U79" s="156"/>
      <c r="V79" s="612"/>
      <c r="W79" s="660" t="s">
        <v>547</v>
      </c>
      <c r="X79" s="55"/>
      <c r="Y79" s="55"/>
      <c r="Z79" s="55"/>
      <c r="AA79" s="611" t="s">
        <v>548</v>
      </c>
      <c r="AB79" s="611"/>
      <c r="AC79" s="611"/>
      <c r="AD79" s="611"/>
      <c r="AE79" s="154">
        <v>68.25</v>
      </c>
      <c r="AF79" s="156"/>
      <c r="AG79" s="615"/>
      <c r="AH79" s="616"/>
      <c r="AI79" s="617"/>
    </row>
    <row r="80" spans="1:35" ht="21.95" customHeight="1" x14ac:dyDescent="0.2">
      <c r="A80" s="1"/>
      <c r="B80" s="129" t="s">
        <v>326</v>
      </c>
      <c r="C80" s="1053" t="s">
        <v>167</v>
      </c>
      <c r="D80" s="156"/>
      <c r="E80" s="156"/>
      <c r="F80" s="612"/>
      <c r="G80" s="156" t="s">
        <v>167</v>
      </c>
      <c r="H80" s="156"/>
      <c r="I80" s="156"/>
      <c r="J80" s="612"/>
      <c r="K80" s="156" t="s">
        <v>167</v>
      </c>
      <c r="L80" s="156"/>
      <c r="M80" s="156"/>
      <c r="N80" s="612"/>
      <c r="O80" s="156" t="s">
        <v>167</v>
      </c>
      <c r="P80" s="156"/>
      <c r="Q80" s="156"/>
      <c r="R80" s="612"/>
      <c r="S80" s="156" t="s">
        <v>167</v>
      </c>
      <c r="T80" s="156"/>
      <c r="U80" s="156"/>
      <c r="V80" s="612"/>
      <c r="W80" s="611"/>
      <c r="X80" s="156"/>
      <c r="Y80" s="156"/>
      <c r="Z80" s="612"/>
      <c r="AA80" s="611"/>
      <c r="AB80" s="156"/>
      <c r="AC80" s="156"/>
      <c r="AD80" s="613"/>
      <c r="AE80" s="614">
        <v>0</v>
      </c>
      <c r="AF80" s="615"/>
      <c r="AG80" s="156"/>
      <c r="AH80" s="613"/>
      <c r="AI80" s="489"/>
    </row>
    <row r="81" spans="1:35" ht="21.95" customHeight="1" x14ac:dyDescent="0.2">
      <c r="A81" s="1"/>
      <c r="B81" s="47"/>
      <c r="C81" s="618"/>
      <c r="D81" s="53"/>
      <c r="E81" s="53"/>
      <c r="F81" s="619"/>
      <c r="G81" s="618"/>
      <c r="H81" s="53"/>
      <c r="I81" s="53"/>
      <c r="J81" s="619"/>
      <c r="K81" s="618"/>
      <c r="L81" s="53"/>
      <c r="M81" s="53"/>
      <c r="N81" s="619"/>
      <c r="O81" s="618"/>
      <c r="P81" s="53"/>
      <c r="Q81" s="53"/>
      <c r="R81" s="619"/>
      <c r="S81" s="618"/>
      <c r="T81" s="53"/>
      <c r="U81" s="53"/>
      <c r="V81" s="619"/>
      <c r="W81" s="53"/>
      <c r="X81" s="53"/>
      <c r="Y81" s="53"/>
      <c r="Z81" s="53"/>
      <c r="AA81" s="53"/>
      <c r="AB81" s="53"/>
      <c r="AC81" s="53"/>
      <c r="AD81" s="53"/>
      <c r="AE81" s="581"/>
      <c r="AF81" s="53"/>
      <c r="AG81" s="53"/>
      <c r="AH81" s="620"/>
      <c r="AI81" s="544"/>
    </row>
    <row r="82" spans="1:35" ht="21.95" customHeight="1" x14ac:dyDescent="0.2">
      <c r="A82" s="621"/>
      <c r="B82" s="1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585"/>
      <c r="B83" s="296" t="s">
        <v>469</v>
      </c>
      <c r="C83" s="497">
        <v>1</v>
      </c>
      <c r="D83" s="177">
        <v>2</v>
      </c>
      <c r="E83" s="177">
        <v>3</v>
      </c>
      <c r="F83" s="177">
        <v>4</v>
      </c>
      <c r="G83" s="177">
        <v>5</v>
      </c>
      <c r="H83" s="177">
        <v>6</v>
      </c>
      <c r="I83" s="498">
        <v>7</v>
      </c>
      <c r="J83" s="498">
        <v>8</v>
      </c>
      <c r="K83" s="177">
        <v>9</v>
      </c>
      <c r="L83" s="177">
        <v>10</v>
      </c>
      <c r="M83" s="177">
        <v>11</v>
      </c>
      <c r="N83" s="177">
        <v>12</v>
      </c>
      <c r="O83" s="177">
        <v>13</v>
      </c>
      <c r="P83" s="498">
        <v>14</v>
      </c>
      <c r="Q83" s="498">
        <v>15</v>
      </c>
      <c r="R83" s="177">
        <v>16</v>
      </c>
      <c r="S83" s="177">
        <v>17</v>
      </c>
      <c r="T83" s="177">
        <v>18</v>
      </c>
      <c r="U83" s="177">
        <v>19</v>
      </c>
      <c r="V83" s="1579">
        <v>20</v>
      </c>
      <c r="W83" s="498">
        <v>21</v>
      </c>
      <c r="X83" s="498">
        <v>22</v>
      </c>
      <c r="Y83" s="177">
        <v>23</v>
      </c>
      <c r="Z83" s="177">
        <v>24</v>
      </c>
      <c r="AA83" s="177">
        <v>25</v>
      </c>
      <c r="AB83" s="177">
        <v>26</v>
      </c>
      <c r="AC83" s="177">
        <v>27</v>
      </c>
      <c r="AD83" s="498">
        <v>28</v>
      </c>
      <c r="AE83" s="498">
        <v>29</v>
      </c>
      <c r="AF83" s="177">
        <v>30</v>
      </c>
      <c r="AG83" s="177">
        <v>31</v>
      </c>
      <c r="AH83" s="499" t="s">
        <v>470</v>
      </c>
      <c r="AI83" s="500" t="s">
        <v>471</v>
      </c>
    </row>
    <row r="84" spans="1:35" ht="21.95" customHeight="1" x14ac:dyDescent="0.2">
      <c r="A84" s="622">
        <v>1</v>
      </c>
      <c r="B84" s="152" t="s">
        <v>549</v>
      </c>
      <c r="C84" s="587"/>
      <c r="D84" s="587" t="s">
        <v>513</v>
      </c>
      <c r="E84" s="587" t="s">
        <v>513</v>
      </c>
      <c r="F84" s="587" t="s">
        <v>513</v>
      </c>
      <c r="G84" s="587" t="s">
        <v>513</v>
      </c>
      <c r="H84" s="587" t="s">
        <v>513</v>
      </c>
      <c r="I84" s="587" t="s">
        <v>550</v>
      </c>
      <c r="J84" s="587" t="s">
        <v>550</v>
      </c>
      <c r="K84" s="587" t="s">
        <v>475</v>
      </c>
      <c r="L84" s="587" t="s">
        <v>475</v>
      </c>
      <c r="M84" s="587" t="s">
        <v>475</v>
      </c>
      <c r="N84" s="587" t="s">
        <v>475</v>
      </c>
      <c r="O84" s="587" t="s">
        <v>475</v>
      </c>
      <c r="P84" s="587"/>
      <c r="Q84" s="587"/>
      <c r="R84" s="1482" t="s">
        <v>551</v>
      </c>
      <c r="S84" s="587" t="s">
        <v>551</v>
      </c>
      <c r="T84" s="587" t="s">
        <v>551</v>
      </c>
      <c r="U84" s="587" t="s">
        <v>551</v>
      </c>
      <c r="V84" s="587" t="s">
        <v>551</v>
      </c>
      <c r="W84" s="587"/>
      <c r="X84" s="587"/>
      <c r="Y84" s="1482" t="s">
        <v>513</v>
      </c>
      <c r="Z84" s="587" t="s">
        <v>513</v>
      </c>
      <c r="AA84" s="1486" t="s">
        <v>513</v>
      </c>
      <c r="AB84" s="1606" t="s">
        <v>513</v>
      </c>
      <c r="AC84" s="1606" t="s">
        <v>513</v>
      </c>
      <c r="AD84" s="1606" t="s">
        <v>550</v>
      </c>
      <c r="AE84" s="1606" t="s">
        <v>550</v>
      </c>
      <c r="AF84" s="1482" t="s">
        <v>475</v>
      </c>
      <c r="AG84" s="587" t="s">
        <v>475</v>
      </c>
      <c r="AH84" s="505">
        <v>0</v>
      </c>
      <c r="AI84" s="506">
        <v>19</v>
      </c>
    </row>
    <row r="85" spans="1:35" ht="21.95" customHeight="1" x14ac:dyDescent="0.2">
      <c r="A85" s="622">
        <v>2</v>
      </c>
      <c r="B85" s="318" t="s">
        <v>553</v>
      </c>
      <c r="C85" s="1097"/>
      <c r="D85" s="1097" t="s">
        <v>552</v>
      </c>
      <c r="E85" s="1097" t="s">
        <v>552</v>
      </c>
      <c r="F85" s="1097" t="s">
        <v>552</v>
      </c>
      <c r="G85" s="1097" t="s">
        <v>552</v>
      </c>
      <c r="H85" s="1097" t="s">
        <v>552</v>
      </c>
      <c r="I85" s="1097"/>
      <c r="J85" s="1097"/>
      <c r="K85" s="1097" t="s">
        <v>552</v>
      </c>
      <c r="L85" s="1097" t="s">
        <v>552</v>
      </c>
      <c r="M85" s="1097" t="s">
        <v>552</v>
      </c>
      <c r="N85" s="1097" t="s">
        <v>552</v>
      </c>
      <c r="O85" s="1097" t="s">
        <v>552</v>
      </c>
      <c r="P85" s="1097"/>
      <c r="Q85" s="1097"/>
      <c r="R85" s="1097" t="s">
        <v>552</v>
      </c>
      <c r="S85" s="1097" t="s">
        <v>552</v>
      </c>
      <c r="T85" s="1097" t="s">
        <v>552</v>
      </c>
      <c r="U85" s="1551">
        <v>7</v>
      </c>
      <c r="V85" s="1551">
        <v>7</v>
      </c>
      <c r="W85" s="1097"/>
      <c r="X85" s="1097"/>
      <c r="Y85" s="1097" t="s">
        <v>552</v>
      </c>
      <c r="Z85" s="1097" t="s">
        <v>552</v>
      </c>
      <c r="AA85" s="1097" t="s">
        <v>552</v>
      </c>
      <c r="AB85" s="1616" t="s">
        <v>552</v>
      </c>
      <c r="AC85" s="1616" t="s">
        <v>552</v>
      </c>
      <c r="AD85" s="1097"/>
      <c r="AE85" s="1097"/>
      <c r="AF85" s="1097" t="s">
        <v>552</v>
      </c>
      <c r="AG85" s="1097" t="s">
        <v>552</v>
      </c>
      <c r="AH85" s="505">
        <v>42</v>
      </c>
      <c r="AI85" s="506">
        <v>37</v>
      </c>
    </row>
    <row r="86" spans="1:35" ht="21.95" customHeight="1" x14ac:dyDescent="0.2">
      <c r="A86" s="622">
        <v>3</v>
      </c>
      <c r="B86" s="552" t="s">
        <v>554</v>
      </c>
      <c r="C86" s="587"/>
      <c r="D86" s="587" t="s">
        <v>551</v>
      </c>
      <c r="E86" s="587" t="s">
        <v>551</v>
      </c>
      <c r="F86" s="587" t="s">
        <v>551</v>
      </c>
      <c r="G86" s="587" t="s">
        <v>551</v>
      </c>
      <c r="H86" s="587" t="s">
        <v>551</v>
      </c>
      <c r="I86" s="587"/>
      <c r="J86" s="587"/>
      <c r="K86" s="587" t="s">
        <v>513</v>
      </c>
      <c r="L86" s="587" t="s">
        <v>513</v>
      </c>
      <c r="M86" s="587" t="s">
        <v>513</v>
      </c>
      <c r="N86" s="587" t="s">
        <v>513</v>
      </c>
      <c r="O86" s="587" t="s">
        <v>513</v>
      </c>
      <c r="P86" s="587" t="s">
        <v>550</v>
      </c>
      <c r="Q86" s="587" t="s">
        <v>550</v>
      </c>
      <c r="R86" s="587" t="s">
        <v>475</v>
      </c>
      <c r="S86" s="587" t="s">
        <v>475</v>
      </c>
      <c r="T86" s="587" t="s">
        <v>475</v>
      </c>
      <c r="U86" s="587" t="s">
        <v>475</v>
      </c>
      <c r="V86" s="587" t="s">
        <v>475</v>
      </c>
      <c r="W86" s="587"/>
      <c r="X86" s="587"/>
      <c r="Y86" s="587" t="s">
        <v>551</v>
      </c>
      <c r="Z86" s="587" t="s">
        <v>551</v>
      </c>
      <c r="AA86" s="1486" t="s">
        <v>551</v>
      </c>
      <c r="AB86" s="587" t="s">
        <v>551</v>
      </c>
      <c r="AC86" s="587" t="s">
        <v>551</v>
      </c>
      <c r="AD86" s="587"/>
      <c r="AE86" s="587"/>
      <c r="AF86" s="1524" t="s">
        <v>513</v>
      </c>
      <c r="AG86" s="1524" t="s">
        <v>513</v>
      </c>
      <c r="AH86" s="505">
        <v>11</v>
      </c>
      <c r="AI86" s="506">
        <v>37</v>
      </c>
    </row>
    <row r="87" spans="1:35" ht="21.95" customHeight="1" x14ac:dyDescent="0.2"/>
    <row r="88" spans="1:35" ht="21.95" customHeight="1" x14ac:dyDescent="0.2">
      <c r="A88" s="623"/>
      <c r="B88" s="353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590"/>
      <c r="N88" s="590"/>
      <c r="O88" s="590"/>
      <c r="P88" s="590"/>
      <c r="Q88" s="590"/>
      <c r="R88" s="590"/>
      <c r="S88" s="590"/>
      <c r="T88" s="590"/>
      <c r="U88" s="590"/>
      <c r="V88" s="590"/>
      <c r="W88" s="590"/>
      <c r="X88" s="590"/>
      <c r="Y88" s="590"/>
      <c r="Z88" s="590"/>
      <c r="AA88" s="590"/>
      <c r="AB88" s="590"/>
      <c r="AC88" s="590"/>
      <c r="AD88" s="590"/>
      <c r="AE88" s="590"/>
      <c r="AF88" s="590"/>
      <c r="AH88" s="591"/>
      <c r="AI88" s="591"/>
    </row>
    <row r="89" spans="1:35" ht="21.95" customHeight="1" x14ac:dyDescent="0.2">
      <c r="A89" s="1" t="s">
        <v>555</v>
      </c>
      <c r="D89" s="360"/>
      <c r="E89" s="360"/>
      <c r="F89" s="360"/>
      <c r="G89" s="57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</row>
    <row r="90" spans="1:35" ht="21.95" customHeight="1" x14ac:dyDescent="0.2">
      <c r="A90" s="1"/>
      <c r="B90" s="23" t="s">
        <v>556</v>
      </c>
      <c r="C90" s="7"/>
      <c r="D90" s="530" t="s">
        <v>2</v>
      </c>
      <c r="E90" s="51"/>
      <c r="F90" s="573"/>
      <c r="G90" s="7"/>
      <c r="H90" s="530" t="s">
        <v>3</v>
      </c>
      <c r="I90" s="51"/>
      <c r="J90" s="573"/>
      <c r="K90" s="7"/>
      <c r="L90" s="530" t="s">
        <v>4</v>
      </c>
      <c r="M90" s="51"/>
      <c r="N90" s="573"/>
      <c r="O90" s="7"/>
      <c r="P90" s="530" t="s">
        <v>5</v>
      </c>
      <c r="Q90" s="51"/>
      <c r="R90" s="573"/>
      <c r="S90" s="7"/>
      <c r="T90" s="530" t="s">
        <v>6</v>
      </c>
      <c r="U90" s="51"/>
      <c r="V90" s="573"/>
      <c r="W90" s="7"/>
      <c r="X90" s="530" t="s">
        <v>7</v>
      </c>
      <c r="Y90" s="51"/>
      <c r="Z90" s="573"/>
      <c r="AA90" s="7"/>
      <c r="AB90" s="530" t="s">
        <v>8</v>
      </c>
      <c r="AC90" s="51"/>
      <c r="AD90" s="51"/>
      <c r="AE90" s="424" t="s">
        <v>10</v>
      </c>
      <c r="AF90" s="51"/>
      <c r="AG90" s="51"/>
      <c r="AH90" s="51"/>
      <c r="AI90" s="531"/>
    </row>
    <row r="91" spans="1:35" ht="21.95" customHeight="1" x14ac:dyDescent="0.2">
      <c r="A91" s="1"/>
      <c r="B91" s="129" t="s">
        <v>324</v>
      </c>
      <c r="C91" s="611"/>
      <c r="D91" s="156" t="s">
        <v>167</v>
      </c>
      <c r="E91" s="156"/>
      <c r="F91" s="612"/>
      <c r="G91" s="611"/>
      <c r="H91" s="156" t="s">
        <v>167</v>
      </c>
      <c r="I91" s="156"/>
      <c r="J91" s="612"/>
      <c r="K91" s="611" t="s">
        <v>557</v>
      </c>
      <c r="L91" s="156"/>
      <c r="M91" s="156"/>
      <c r="N91" s="612"/>
      <c r="O91" s="611" t="s">
        <v>557</v>
      </c>
      <c r="P91" s="156"/>
      <c r="Q91" s="156"/>
      <c r="R91" s="612"/>
      <c r="S91" s="611" t="s">
        <v>557</v>
      </c>
      <c r="T91" s="156"/>
      <c r="U91" s="156"/>
      <c r="V91" s="612"/>
      <c r="W91" s="611" t="s">
        <v>558</v>
      </c>
      <c r="X91" s="624"/>
      <c r="Y91" s="624"/>
      <c r="Z91" s="625"/>
      <c r="AA91" s="611" t="s">
        <v>559</v>
      </c>
      <c r="AB91" s="156"/>
      <c r="AC91" s="156"/>
      <c r="AD91" s="613"/>
      <c r="AE91" s="128">
        <v>56</v>
      </c>
      <c r="AF91" s="156"/>
      <c r="AG91" s="156" t="s">
        <v>28</v>
      </c>
      <c r="AH91" s="613"/>
      <c r="AI91" s="489"/>
    </row>
    <row r="92" spans="1:35" ht="21.95" customHeight="1" x14ac:dyDescent="0.2">
      <c r="A92" s="1"/>
      <c r="B92" s="129" t="s">
        <v>325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/>
      <c r="L92" s="156" t="s">
        <v>167</v>
      </c>
      <c r="M92" s="156"/>
      <c r="N92" s="612"/>
      <c r="O92" s="611"/>
      <c r="P92" s="156" t="s">
        <v>167</v>
      </c>
      <c r="Q92" s="156"/>
      <c r="R92" s="612"/>
      <c r="S92" s="611"/>
      <c r="T92" s="156" t="s">
        <v>167</v>
      </c>
      <c r="U92" s="156"/>
      <c r="V92" s="612"/>
      <c r="W92" s="611"/>
      <c r="X92" s="156" t="s">
        <v>167</v>
      </c>
      <c r="Y92" s="156"/>
      <c r="Z92" s="612"/>
      <c r="AA92" s="156" t="s">
        <v>167</v>
      </c>
      <c r="AB92" s="156"/>
      <c r="AC92" s="156"/>
      <c r="AD92" s="613"/>
      <c r="AE92" s="128">
        <v>0</v>
      </c>
      <c r="AF92" s="156"/>
      <c r="AG92" s="156"/>
      <c r="AH92" s="613"/>
      <c r="AI92" s="489"/>
    </row>
    <row r="93" spans="1:35" ht="21.95" customHeight="1" x14ac:dyDescent="0.2">
      <c r="A93" s="1"/>
      <c r="B93" s="129" t="s">
        <v>326</v>
      </c>
      <c r="C93" s="611" t="s">
        <v>557</v>
      </c>
      <c r="D93" s="156"/>
      <c r="E93" s="156"/>
      <c r="F93" s="612"/>
      <c r="G93" s="611" t="s">
        <v>557</v>
      </c>
      <c r="H93" s="156"/>
      <c r="I93" s="156"/>
      <c r="J93" s="612"/>
      <c r="K93" s="121"/>
      <c r="L93" s="156" t="s">
        <v>167</v>
      </c>
      <c r="M93" s="156"/>
      <c r="N93" s="612"/>
      <c r="O93" s="121"/>
      <c r="P93" s="156" t="s">
        <v>167</v>
      </c>
      <c r="Q93" s="156"/>
      <c r="R93" s="612"/>
      <c r="S93" s="121"/>
      <c r="T93" s="156" t="s">
        <v>167</v>
      </c>
      <c r="U93" s="156"/>
      <c r="V93" s="612"/>
      <c r="W93" s="626" t="s">
        <v>560</v>
      </c>
      <c r="X93" s="134"/>
      <c r="Y93" s="134"/>
      <c r="Z93" s="627"/>
      <c r="AA93" s="626" t="s">
        <v>561</v>
      </c>
      <c r="AB93" s="134"/>
      <c r="AC93" s="134"/>
      <c r="AD93" s="628"/>
      <c r="AE93" s="128">
        <v>46</v>
      </c>
      <c r="AF93" s="156"/>
      <c r="AG93" s="156"/>
      <c r="AH93" s="613"/>
      <c r="AI93" s="489"/>
    </row>
    <row r="94" spans="1:35" ht="21.95" customHeight="1" x14ac:dyDescent="0.2">
      <c r="A94" s="1"/>
      <c r="B94" s="16" t="s">
        <v>236</v>
      </c>
      <c r="C94" s="618" t="s">
        <v>420</v>
      </c>
      <c r="D94" s="53"/>
      <c r="E94" s="53"/>
      <c r="F94" s="619"/>
      <c r="G94" s="618" t="s">
        <v>421</v>
      </c>
      <c r="H94" s="53"/>
      <c r="I94" s="53"/>
      <c r="J94" s="619"/>
      <c r="K94" s="618" t="s">
        <v>421</v>
      </c>
      <c r="L94" s="53"/>
      <c r="M94" s="53"/>
      <c r="N94" s="619"/>
      <c r="O94" s="618" t="s">
        <v>421</v>
      </c>
      <c r="P94" s="53"/>
      <c r="Q94" s="53"/>
      <c r="R94" s="619"/>
      <c r="S94" s="618" t="s">
        <v>422</v>
      </c>
      <c r="T94" s="53"/>
      <c r="U94" s="53"/>
      <c r="V94" s="620"/>
      <c r="W94" s="57"/>
      <c r="X94" s="620" t="s">
        <v>167</v>
      </c>
      <c r="Y94" s="53"/>
      <c r="Z94" s="619"/>
      <c r="AA94" s="57"/>
      <c r="AB94" s="620" t="s">
        <v>167</v>
      </c>
      <c r="AC94" s="53"/>
      <c r="AD94" s="619"/>
      <c r="AE94" s="629">
        <v>37.5</v>
      </c>
      <c r="AF94" s="53"/>
      <c r="AG94" s="53"/>
      <c r="AH94" s="620"/>
      <c r="AI94" s="544"/>
    </row>
    <row r="95" spans="1:35" ht="21.95" customHeight="1" x14ac:dyDescent="0.2">
      <c r="A95" s="621"/>
      <c r="B95" s="1"/>
      <c r="C95" s="360"/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585"/>
      <c r="B96" s="296" t="s">
        <v>469</v>
      </c>
      <c r="C96" s="497">
        <v>1</v>
      </c>
      <c r="D96" s="177">
        <v>2</v>
      </c>
      <c r="E96" s="177">
        <v>3</v>
      </c>
      <c r="F96" s="177">
        <v>4</v>
      </c>
      <c r="G96" s="177">
        <v>5</v>
      </c>
      <c r="H96" s="177">
        <v>6</v>
      </c>
      <c r="I96" s="497">
        <v>7</v>
      </c>
      <c r="J96" s="497">
        <v>8</v>
      </c>
      <c r="K96" s="177">
        <v>9</v>
      </c>
      <c r="L96" s="177">
        <v>10</v>
      </c>
      <c r="M96" s="177">
        <v>11</v>
      </c>
      <c r="N96" s="177">
        <v>12</v>
      </c>
      <c r="O96" s="177">
        <v>13</v>
      </c>
      <c r="P96" s="497">
        <v>14</v>
      </c>
      <c r="Q96" s="497">
        <v>15</v>
      </c>
      <c r="R96" s="177">
        <v>16</v>
      </c>
      <c r="S96" s="177">
        <v>17</v>
      </c>
      <c r="T96" s="177">
        <v>18</v>
      </c>
      <c r="U96" s="177">
        <v>19</v>
      </c>
      <c r="V96" s="177">
        <v>20</v>
      </c>
      <c r="W96" s="497">
        <v>21</v>
      </c>
      <c r="X96" s="497">
        <v>22</v>
      </c>
      <c r="Y96" s="177">
        <v>23</v>
      </c>
      <c r="Z96" s="177">
        <v>24</v>
      </c>
      <c r="AA96" s="177">
        <v>25</v>
      </c>
      <c r="AB96" s="177">
        <v>26</v>
      </c>
      <c r="AC96" s="177">
        <v>27</v>
      </c>
      <c r="AD96" s="497">
        <v>28</v>
      </c>
      <c r="AE96" s="497">
        <v>29</v>
      </c>
      <c r="AF96" s="177">
        <v>30</v>
      </c>
      <c r="AG96" s="177">
        <v>31</v>
      </c>
      <c r="AH96" s="499" t="s">
        <v>470</v>
      </c>
      <c r="AI96" s="500" t="s">
        <v>471</v>
      </c>
    </row>
    <row r="97" spans="1:35" ht="21.95" customHeight="1" thickBot="1" x14ac:dyDescent="0.25">
      <c r="A97" s="622">
        <v>1</v>
      </c>
      <c r="B97" s="318" t="s">
        <v>562</v>
      </c>
      <c r="C97" s="587" t="s">
        <v>569</v>
      </c>
      <c r="D97" s="587" t="s">
        <v>475</v>
      </c>
      <c r="E97" s="587" t="s">
        <v>475</v>
      </c>
      <c r="F97" s="587" t="s">
        <v>475</v>
      </c>
      <c r="G97" s="587" t="s">
        <v>475</v>
      </c>
      <c r="H97" s="587" t="s">
        <v>475</v>
      </c>
      <c r="I97" s="587" t="s">
        <v>475</v>
      </c>
      <c r="J97" s="587" t="s">
        <v>475</v>
      </c>
      <c r="K97" s="587" t="s">
        <v>522</v>
      </c>
      <c r="L97" s="587" t="s">
        <v>522</v>
      </c>
      <c r="M97" s="587" t="s">
        <v>475</v>
      </c>
      <c r="N97" s="587" t="s">
        <v>475</v>
      </c>
      <c r="O97" s="587" t="s">
        <v>475</v>
      </c>
      <c r="P97" s="587" t="s">
        <v>563</v>
      </c>
      <c r="Q97" s="587" t="s">
        <v>564</v>
      </c>
      <c r="R97" s="727" t="s">
        <v>644</v>
      </c>
      <c r="S97" s="727" t="s">
        <v>644</v>
      </c>
      <c r="T97" s="727" t="s">
        <v>644</v>
      </c>
      <c r="U97" s="727" t="s">
        <v>644</v>
      </c>
      <c r="V97" s="727" t="s">
        <v>644</v>
      </c>
      <c r="W97" s="587" t="s">
        <v>475</v>
      </c>
      <c r="X97" s="587" t="s">
        <v>475</v>
      </c>
      <c r="Y97" s="587" t="s">
        <v>475</v>
      </c>
      <c r="Z97" s="587" t="s">
        <v>475</v>
      </c>
      <c r="AA97" s="587" t="s">
        <v>522</v>
      </c>
      <c r="AB97" s="587" t="s">
        <v>522</v>
      </c>
      <c r="AC97" s="587" t="s">
        <v>522</v>
      </c>
      <c r="AD97" s="587" t="s">
        <v>568</v>
      </c>
      <c r="AE97" s="587" t="s">
        <v>569</v>
      </c>
      <c r="AF97" s="587" t="s">
        <v>475</v>
      </c>
      <c r="AG97" s="587" t="s">
        <v>475</v>
      </c>
      <c r="AH97" s="505">
        <v>46</v>
      </c>
      <c r="AI97" s="506">
        <v>37</v>
      </c>
    </row>
    <row r="98" spans="1:35" ht="21.95" customHeight="1" x14ac:dyDescent="0.2">
      <c r="A98" s="622">
        <v>2</v>
      </c>
      <c r="B98" s="318" t="s">
        <v>570</v>
      </c>
      <c r="C98" s="553" t="s">
        <v>475</v>
      </c>
      <c r="D98" s="553" t="s">
        <v>522</v>
      </c>
      <c r="E98" s="553" t="s">
        <v>522</v>
      </c>
      <c r="F98" s="553" t="s">
        <v>475</v>
      </c>
      <c r="G98" s="553" t="s">
        <v>475</v>
      </c>
      <c r="H98" s="587" t="s">
        <v>475</v>
      </c>
      <c r="I98" s="588" t="s">
        <v>563</v>
      </c>
      <c r="J98" s="587" t="s">
        <v>564</v>
      </c>
      <c r="K98" s="1527" t="s">
        <v>565</v>
      </c>
      <c r="L98" s="1524" t="s">
        <v>566</v>
      </c>
      <c r="M98" s="1524" t="s">
        <v>566</v>
      </c>
      <c r="N98" s="1614" t="s">
        <v>566</v>
      </c>
      <c r="O98" s="1535" t="s">
        <v>567</v>
      </c>
      <c r="P98" s="587" t="s">
        <v>475</v>
      </c>
      <c r="Q98" s="588" t="s">
        <v>475</v>
      </c>
      <c r="R98" s="587" t="s">
        <v>475</v>
      </c>
      <c r="S98" s="587" t="s">
        <v>475</v>
      </c>
      <c r="T98" s="587" t="s">
        <v>522</v>
      </c>
      <c r="U98" s="587" t="s">
        <v>522</v>
      </c>
      <c r="V98" s="587" t="s">
        <v>522</v>
      </c>
      <c r="W98" s="587" t="s">
        <v>568</v>
      </c>
      <c r="X98" s="587" t="s">
        <v>569</v>
      </c>
      <c r="Y98" s="587" t="s">
        <v>475</v>
      </c>
      <c r="Z98" s="587" t="s">
        <v>475</v>
      </c>
      <c r="AA98" s="1486" t="s">
        <v>475</v>
      </c>
      <c r="AB98" s="587" t="s">
        <v>475</v>
      </c>
      <c r="AC98" s="587" t="s">
        <v>475</v>
      </c>
      <c r="AD98" s="587" t="s">
        <v>475</v>
      </c>
      <c r="AE98" s="553" t="s">
        <v>475</v>
      </c>
      <c r="AF98" s="553" t="s">
        <v>522</v>
      </c>
      <c r="AG98" s="553" t="s">
        <v>522</v>
      </c>
      <c r="AH98" s="505">
        <v>52</v>
      </c>
      <c r="AI98" s="506">
        <v>37</v>
      </c>
    </row>
    <row r="99" spans="1:35" ht="21.95" customHeight="1" x14ac:dyDescent="0.2">
      <c r="A99" s="622">
        <v>3</v>
      </c>
      <c r="B99" s="552" t="s">
        <v>572</v>
      </c>
      <c r="C99" s="587" t="s">
        <v>475</v>
      </c>
      <c r="D99" s="587" t="s">
        <v>475</v>
      </c>
      <c r="E99" s="587" t="s">
        <v>475</v>
      </c>
      <c r="F99" s="587" t="s">
        <v>522</v>
      </c>
      <c r="G99" s="588" t="s">
        <v>522</v>
      </c>
      <c r="H99" s="587" t="s">
        <v>522</v>
      </c>
      <c r="I99" s="587" t="s">
        <v>568</v>
      </c>
      <c r="J99" s="588" t="s">
        <v>569</v>
      </c>
      <c r="K99" s="587" t="s">
        <v>475</v>
      </c>
      <c r="L99" s="587" t="s">
        <v>475</v>
      </c>
      <c r="M99" s="587" t="s">
        <v>475</v>
      </c>
      <c r="N99" s="587" t="s">
        <v>475</v>
      </c>
      <c r="O99" s="587" t="s">
        <v>475</v>
      </c>
      <c r="P99" s="587" t="s">
        <v>475</v>
      </c>
      <c r="Q99" s="588" t="s">
        <v>475</v>
      </c>
      <c r="R99" s="587" t="s">
        <v>522</v>
      </c>
      <c r="S99" s="587" t="s">
        <v>522</v>
      </c>
      <c r="T99" s="587" t="s">
        <v>475</v>
      </c>
      <c r="U99" s="587" t="s">
        <v>475</v>
      </c>
      <c r="V99" s="587" t="s">
        <v>475</v>
      </c>
      <c r="W99" s="588" t="s">
        <v>563</v>
      </c>
      <c r="X99" s="587" t="s">
        <v>564</v>
      </c>
      <c r="Y99" s="1524" t="s">
        <v>565</v>
      </c>
      <c r="Z99" s="1524" t="s">
        <v>566</v>
      </c>
      <c r="AA99" s="1486" t="s">
        <v>566</v>
      </c>
      <c r="AB99" s="1614" t="s">
        <v>566</v>
      </c>
      <c r="AC99" s="1524" t="s">
        <v>567</v>
      </c>
      <c r="AD99" s="587" t="s">
        <v>475</v>
      </c>
      <c r="AE99" s="587" t="s">
        <v>475</v>
      </c>
      <c r="AF99" s="587" t="s">
        <v>475</v>
      </c>
      <c r="AG99" s="587" t="s">
        <v>475</v>
      </c>
      <c r="AH99" s="651">
        <v>43</v>
      </c>
      <c r="AI99" s="523">
        <v>37</v>
      </c>
    </row>
    <row r="100" spans="1:35" ht="21.95" customHeight="1" x14ac:dyDescent="0.2">
      <c r="A100" s="622">
        <v>4</v>
      </c>
      <c r="B100" s="552" t="s">
        <v>573</v>
      </c>
      <c r="C100" s="587" t="s">
        <v>564</v>
      </c>
      <c r="D100" s="1524" t="s">
        <v>565</v>
      </c>
      <c r="E100" s="1614" t="s">
        <v>566</v>
      </c>
      <c r="F100" s="1614" t="s">
        <v>566</v>
      </c>
      <c r="G100" s="1614" t="s">
        <v>566</v>
      </c>
      <c r="H100" s="1524" t="s">
        <v>567</v>
      </c>
      <c r="I100" s="587" t="s">
        <v>475</v>
      </c>
      <c r="J100" s="587" t="s">
        <v>475</v>
      </c>
      <c r="K100" s="587" t="s">
        <v>475</v>
      </c>
      <c r="L100" s="587" t="s">
        <v>475</v>
      </c>
      <c r="M100" s="587" t="s">
        <v>522</v>
      </c>
      <c r="N100" s="588" t="s">
        <v>522</v>
      </c>
      <c r="O100" s="587" t="s">
        <v>522</v>
      </c>
      <c r="P100" s="587" t="s">
        <v>568</v>
      </c>
      <c r="Q100" s="588" t="s">
        <v>569</v>
      </c>
      <c r="R100" s="587" t="s">
        <v>475</v>
      </c>
      <c r="S100" s="587" t="s">
        <v>475</v>
      </c>
      <c r="T100" s="587" t="s">
        <v>475</v>
      </c>
      <c r="U100" s="587" t="s">
        <v>475</v>
      </c>
      <c r="V100" s="587" t="s">
        <v>475</v>
      </c>
      <c r="W100" s="587" t="s">
        <v>475</v>
      </c>
      <c r="X100" s="587" t="s">
        <v>475</v>
      </c>
      <c r="Y100" s="587" t="s">
        <v>522</v>
      </c>
      <c r="Z100" s="587" t="s">
        <v>522</v>
      </c>
      <c r="AA100" s="587" t="s">
        <v>475</v>
      </c>
      <c r="AB100" s="587" t="s">
        <v>475</v>
      </c>
      <c r="AC100" s="587" t="s">
        <v>475</v>
      </c>
      <c r="AD100" s="588" t="s">
        <v>563</v>
      </c>
      <c r="AE100" s="587" t="s">
        <v>564</v>
      </c>
      <c r="AF100" s="587" t="s">
        <v>644</v>
      </c>
      <c r="AG100" s="587" t="s">
        <v>644</v>
      </c>
      <c r="AH100" s="651">
        <v>52</v>
      </c>
      <c r="AI100" s="523">
        <v>37</v>
      </c>
    </row>
    <row r="101" spans="1:35" ht="21.95" customHeight="1" x14ac:dyDescent="0.2">
      <c r="A101" s="623"/>
      <c r="B101" s="630"/>
      <c r="C101" s="590"/>
      <c r="D101" s="590"/>
      <c r="E101" s="590"/>
      <c r="F101" s="590"/>
      <c r="G101" s="590"/>
      <c r="H101" s="590"/>
      <c r="I101" s="590"/>
      <c r="J101" s="590"/>
      <c r="K101" s="590"/>
      <c r="L101" s="590"/>
      <c r="M101" s="590"/>
      <c r="N101" s="590"/>
      <c r="O101" s="590"/>
      <c r="P101" s="590"/>
      <c r="Q101" s="590"/>
      <c r="R101" s="590"/>
      <c r="S101" s="590"/>
      <c r="T101" s="590"/>
      <c r="U101" s="590"/>
      <c r="V101" s="590"/>
      <c r="W101" s="590"/>
      <c r="X101" s="590"/>
      <c r="Y101" s="590"/>
      <c r="Z101" s="590"/>
      <c r="AA101" s="590"/>
      <c r="AB101" s="590"/>
      <c r="AC101" s="590"/>
      <c r="AD101" s="590"/>
      <c r="AE101" s="590"/>
      <c r="AF101" s="590"/>
      <c r="AG101" s="590"/>
      <c r="AH101" s="591"/>
      <c r="AI101" s="591"/>
    </row>
    <row r="102" spans="1:35" ht="21.95" customHeight="1" x14ac:dyDescent="0.2">
      <c r="A102" s="1" t="s">
        <v>574</v>
      </c>
      <c r="D102" s="360"/>
      <c r="E102" s="360"/>
      <c r="F102" s="360"/>
      <c r="G102" s="57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</row>
    <row r="103" spans="1:35" ht="21.95" customHeight="1" x14ac:dyDescent="0.2">
      <c r="A103" s="1"/>
      <c r="B103" s="23" t="s">
        <v>556</v>
      </c>
      <c r="C103" s="7"/>
      <c r="D103" s="530" t="s">
        <v>2</v>
      </c>
      <c r="E103" s="51"/>
      <c r="F103" s="573"/>
      <c r="G103" s="7"/>
      <c r="H103" s="530" t="s">
        <v>3</v>
      </c>
      <c r="I103" s="51"/>
      <c r="J103" s="573"/>
      <c r="K103" s="7"/>
      <c r="L103" s="530" t="s">
        <v>4</v>
      </c>
      <c r="M103" s="51"/>
      <c r="N103" s="573"/>
      <c r="O103" s="7"/>
      <c r="P103" s="530" t="s">
        <v>5</v>
      </c>
      <c r="Q103" s="51"/>
      <c r="R103" s="573"/>
      <c r="S103" s="7"/>
      <c r="T103" s="530" t="s">
        <v>6</v>
      </c>
      <c r="U103" s="51"/>
      <c r="V103" s="573"/>
      <c r="W103" s="7"/>
      <c r="X103" s="530" t="s">
        <v>7</v>
      </c>
      <c r="Y103" s="51"/>
      <c r="Z103" s="573"/>
      <c r="AA103" s="7"/>
      <c r="AB103" s="530" t="s">
        <v>8</v>
      </c>
      <c r="AC103" s="51"/>
      <c r="AD103" s="51"/>
      <c r="AE103" s="424" t="s">
        <v>10</v>
      </c>
      <c r="AF103" s="51"/>
      <c r="AG103" s="51"/>
      <c r="AH103" s="51"/>
      <c r="AI103" s="531"/>
    </row>
    <row r="104" spans="1:35" ht="21.95" customHeight="1" x14ac:dyDescent="0.2">
      <c r="A104" s="1"/>
      <c r="B104" s="129" t="s">
        <v>324</v>
      </c>
      <c r="C104" s="121" t="s">
        <v>167</v>
      </c>
      <c r="D104" s="156"/>
      <c r="E104" s="156"/>
      <c r="F104" s="612"/>
      <c r="G104" s="121" t="s">
        <v>709</v>
      </c>
      <c r="H104" s="156"/>
      <c r="I104" s="156"/>
      <c r="J104" s="612"/>
      <c r="K104" s="121" t="s">
        <v>709</v>
      </c>
      <c r="L104" s="156"/>
      <c r="M104" s="156"/>
      <c r="N104" s="612"/>
      <c r="O104" s="121" t="s">
        <v>709</v>
      </c>
      <c r="P104" s="156"/>
      <c r="Q104" s="156"/>
      <c r="R104" s="612"/>
      <c r="S104" s="121" t="s">
        <v>697</v>
      </c>
      <c r="T104" s="156"/>
      <c r="U104" s="156"/>
      <c r="V104" s="612"/>
      <c r="W104" s="1724" t="s">
        <v>579</v>
      </c>
      <c r="X104" s="624"/>
      <c r="Y104" s="624"/>
      <c r="Z104" s="625"/>
      <c r="AA104" s="611"/>
      <c r="AB104" s="156"/>
      <c r="AC104" s="156"/>
      <c r="AD104" s="613"/>
      <c r="AE104" s="128"/>
      <c r="AF104" s="156"/>
      <c r="AG104" s="156" t="s">
        <v>28</v>
      </c>
      <c r="AH104" s="613"/>
      <c r="AI104" s="489"/>
    </row>
    <row r="105" spans="1:35" ht="21.95" customHeight="1" x14ac:dyDescent="0.2">
      <c r="A105" s="1"/>
      <c r="B105" s="129" t="s">
        <v>325</v>
      </c>
      <c r="C105" s="121" t="s">
        <v>711</v>
      </c>
      <c r="D105" s="156"/>
      <c r="E105" s="156"/>
      <c r="F105" s="612"/>
      <c r="G105" s="121" t="s">
        <v>711</v>
      </c>
      <c r="H105" s="156"/>
      <c r="I105" s="156"/>
      <c r="J105" s="612"/>
      <c r="K105" s="121" t="s">
        <v>711</v>
      </c>
      <c r="L105" s="156"/>
      <c r="M105" s="156"/>
      <c r="N105" s="612"/>
      <c r="O105" s="121" t="s">
        <v>711</v>
      </c>
      <c r="P105" s="156"/>
      <c r="Q105" s="156"/>
      <c r="R105" s="612"/>
      <c r="S105" s="121" t="s">
        <v>167</v>
      </c>
      <c r="T105" s="156"/>
      <c r="U105" s="156"/>
      <c r="V105" s="612"/>
      <c r="W105" s="121"/>
      <c r="X105" s="156"/>
      <c r="Y105" s="156"/>
      <c r="Z105" s="612"/>
      <c r="AA105" s="156"/>
      <c r="AB105" s="156"/>
      <c r="AC105" s="156"/>
      <c r="AD105" s="613"/>
      <c r="AE105" s="128"/>
      <c r="AF105" s="156"/>
      <c r="AG105" s="156"/>
      <c r="AH105" s="613"/>
      <c r="AI105" s="489"/>
    </row>
    <row r="106" spans="1:35" ht="21.95" customHeight="1" x14ac:dyDescent="0.2">
      <c r="A106" s="1"/>
      <c r="B106" s="129" t="s">
        <v>326</v>
      </c>
      <c r="C106" s="121" t="s">
        <v>575</v>
      </c>
      <c r="D106" s="156"/>
      <c r="E106" s="156"/>
      <c r="F106" s="612"/>
      <c r="G106" s="121" t="s">
        <v>712</v>
      </c>
      <c r="H106" s="156"/>
      <c r="I106" s="156"/>
      <c r="J106" s="612"/>
      <c r="K106" s="121" t="s">
        <v>712</v>
      </c>
      <c r="L106" s="156"/>
      <c r="M106" s="156"/>
      <c r="N106" s="612"/>
      <c r="O106" s="121" t="s">
        <v>712</v>
      </c>
      <c r="P106" s="156"/>
      <c r="Q106" s="156"/>
      <c r="R106" s="612"/>
      <c r="S106" s="121" t="s">
        <v>713</v>
      </c>
      <c r="T106" s="156"/>
      <c r="U106" s="156"/>
      <c r="V106" s="612"/>
      <c r="W106" s="631" t="s">
        <v>579</v>
      </c>
      <c r="X106" s="134"/>
      <c r="Y106" s="134"/>
      <c r="Z106" s="627"/>
      <c r="AA106" s="626"/>
      <c r="AB106" s="134"/>
      <c r="AC106" s="134"/>
      <c r="AD106" s="628"/>
      <c r="AE106" s="128"/>
      <c r="AF106" s="156"/>
      <c r="AG106" s="156"/>
      <c r="AH106" s="613"/>
      <c r="AI106" s="489"/>
    </row>
    <row r="107" spans="1:35" ht="21.95" customHeight="1" thickBot="1" x14ac:dyDescent="0.25">
      <c r="A107" s="1"/>
      <c r="B107" s="16" t="s">
        <v>236</v>
      </c>
      <c r="C107" s="57" t="s">
        <v>714</v>
      </c>
      <c r="D107" s="53"/>
      <c r="E107" s="53"/>
      <c r="F107" s="619"/>
      <c r="G107" s="57" t="s">
        <v>714</v>
      </c>
      <c r="H107" s="53"/>
      <c r="I107" s="53"/>
      <c r="J107" s="619"/>
      <c r="K107" s="57" t="s">
        <v>714</v>
      </c>
      <c r="L107" s="53"/>
      <c r="M107" s="53"/>
      <c r="N107" s="619"/>
      <c r="O107" s="57" t="s">
        <v>714</v>
      </c>
      <c r="P107" s="53"/>
      <c r="Q107" s="53"/>
      <c r="R107" s="619"/>
      <c r="S107" s="57" t="s">
        <v>715</v>
      </c>
      <c r="T107" s="53"/>
      <c r="U107" s="53"/>
      <c r="V107" s="620"/>
      <c r="W107" s="57"/>
      <c r="X107" s="620"/>
      <c r="Y107" s="53"/>
      <c r="Z107" s="619"/>
      <c r="AA107" s="57"/>
      <c r="AB107" s="620"/>
      <c r="AC107" s="53"/>
      <c r="AD107" s="619"/>
      <c r="AE107" s="629"/>
      <c r="AF107" s="53"/>
      <c r="AG107" s="53"/>
      <c r="AH107" s="620"/>
      <c r="AI107" s="544"/>
    </row>
    <row r="108" spans="1:35" ht="21.95" customHeight="1" x14ac:dyDescent="0.2">
      <c r="A108" s="621"/>
      <c r="B108" s="1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585"/>
      <c r="B109" s="296" t="s">
        <v>469</v>
      </c>
      <c r="C109" s="497">
        <v>1</v>
      </c>
      <c r="D109" s="177">
        <v>2</v>
      </c>
      <c r="E109" s="177">
        <v>3</v>
      </c>
      <c r="F109" s="177">
        <v>4</v>
      </c>
      <c r="G109" s="177">
        <v>5</v>
      </c>
      <c r="H109" s="177">
        <v>6</v>
      </c>
      <c r="I109" s="497">
        <v>7</v>
      </c>
      <c r="J109" s="497">
        <v>8</v>
      </c>
      <c r="K109" s="177">
        <v>9</v>
      </c>
      <c r="L109" s="177">
        <v>10</v>
      </c>
      <c r="M109" s="177">
        <v>11</v>
      </c>
      <c r="N109" s="177">
        <v>12</v>
      </c>
      <c r="O109" s="177">
        <v>13</v>
      </c>
      <c r="P109" s="497">
        <v>14</v>
      </c>
      <c r="Q109" s="497">
        <v>15</v>
      </c>
      <c r="R109" s="177">
        <v>16</v>
      </c>
      <c r="S109" s="177">
        <v>17</v>
      </c>
      <c r="T109" s="177">
        <v>18</v>
      </c>
      <c r="U109" s="177">
        <v>19</v>
      </c>
      <c r="V109" s="177">
        <v>20</v>
      </c>
      <c r="W109" s="497">
        <v>21</v>
      </c>
      <c r="X109" s="497">
        <v>22</v>
      </c>
      <c r="Y109" s="177">
        <v>23</v>
      </c>
      <c r="Z109" s="177">
        <v>24</v>
      </c>
      <c r="AA109" s="177">
        <v>25</v>
      </c>
      <c r="AB109" s="177">
        <v>26</v>
      </c>
      <c r="AC109" s="177">
        <v>27</v>
      </c>
      <c r="AD109" s="497">
        <v>28</v>
      </c>
      <c r="AE109" s="497">
        <v>29</v>
      </c>
      <c r="AF109" s="177">
        <v>30</v>
      </c>
      <c r="AG109" s="177">
        <v>31</v>
      </c>
      <c r="AH109" s="499" t="s">
        <v>470</v>
      </c>
      <c r="AI109" s="500" t="s">
        <v>471</v>
      </c>
    </row>
    <row r="110" spans="1:35" ht="21.95" customHeight="1" x14ac:dyDescent="0.2">
      <c r="A110" s="622">
        <v>1</v>
      </c>
      <c r="B110" s="552" t="s">
        <v>530</v>
      </c>
      <c r="C110" s="553"/>
      <c r="D110" s="1515">
        <v>2</v>
      </c>
      <c r="E110" s="1515">
        <v>2</v>
      </c>
      <c r="F110" s="1515" t="s">
        <v>703</v>
      </c>
      <c r="G110" s="553">
        <v>2</v>
      </c>
      <c r="H110" s="553" t="s">
        <v>475</v>
      </c>
      <c r="I110" s="553"/>
      <c r="J110" s="587"/>
      <c r="K110" s="553">
        <v>3</v>
      </c>
      <c r="L110" s="553">
        <v>3</v>
      </c>
      <c r="M110" s="553">
        <v>3</v>
      </c>
      <c r="N110" s="553">
        <v>3</v>
      </c>
      <c r="O110" s="553">
        <v>3</v>
      </c>
      <c r="P110" s="553">
        <v>3</v>
      </c>
      <c r="Q110" s="553"/>
      <c r="R110" s="553">
        <v>4</v>
      </c>
      <c r="S110" s="553">
        <v>4</v>
      </c>
      <c r="T110" s="553">
        <v>4</v>
      </c>
      <c r="U110" s="553">
        <v>4</v>
      </c>
      <c r="V110" s="553">
        <v>4</v>
      </c>
      <c r="W110" s="553"/>
      <c r="X110" s="587"/>
      <c r="Y110" s="587" t="s">
        <v>475</v>
      </c>
      <c r="Z110" s="553">
        <v>1</v>
      </c>
      <c r="AA110" s="1486">
        <v>1</v>
      </c>
      <c r="AB110" s="553">
        <v>1</v>
      </c>
      <c r="AC110" s="553">
        <v>1</v>
      </c>
      <c r="AD110" s="553">
        <v>1</v>
      </c>
      <c r="AE110" s="553"/>
      <c r="AF110" s="1087" t="s">
        <v>531</v>
      </c>
      <c r="AG110" s="1087" t="s">
        <v>531</v>
      </c>
      <c r="AH110" s="505">
        <v>125</v>
      </c>
      <c r="AI110" s="506">
        <v>37</v>
      </c>
    </row>
    <row r="111" spans="1:35" ht="21.95" customHeight="1" x14ac:dyDescent="0.2">
      <c r="A111" s="622">
        <v>2</v>
      </c>
      <c r="B111" s="318" t="s">
        <v>583</v>
      </c>
      <c r="C111" s="587"/>
      <c r="D111" s="553">
        <v>3</v>
      </c>
      <c r="E111" s="553">
        <v>3</v>
      </c>
      <c r="F111" s="553">
        <v>3</v>
      </c>
      <c r="G111" s="553">
        <v>3</v>
      </c>
      <c r="H111" s="553">
        <v>3</v>
      </c>
      <c r="I111" s="553">
        <v>3</v>
      </c>
      <c r="J111" s="553"/>
      <c r="K111" s="1515">
        <v>4</v>
      </c>
      <c r="L111" s="1515">
        <v>4</v>
      </c>
      <c r="M111" s="1515">
        <v>4</v>
      </c>
      <c r="N111" s="1515" t="s">
        <v>727</v>
      </c>
      <c r="O111" s="553">
        <v>4</v>
      </c>
      <c r="P111" s="553"/>
      <c r="Q111" s="587"/>
      <c r="R111" s="587" t="s">
        <v>475</v>
      </c>
      <c r="S111" s="553">
        <v>1</v>
      </c>
      <c r="T111" s="553">
        <v>1</v>
      </c>
      <c r="U111" s="553">
        <v>1</v>
      </c>
      <c r="V111" s="553">
        <v>1</v>
      </c>
      <c r="W111" s="553">
        <v>1</v>
      </c>
      <c r="X111" s="553"/>
      <c r="Y111" s="553">
        <v>2</v>
      </c>
      <c r="Z111" s="553">
        <v>2</v>
      </c>
      <c r="AA111" s="1486">
        <v>2</v>
      </c>
      <c r="AB111" s="553">
        <v>2</v>
      </c>
      <c r="AC111" s="553" t="s">
        <v>475</v>
      </c>
      <c r="AD111" s="553"/>
      <c r="AE111" s="587"/>
      <c r="AF111" s="1064">
        <v>3</v>
      </c>
      <c r="AG111" s="1064">
        <v>3</v>
      </c>
      <c r="AH111" s="505">
        <v>56</v>
      </c>
      <c r="AI111" s="506">
        <v>14</v>
      </c>
    </row>
    <row r="112" spans="1:35" ht="21.95" customHeight="1" x14ac:dyDescent="0.2">
      <c r="A112" s="622">
        <v>3</v>
      </c>
      <c r="B112" s="552" t="s">
        <v>584</v>
      </c>
      <c r="C112" s="587"/>
      <c r="D112" s="1515">
        <v>4</v>
      </c>
      <c r="E112" s="1515">
        <v>4</v>
      </c>
      <c r="F112" s="1515">
        <v>4</v>
      </c>
      <c r="G112" s="1515">
        <v>4</v>
      </c>
      <c r="H112" s="1515">
        <v>4</v>
      </c>
      <c r="I112" s="1516"/>
      <c r="J112" s="1516"/>
      <c r="K112" s="1516" t="s">
        <v>475</v>
      </c>
      <c r="L112" s="1515" t="s">
        <v>737</v>
      </c>
      <c r="M112" s="553">
        <v>1</v>
      </c>
      <c r="N112" s="553">
        <v>1</v>
      </c>
      <c r="O112" s="553">
        <v>1</v>
      </c>
      <c r="P112" s="553">
        <v>1</v>
      </c>
      <c r="Q112" s="587"/>
      <c r="R112" s="553">
        <v>2</v>
      </c>
      <c r="S112" s="553">
        <v>2</v>
      </c>
      <c r="T112" s="553">
        <v>2</v>
      </c>
      <c r="U112" s="553">
        <v>2</v>
      </c>
      <c r="V112" s="587" t="s">
        <v>475</v>
      </c>
      <c r="W112" s="587"/>
      <c r="X112" s="587"/>
      <c r="Y112" s="553">
        <v>3</v>
      </c>
      <c r="Z112" s="553">
        <v>3</v>
      </c>
      <c r="AA112" s="553">
        <v>3</v>
      </c>
      <c r="AB112" s="553">
        <v>3</v>
      </c>
      <c r="AC112" s="553">
        <v>3</v>
      </c>
      <c r="AD112" s="553">
        <v>3</v>
      </c>
      <c r="AE112" s="587"/>
      <c r="AF112" s="553">
        <v>4</v>
      </c>
      <c r="AG112" s="553">
        <v>4</v>
      </c>
      <c r="AH112" s="505">
        <v>32</v>
      </c>
      <c r="AI112" s="506">
        <v>10</v>
      </c>
    </row>
    <row r="113" spans="1:36" ht="21.95" customHeight="1" thickBot="1" x14ac:dyDescent="0.25">
      <c r="A113" s="622">
        <v>4</v>
      </c>
      <c r="B113" s="552" t="s">
        <v>289</v>
      </c>
      <c r="C113" s="587"/>
      <c r="D113" s="1060" t="s">
        <v>475</v>
      </c>
      <c r="E113" s="1064">
        <v>1</v>
      </c>
      <c r="F113" s="1064">
        <v>1</v>
      </c>
      <c r="G113" s="1064">
        <v>1</v>
      </c>
      <c r="H113" s="1064">
        <v>1</v>
      </c>
      <c r="I113" s="1064">
        <v>1</v>
      </c>
      <c r="J113" s="1060"/>
      <c r="K113" s="553">
        <v>2</v>
      </c>
      <c r="L113" s="553">
        <v>2</v>
      </c>
      <c r="M113" s="553">
        <v>2</v>
      </c>
      <c r="N113" s="553">
        <v>2</v>
      </c>
      <c r="O113" s="587" t="s">
        <v>475</v>
      </c>
      <c r="P113" s="587"/>
      <c r="Q113" s="553"/>
      <c r="R113" s="553">
        <v>3</v>
      </c>
      <c r="S113" s="553">
        <v>3</v>
      </c>
      <c r="T113" s="553">
        <v>3</v>
      </c>
      <c r="U113" s="553">
        <v>3</v>
      </c>
      <c r="V113" s="553">
        <v>3</v>
      </c>
      <c r="W113" s="553">
        <v>3</v>
      </c>
      <c r="X113" s="587"/>
      <c r="Y113" s="553">
        <v>4</v>
      </c>
      <c r="Z113" s="553">
        <v>4</v>
      </c>
      <c r="AA113" s="553">
        <v>4</v>
      </c>
      <c r="AB113" s="553">
        <v>4</v>
      </c>
      <c r="AC113" s="553">
        <v>4</v>
      </c>
      <c r="AD113" s="553"/>
      <c r="AE113" s="587"/>
      <c r="AF113" s="587" t="s">
        <v>475</v>
      </c>
      <c r="AG113" s="553">
        <v>1</v>
      </c>
      <c r="AH113" s="717">
        <v>63</v>
      </c>
      <c r="AI113" s="718">
        <v>4</v>
      </c>
    </row>
    <row r="114" spans="1:36" ht="21.95" customHeight="1" x14ac:dyDescent="0.2">
      <c r="A114" s="623"/>
      <c r="B114" s="630"/>
      <c r="C114" s="590"/>
      <c r="D114" s="590"/>
      <c r="E114" s="590"/>
      <c r="F114" s="590"/>
      <c r="G114" s="590"/>
      <c r="H114" s="590"/>
      <c r="I114" s="590"/>
      <c r="J114" s="590"/>
      <c r="K114" s="590"/>
      <c r="L114" s="590"/>
      <c r="M114" s="590"/>
      <c r="N114" s="590"/>
      <c r="O114" s="590"/>
      <c r="P114" s="590"/>
      <c r="Q114" s="590"/>
      <c r="R114" s="590"/>
      <c r="S114" s="590"/>
      <c r="T114" s="590"/>
      <c r="U114" s="590"/>
      <c r="V114" s="590"/>
      <c r="W114" s="590"/>
      <c r="X114" s="590"/>
      <c r="Y114" s="590"/>
      <c r="Z114" s="590"/>
      <c r="AA114" s="590"/>
      <c r="AB114" s="590"/>
      <c r="AC114" s="590"/>
      <c r="AD114" s="590"/>
      <c r="AE114" s="590"/>
      <c r="AF114" s="590"/>
      <c r="AG114" s="590"/>
      <c r="AH114" s="591"/>
      <c r="AI114" s="591"/>
    </row>
    <row r="115" spans="1:36" ht="21.95" customHeight="1" x14ac:dyDescent="0.2">
      <c r="A115" s="311" t="s">
        <v>585</v>
      </c>
      <c r="C115" s="590"/>
      <c r="D115" s="590"/>
      <c r="E115" s="590"/>
      <c r="F115" s="590"/>
      <c r="G115" s="590"/>
      <c r="H115" s="590"/>
      <c r="I115" s="590"/>
      <c r="J115" s="590"/>
      <c r="K115" s="590"/>
      <c r="L115" s="590"/>
      <c r="M115" s="590"/>
      <c r="N115" s="590"/>
      <c r="O115" s="590"/>
      <c r="P115" s="590"/>
      <c r="Q115" s="590"/>
      <c r="R115" s="590"/>
      <c r="S115" s="590"/>
      <c r="T115" s="590"/>
      <c r="U115" s="590"/>
      <c r="V115" s="590"/>
      <c r="W115" s="590"/>
      <c r="X115" s="590"/>
      <c r="Y115" s="590"/>
      <c r="Z115" s="590"/>
      <c r="AA115" s="590"/>
      <c r="AB115" s="590"/>
      <c r="AC115" s="590"/>
      <c r="AD115" s="590"/>
      <c r="AE115" s="590"/>
      <c r="AF115" s="590"/>
      <c r="AG115" s="590"/>
      <c r="AH115" s="591"/>
      <c r="AI115" s="591"/>
      <c r="AJ115" s="360"/>
    </row>
    <row r="116" spans="1:36" ht="21.95" customHeight="1" x14ac:dyDescent="0.2">
      <c r="A116" s="298" t="s">
        <v>468</v>
      </c>
      <c r="B116" s="298"/>
      <c r="C116" s="152"/>
      <c r="D116" s="298" t="s">
        <v>2</v>
      </c>
      <c r="E116" s="185"/>
      <c r="F116" s="152"/>
      <c r="G116" s="298" t="s">
        <v>3</v>
      </c>
      <c r="H116" s="185"/>
      <c r="I116" s="152"/>
      <c r="J116" s="298" t="s">
        <v>4</v>
      </c>
      <c r="K116" s="185"/>
      <c r="L116" s="152"/>
      <c r="M116" s="298" t="s">
        <v>5</v>
      </c>
      <c r="N116" s="185"/>
      <c r="O116" s="152"/>
      <c r="P116" s="298" t="s">
        <v>6</v>
      </c>
      <c r="Q116" s="185"/>
      <c r="R116" s="133"/>
      <c r="S116" s="198" t="s">
        <v>7</v>
      </c>
      <c r="T116" s="185"/>
      <c r="U116" s="152"/>
      <c r="V116" s="298" t="s">
        <v>8</v>
      </c>
      <c r="W116" s="185"/>
      <c r="X116" s="632" t="s">
        <v>10</v>
      </c>
      <c r="Y116" s="185"/>
      <c r="Z116" s="185"/>
      <c r="AA116" s="598"/>
      <c r="AB116" s="482"/>
      <c r="AC116" s="482"/>
      <c r="AD116" s="482"/>
      <c r="AE116" s="482"/>
      <c r="AF116" s="482"/>
      <c r="AG116" s="483"/>
      <c r="AH116" s="360"/>
      <c r="AI116" s="360"/>
      <c r="AJ116" s="360"/>
    </row>
    <row r="117" spans="1:36" ht="21.95" customHeight="1" x14ac:dyDescent="0.2">
      <c r="A117" s="1786">
        <v>8517</v>
      </c>
      <c r="B117" s="501" t="s">
        <v>586</v>
      </c>
      <c r="C117" s="631" t="s">
        <v>124</v>
      </c>
      <c r="D117" s="628"/>
      <c r="E117" s="633"/>
      <c r="F117" s="631" t="s">
        <v>124</v>
      </c>
      <c r="G117" s="634"/>
      <c r="H117" s="633"/>
      <c r="I117" s="121" t="s">
        <v>124</v>
      </c>
      <c r="J117" s="613"/>
      <c r="K117" s="635"/>
      <c r="L117" s="121" t="s">
        <v>124</v>
      </c>
      <c r="M117" s="613"/>
      <c r="N117" s="635"/>
      <c r="O117" s="121" t="s">
        <v>125</v>
      </c>
      <c r="P117" s="613"/>
      <c r="Q117" s="476"/>
      <c r="R117" s="636" t="s">
        <v>28</v>
      </c>
      <c r="S117" s="613"/>
      <c r="T117" s="635"/>
      <c r="U117" s="613" t="s">
        <v>28</v>
      </c>
      <c r="V117" s="613"/>
      <c r="W117" s="476"/>
      <c r="X117" s="144" t="s">
        <v>28</v>
      </c>
      <c r="Y117" s="360"/>
      <c r="Z117" s="360"/>
      <c r="AA117" s="360"/>
      <c r="AB117" s="360"/>
      <c r="AC117" s="360"/>
      <c r="AD117" s="360"/>
      <c r="AE117" s="360"/>
      <c r="AF117" s="360"/>
      <c r="AG117" s="637"/>
      <c r="AH117" s="360"/>
      <c r="AI117" s="360"/>
      <c r="AJ117" s="360"/>
    </row>
    <row r="118" spans="1:36" ht="21.95" customHeight="1" x14ac:dyDescent="0.2">
      <c r="A118" s="638">
        <v>8502</v>
      </c>
      <c r="B118" s="639" t="s">
        <v>587</v>
      </c>
      <c r="C118" s="121" t="s">
        <v>11</v>
      </c>
      <c r="D118" s="613"/>
      <c r="E118" s="476"/>
      <c r="F118" s="121" t="s">
        <v>11</v>
      </c>
      <c r="G118" s="613"/>
      <c r="H118" s="635"/>
      <c r="I118" s="121" t="s">
        <v>11</v>
      </c>
      <c r="J118" s="613"/>
      <c r="K118" s="635"/>
      <c r="L118" s="121" t="s">
        <v>11</v>
      </c>
      <c r="M118" s="613"/>
      <c r="N118" s="635"/>
      <c r="O118" s="121" t="s">
        <v>12</v>
      </c>
      <c r="P118" s="613"/>
      <c r="Q118" s="476"/>
      <c r="R118" s="640"/>
      <c r="S118" s="641"/>
      <c r="T118" s="635"/>
      <c r="U118" s="613"/>
      <c r="V118" s="613"/>
      <c r="W118" s="476"/>
      <c r="X118" s="475"/>
      <c r="Y118" s="482"/>
      <c r="Z118" s="482"/>
      <c r="AA118" s="482"/>
      <c r="AB118" s="482"/>
      <c r="AC118" s="482"/>
      <c r="AD118" s="482"/>
      <c r="AE118" s="482"/>
      <c r="AF118" s="482"/>
      <c r="AG118" s="483"/>
      <c r="AH118" s="360"/>
      <c r="AI118" s="360"/>
      <c r="AJ118" s="360"/>
    </row>
    <row r="119" spans="1:36" ht="21.95" customHeight="1" x14ac:dyDescent="0.2">
      <c r="A119" s="273"/>
      <c r="B119" s="524"/>
      <c r="C119" s="353"/>
      <c r="D119" s="353"/>
      <c r="E119" s="73"/>
      <c r="F119" s="353"/>
      <c r="G119" s="353"/>
      <c r="H119" s="73"/>
      <c r="I119" s="353"/>
      <c r="J119" s="353"/>
      <c r="K119" s="73"/>
      <c r="L119" s="353"/>
      <c r="M119" s="353"/>
      <c r="N119" s="73"/>
      <c r="O119" s="353"/>
      <c r="P119" s="353"/>
      <c r="Q119" s="73"/>
      <c r="R119" s="167"/>
      <c r="S119" s="353"/>
      <c r="T119" s="73"/>
      <c r="U119" s="353"/>
      <c r="V119" s="353"/>
      <c r="W119" s="73"/>
      <c r="X119" s="73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</row>
    <row r="120" spans="1:36" ht="21.95" customHeight="1" x14ac:dyDescent="0.2">
      <c r="A120" s="642"/>
      <c r="B120" s="181" t="s">
        <v>469</v>
      </c>
      <c r="C120" s="497">
        <v>1</v>
      </c>
      <c r="D120" s="177">
        <v>2</v>
      </c>
      <c r="E120" s="177">
        <v>3</v>
      </c>
      <c r="F120" s="177">
        <v>4</v>
      </c>
      <c r="G120" s="177">
        <v>5</v>
      </c>
      <c r="H120" s="177">
        <v>6</v>
      </c>
      <c r="I120" s="497">
        <v>7</v>
      </c>
      <c r="J120" s="497">
        <v>8</v>
      </c>
      <c r="K120" s="177">
        <v>9</v>
      </c>
      <c r="L120" s="177">
        <v>10</v>
      </c>
      <c r="M120" s="177">
        <v>11</v>
      </c>
      <c r="N120" s="177">
        <v>12</v>
      </c>
      <c r="O120" s="177">
        <v>13</v>
      </c>
      <c r="P120" s="497">
        <v>14</v>
      </c>
      <c r="Q120" s="497">
        <v>15</v>
      </c>
      <c r="R120" s="177">
        <v>16</v>
      </c>
      <c r="S120" s="177">
        <v>17</v>
      </c>
      <c r="T120" s="177">
        <v>18</v>
      </c>
      <c r="U120" s="177">
        <v>19</v>
      </c>
      <c r="V120" s="177">
        <v>20</v>
      </c>
      <c r="W120" s="497">
        <v>21</v>
      </c>
      <c r="X120" s="497">
        <v>22</v>
      </c>
      <c r="Y120" s="177">
        <v>23</v>
      </c>
      <c r="Z120" s="177">
        <v>24</v>
      </c>
      <c r="AA120" s="177">
        <v>25</v>
      </c>
      <c r="AB120" s="177">
        <v>26</v>
      </c>
      <c r="AC120" s="177">
        <v>27</v>
      </c>
      <c r="AD120" s="497">
        <v>28</v>
      </c>
      <c r="AE120" s="497">
        <v>29</v>
      </c>
      <c r="AF120" s="177">
        <v>30</v>
      </c>
      <c r="AG120" s="177">
        <v>31</v>
      </c>
      <c r="AH120" s="643" t="s">
        <v>470</v>
      </c>
      <c r="AI120" s="644" t="s">
        <v>471</v>
      </c>
    </row>
    <row r="121" spans="1:36" ht="21.95" customHeight="1" x14ac:dyDescent="0.2">
      <c r="A121" s="645">
        <v>1</v>
      </c>
      <c r="B121" s="552" t="s">
        <v>588</v>
      </c>
      <c r="C121" s="1534"/>
      <c r="D121" s="1534" t="s">
        <v>552</v>
      </c>
      <c r="E121" s="1534" t="s">
        <v>552</v>
      </c>
      <c r="F121" s="1534" t="s">
        <v>552</v>
      </c>
      <c r="G121" s="1534" t="s">
        <v>552</v>
      </c>
      <c r="H121" s="1534" t="s">
        <v>552</v>
      </c>
      <c r="I121" s="1534"/>
      <c r="J121" s="1534"/>
      <c r="K121" s="1534" t="s">
        <v>552</v>
      </c>
      <c r="L121" s="1534" t="s">
        <v>552</v>
      </c>
      <c r="M121" s="1534" t="s">
        <v>552</v>
      </c>
      <c r="N121" s="1534" t="s">
        <v>552</v>
      </c>
      <c r="O121" s="1534" t="s">
        <v>552</v>
      </c>
      <c r="P121" s="1534"/>
      <c r="Q121" s="1534"/>
      <c r="R121" s="1534" t="s">
        <v>552</v>
      </c>
      <c r="S121" s="1534" t="s">
        <v>552</v>
      </c>
      <c r="T121" s="1534" t="s">
        <v>552</v>
      </c>
      <c r="U121" s="1534" t="s">
        <v>552</v>
      </c>
      <c r="V121" s="1534" t="s">
        <v>552</v>
      </c>
      <c r="W121" s="1534"/>
      <c r="X121" s="1534"/>
      <c r="Y121" s="1534" t="s">
        <v>552</v>
      </c>
      <c r="Z121" s="1534" t="s">
        <v>552</v>
      </c>
      <c r="AA121" s="1534" t="s">
        <v>552</v>
      </c>
      <c r="AB121" s="1534" t="s">
        <v>552</v>
      </c>
      <c r="AC121" s="1534" t="s">
        <v>552</v>
      </c>
      <c r="AD121" s="1534"/>
      <c r="AE121" s="1534"/>
      <c r="AF121" s="1534" t="s">
        <v>552</v>
      </c>
      <c r="AG121" s="1534" t="s">
        <v>552</v>
      </c>
      <c r="AH121" s="646">
        <v>37</v>
      </c>
      <c r="AI121" s="647">
        <v>37</v>
      </c>
    </row>
    <row r="122" spans="1:36" ht="21.95" customHeight="1" x14ac:dyDescent="0.2">
      <c r="A122" s="645">
        <v>2</v>
      </c>
      <c r="B122" s="552" t="s">
        <v>589</v>
      </c>
      <c r="C122" s="514" t="s">
        <v>504</v>
      </c>
      <c r="D122" s="514" t="s">
        <v>475</v>
      </c>
      <c r="E122" s="514" t="s">
        <v>475</v>
      </c>
      <c r="F122" s="514" t="s">
        <v>475</v>
      </c>
      <c r="G122" s="514" t="s">
        <v>475</v>
      </c>
      <c r="H122" s="514" t="s">
        <v>475</v>
      </c>
      <c r="I122" s="514"/>
      <c r="J122" s="514"/>
      <c r="K122" s="514">
        <v>8</v>
      </c>
      <c r="L122" s="514">
        <v>8</v>
      </c>
      <c r="M122" s="514">
        <v>8</v>
      </c>
      <c r="N122" s="514">
        <v>8</v>
      </c>
      <c r="O122" s="514">
        <v>8</v>
      </c>
      <c r="P122" s="514" t="s">
        <v>552</v>
      </c>
      <c r="Q122" s="514" t="s">
        <v>504</v>
      </c>
      <c r="R122" s="514" t="s">
        <v>475</v>
      </c>
      <c r="S122" s="514" t="s">
        <v>475</v>
      </c>
      <c r="T122" s="514" t="s">
        <v>475</v>
      </c>
      <c r="U122" s="514" t="s">
        <v>475</v>
      </c>
      <c r="V122" s="514" t="s">
        <v>475</v>
      </c>
      <c r="W122" s="514"/>
      <c r="X122" s="514"/>
      <c r="Y122" s="514">
        <v>1</v>
      </c>
      <c r="Z122" s="514">
        <v>1</v>
      </c>
      <c r="AA122" s="1486">
        <v>1</v>
      </c>
      <c r="AB122" s="514">
        <v>1</v>
      </c>
      <c r="AC122" s="514">
        <v>1</v>
      </c>
      <c r="AD122" s="514"/>
      <c r="AE122" s="514"/>
      <c r="AF122" s="514">
        <v>9</v>
      </c>
      <c r="AG122" s="514">
        <v>9</v>
      </c>
      <c r="AH122" s="505">
        <v>97</v>
      </c>
      <c r="AI122" s="506">
        <v>37</v>
      </c>
    </row>
    <row r="123" spans="1:36" ht="21.95" customHeight="1" thickBot="1" x14ac:dyDescent="0.25">
      <c r="A123" s="645">
        <v>3</v>
      </c>
      <c r="B123" s="552" t="s">
        <v>590</v>
      </c>
      <c r="C123" s="1576" t="s">
        <v>503</v>
      </c>
      <c r="D123" s="1578" t="s">
        <v>475</v>
      </c>
      <c r="E123" s="1578" t="s">
        <v>475</v>
      </c>
      <c r="F123" s="1578" t="s">
        <v>475</v>
      </c>
      <c r="G123" s="1578" t="s">
        <v>475</v>
      </c>
      <c r="H123" s="1578" t="s">
        <v>475</v>
      </c>
      <c r="I123" s="1578"/>
      <c r="J123" s="1578"/>
      <c r="K123" s="1578" t="s">
        <v>552</v>
      </c>
      <c r="L123" s="1578" t="s">
        <v>552</v>
      </c>
      <c r="M123" s="1578" t="s">
        <v>552</v>
      </c>
      <c r="N123" s="1578" t="s">
        <v>552</v>
      </c>
      <c r="O123" s="1578" t="s">
        <v>552</v>
      </c>
      <c r="P123" s="1578"/>
      <c r="Q123" s="1578"/>
      <c r="R123" s="1622" t="s">
        <v>552</v>
      </c>
      <c r="S123" s="1622" t="s">
        <v>552</v>
      </c>
      <c r="T123" s="1622" t="s">
        <v>552</v>
      </c>
      <c r="U123" s="1622" t="s">
        <v>552</v>
      </c>
      <c r="V123" s="1622" t="s">
        <v>552</v>
      </c>
      <c r="W123" s="1576"/>
      <c r="X123" s="1576"/>
      <c r="Y123" s="1576" t="s">
        <v>643</v>
      </c>
      <c r="Z123" s="1576" t="s">
        <v>643</v>
      </c>
      <c r="AA123" s="1576" t="s">
        <v>643</v>
      </c>
      <c r="AB123" s="1576" t="s">
        <v>643</v>
      </c>
      <c r="AC123" s="1576" t="s">
        <v>643</v>
      </c>
      <c r="AD123" s="1576"/>
      <c r="AE123" s="1576" t="s">
        <v>550</v>
      </c>
      <c r="AF123" s="1576" t="s">
        <v>475</v>
      </c>
      <c r="AG123" s="1577" t="s">
        <v>475</v>
      </c>
      <c r="AH123" s="505">
        <v>40</v>
      </c>
      <c r="AI123" s="506">
        <v>37</v>
      </c>
    </row>
    <row r="124" spans="1:36" ht="21.95" customHeight="1" x14ac:dyDescent="0.2">
      <c r="A124" s="645">
        <v>4</v>
      </c>
      <c r="B124" s="152" t="s">
        <v>591</v>
      </c>
      <c r="C124" s="1097"/>
      <c r="D124" s="1097" t="s">
        <v>552</v>
      </c>
      <c r="E124" s="1097" t="s">
        <v>552</v>
      </c>
      <c r="F124" s="1097" t="s">
        <v>552</v>
      </c>
      <c r="G124" s="1097" t="s">
        <v>552</v>
      </c>
      <c r="H124" s="1097" t="s">
        <v>552</v>
      </c>
      <c r="I124" s="1097"/>
      <c r="J124" s="1097"/>
      <c r="K124" s="1097" t="s">
        <v>552</v>
      </c>
      <c r="L124" s="1097" t="s">
        <v>552</v>
      </c>
      <c r="M124" s="1097" t="s">
        <v>552</v>
      </c>
      <c r="N124" s="1097" t="s">
        <v>552</v>
      </c>
      <c r="O124" s="1097" t="s">
        <v>552</v>
      </c>
      <c r="P124" s="1097"/>
      <c r="Q124" s="1097"/>
      <c r="R124" s="1097" t="s">
        <v>552</v>
      </c>
      <c r="S124" s="1097" t="s">
        <v>552</v>
      </c>
      <c r="T124" s="1097" t="s">
        <v>552</v>
      </c>
      <c r="U124" s="1097" t="s">
        <v>552</v>
      </c>
      <c r="V124" s="1097" t="s">
        <v>552</v>
      </c>
      <c r="W124" s="1097"/>
      <c r="X124" s="1097"/>
      <c r="Y124" s="1097" t="s">
        <v>552</v>
      </c>
      <c r="Z124" s="1097" t="s">
        <v>552</v>
      </c>
      <c r="AA124" s="1097" t="s">
        <v>552</v>
      </c>
      <c r="AB124" s="1097" t="s">
        <v>552</v>
      </c>
      <c r="AC124" s="1097" t="s">
        <v>552</v>
      </c>
      <c r="AD124" s="1097"/>
      <c r="AE124" s="1097"/>
      <c r="AF124" s="1097" t="s">
        <v>552</v>
      </c>
      <c r="AG124" s="1097" t="s">
        <v>552</v>
      </c>
      <c r="AH124" s="505">
        <v>37</v>
      </c>
      <c r="AI124" s="506">
        <v>37</v>
      </c>
    </row>
    <row r="125" spans="1:36" ht="21.95" customHeight="1" x14ac:dyDescent="0.2">
      <c r="A125" s="645">
        <v>5</v>
      </c>
      <c r="B125" s="152" t="s">
        <v>592</v>
      </c>
      <c r="C125" s="514"/>
      <c r="D125" s="514">
        <v>1</v>
      </c>
      <c r="E125" s="514">
        <v>1</v>
      </c>
      <c r="F125" s="514">
        <v>1</v>
      </c>
      <c r="G125" s="514">
        <v>1</v>
      </c>
      <c r="H125" s="514" t="s">
        <v>475</v>
      </c>
      <c r="I125" s="514"/>
      <c r="J125" s="514"/>
      <c r="K125" s="514">
        <v>4</v>
      </c>
      <c r="L125" s="514">
        <v>4</v>
      </c>
      <c r="M125" s="1534" t="s">
        <v>727</v>
      </c>
      <c r="N125" s="1568">
        <v>4</v>
      </c>
      <c r="O125" s="1568">
        <v>4</v>
      </c>
      <c r="P125" s="514"/>
      <c r="Q125" s="514"/>
      <c r="R125" s="514" t="s">
        <v>552</v>
      </c>
      <c r="S125" s="514">
        <v>3</v>
      </c>
      <c r="T125" s="514">
        <v>3</v>
      </c>
      <c r="U125" s="514">
        <v>3</v>
      </c>
      <c r="V125" s="514">
        <v>3</v>
      </c>
      <c r="W125" s="514" t="s">
        <v>504</v>
      </c>
      <c r="X125" s="514" t="s">
        <v>504</v>
      </c>
      <c r="Y125" s="514" t="s">
        <v>475</v>
      </c>
      <c r="Z125" s="514" t="s">
        <v>475</v>
      </c>
      <c r="AA125" s="514">
        <v>1</v>
      </c>
      <c r="AB125" s="514" t="s">
        <v>513</v>
      </c>
      <c r="AC125" s="514" t="s">
        <v>513</v>
      </c>
      <c r="AD125" s="514" t="s">
        <v>550</v>
      </c>
      <c r="AE125" s="514"/>
      <c r="AF125" s="1066" t="s">
        <v>552</v>
      </c>
      <c r="AG125" s="1066" t="s">
        <v>552</v>
      </c>
      <c r="AH125" s="505">
        <v>43</v>
      </c>
      <c r="AI125" s="506">
        <v>37</v>
      </c>
    </row>
    <row r="126" spans="1:36" ht="21.95" customHeight="1" x14ac:dyDescent="0.2">
      <c r="A126" s="645">
        <v>6</v>
      </c>
      <c r="B126" s="552" t="s">
        <v>690</v>
      </c>
      <c r="C126" s="514"/>
      <c r="D126" s="514">
        <v>4</v>
      </c>
      <c r="E126" s="514">
        <v>4</v>
      </c>
      <c r="F126" s="514">
        <v>4</v>
      </c>
      <c r="G126" s="514">
        <v>4</v>
      </c>
      <c r="H126" s="514">
        <v>4</v>
      </c>
      <c r="I126" s="514" t="s">
        <v>505</v>
      </c>
      <c r="J126" s="514" t="s">
        <v>505</v>
      </c>
      <c r="K126" s="514" t="s">
        <v>475</v>
      </c>
      <c r="L126" s="514" t="s">
        <v>475</v>
      </c>
      <c r="M126" s="514" t="s">
        <v>475</v>
      </c>
      <c r="N126" s="514" t="s">
        <v>475</v>
      </c>
      <c r="O126" s="514" t="s">
        <v>475</v>
      </c>
      <c r="P126" s="514"/>
      <c r="Q126" s="514"/>
      <c r="R126" s="1518" t="s">
        <v>552</v>
      </c>
      <c r="S126" s="1518" t="s">
        <v>552</v>
      </c>
      <c r="T126" s="1518" t="s">
        <v>552</v>
      </c>
      <c r="U126" s="1518" t="s">
        <v>552</v>
      </c>
      <c r="V126" s="1518" t="s">
        <v>552</v>
      </c>
      <c r="W126" s="514"/>
      <c r="X126" s="514"/>
      <c r="Y126" s="1615" t="s">
        <v>681</v>
      </c>
      <c r="Z126" s="1615" t="s">
        <v>540</v>
      </c>
      <c r="AA126" s="1486" t="s">
        <v>552</v>
      </c>
      <c r="AB126" s="514" t="s">
        <v>475</v>
      </c>
      <c r="AC126" s="514" t="s">
        <v>475</v>
      </c>
      <c r="AD126" s="514" t="s">
        <v>505</v>
      </c>
      <c r="AE126" s="514" t="s">
        <v>505</v>
      </c>
      <c r="AF126" s="514" t="s">
        <v>513</v>
      </c>
      <c r="AG126" s="514" t="s">
        <v>513</v>
      </c>
      <c r="AH126" s="505">
        <v>0</v>
      </c>
      <c r="AI126" s="506">
        <v>0</v>
      </c>
    </row>
    <row r="127" spans="1:36" ht="21.95" customHeight="1" x14ac:dyDescent="0.2">
      <c r="A127" s="645">
        <v>7</v>
      </c>
      <c r="B127" s="152" t="s">
        <v>692</v>
      </c>
      <c r="C127" s="587" t="s">
        <v>550</v>
      </c>
      <c r="D127" s="587" t="s">
        <v>475</v>
      </c>
      <c r="E127" s="587" t="s">
        <v>475</v>
      </c>
      <c r="F127" s="587" t="s">
        <v>475</v>
      </c>
      <c r="G127" s="587" t="s">
        <v>475</v>
      </c>
      <c r="H127" s="587" t="s">
        <v>475</v>
      </c>
      <c r="I127" s="587"/>
      <c r="J127" s="587"/>
      <c r="K127" s="553">
        <v>3</v>
      </c>
      <c r="L127" s="553">
        <v>3</v>
      </c>
      <c r="M127" s="553">
        <v>3</v>
      </c>
      <c r="N127" s="553">
        <v>3</v>
      </c>
      <c r="O127" s="553">
        <v>3</v>
      </c>
      <c r="P127" s="587"/>
      <c r="Q127" s="587"/>
      <c r="R127" s="587" t="s">
        <v>513</v>
      </c>
      <c r="S127" s="587" t="s">
        <v>513</v>
      </c>
      <c r="T127" s="587" t="s">
        <v>513</v>
      </c>
      <c r="U127" s="587" t="s">
        <v>513</v>
      </c>
      <c r="V127" s="587" t="s">
        <v>513</v>
      </c>
      <c r="W127" s="1524" t="s">
        <v>550</v>
      </c>
      <c r="X127" s="1524" t="s">
        <v>550</v>
      </c>
      <c r="Y127" s="587" t="s">
        <v>475</v>
      </c>
      <c r="Z127" s="587" t="s">
        <v>475</v>
      </c>
      <c r="AA127" s="587" t="s">
        <v>475</v>
      </c>
      <c r="AB127" s="587" t="s">
        <v>475</v>
      </c>
      <c r="AC127" s="587" t="s">
        <v>475</v>
      </c>
      <c r="AD127" s="587"/>
      <c r="AE127" s="587"/>
      <c r="AF127" s="553">
        <v>4</v>
      </c>
      <c r="AG127" s="587" t="s">
        <v>551</v>
      </c>
      <c r="AH127" s="505">
        <v>0</v>
      </c>
      <c r="AI127" s="506">
        <v>0</v>
      </c>
    </row>
    <row r="128" spans="1:36" ht="21.95" customHeight="1" x14ac:dyDescent="0.2">
      <c r="A128" s="645">
        <v>8</v>
      </c>
      <c r="B128" s="133" t="s">
        <v>689</v>
      </c>
      <c r="C128" s="514"/>
      <c r="D128" s="514" t="s">
        <v>475</v>
      </c>
      <c r="E128" s="514">
        <v>1</v>
      </c>
      <c r="F128" s="514">
        <v>1</v>
      </c>
      <c r="G128" s="514">
        <v>1</v>
      </c>
      <c r="H128" s="514">
        <v>1</v>
      </c>
      <c r="I128" s="514">
        <v>1</v>
      </c>
      <c r="J128" s="514"/>
      <c r="K128" s="1615">
        <v>3</v>
      </c>
      <c r="L128" s="1615">
        <v>3</v>
      </c>
      <c r="M128" s="1615">
        <v>3</v>
      </c>
      <c r="N128" s="1615">
        <v>3</v>
      </c>
      <c r="O128" s="514" t="s">
        <v>538</v>
      </c>
      <c r="P128" s="514" t="s">
        <v>504</v>
      </c>
      <c r="Q128" s="514"/>
      <c r="R128" s="514">
        <v>3</v>
      </c>
      <c r="S128" s="1615" t="s">
        <v>644</v>
      </c>
      <c r="T128" s="1615" t="s">
        <v>644</v>
      </c>
      <c r="U128" s="1615" t="s">
        <v>644</v>
      </c>
      <c r="V128" s="1615" t="s">
        <v>513</v>
      </c>
      <c r="W128" s="514" t="s">
        <v>550</v>
      </c>
      <c r="X128" s="514" t="s">
        <v>550</v>
      </c>
      <c r="Y128" s="514" t="s">
        <v>475</v>
      </c>
      <c r="Z128" s="514" t="s">
        <v>475</v>
      </c>
      <c r="AA128" s="1486" t="s">
        <v>552</v>
      </c>
      <c r="AB128" s="1615" t="s">
        <v>643</v>
      </c>
      <c r="AC128" s="1615" t="s">
        <v>643</v>
      </c>
      <c r="AD128" s="514" t="s">
        <v>507</v>
      </c>
      <c r="AE128" s="514" t="s">
        <v>507</v>
      </c>
      <c r="AF128" s="514" t="s">
        <v>475</v>
      </c>
      <c r="AG128" s="514" t="s">
        <v>475</v>
      </c>
      <c r="AH128" s="648">
        <v>30</v>
      </c>
      <c r="AI128" s="649">
        <v>6</v>
      </c>
    </row>
    <row r="129" spans="1:35" ht="21.95" customHeight="1" thickBot="1" x14ac:dyDescent="0.25">
      <c r="A129" s="645">
        <v>9</v>
      </c>
      <c r="B129" s="1111" t="s">
        <v>735</v>
      </c>
      <c r="C129" s="1716"/>
      <c r="D129" s="1599" t="s">
        <v>513</v>
      </c>
      <c r="E129" s="1599" t="s">
        <v>513</v>
      </c>
      <c r="F129" s="1599" t="s">
        <v>513</v>
      </c>
      <c r="G129" s="1599" t="s">
        <v>513</v>
      </c>
      <c r="H129" s="1599" t="s">
        <v>513</v>
      </c>
      <c r="I129" s="514"/>
      <c r="J129" s="514"/>
      <c r="K129" s="1605">
        <v>9</v>
      </c>
      <c r="L129" s="1605">
        <v>9</v>
      </c>
      <c r="M129" s="1605">
        <v>9</v>
      </c>
      <c r="N129" s="1605">
        <v>9</v>
      </c>
      <c r="O129" s="514">
        <v>10</v>
      </c>
      <c r="P129" s="514"/>
      <c r="Q129" s="514"/>
      <c r="R129" s="514">
        <v>10</v>
      </c>
      <c r="S129" s="514">
        <v>10</v>
      </c>
      <c r="T129" s="514">
        <v>10</v>
      </c>
      <c r="U129" s="514">
        <v>10</v>
      </c>
      <c r="V129" s="514">
        <v>10</v>
      </c>
      <c r="W129" s="514" t="s">
        <v>507</v>
      </c>
      <c r="X129" s="514" t="s">
        <v>507</v>
      </c>
      <c r="Y129" s="514" t="s">
        <v>475</v>
      </c>
      <c r="Z129" s="514" t="s">
        <v>475</v>
      </c>
      <c r="AA129" s="514" t="s">
        <v>475</v>
      </c>
      <c r="AB129" s="514" t="s">
        <v>552</v>
      </c>
      <c r="AC129" s="514" t="s">
        <v>552</v>
      </c>
      <c r="AD129" s="514"/>
      <c r="AE129" s="514"/>
      <c r="AF129" s="514">
        <v>3</v>
      </c>
      <c r="AG129" s="514">
        <v>3</v>
      </c>
      <c r="AH129" s="651"/>
      <c r="AI129" s="523"/>
    </row>
    <row r="130" spans="1:35" ht="21.95" customHeight="1" x14ac:dyDescent="0.2">
      <c r="A130" s="1598">
        <v>10</v>
      </c>
      <c r="B130" s="657" t="s">
        <v>718</v>
      </c>
      <c r="C130" s="1716"/>
      <c r="D130" s="1599" t="s">
        <v>522</v>
      </c>
      <c r="E130" s="1599" t="s">
        <v>522</v>
      </c>
      <c r="F130" s="1112" t="s">
        <v>475</v>
      </c>
      <c r="G130" s="1112" t="s">
        <v>475</v>
      </c>
      <c r="H130" s="1112">
        <v>1</v>
      </c>
      <c r="I130" s="1112" t="s">
        <v>28</v>
      </c>
      <c r="J130" s="1112" t="s">
        <v>28</v>
      </c>
      <c r="K130" s="1599" t="s">
        <v>513</v>
      </c>
      <c r="L130" s="1599" t="s">
        <v>513</v>
      </c>
      <c r="M130" s="1599" t="s">
        <v>513</v>
      </c>
      <c r="N130" s="1599" t="s">
        <v>513</v>
      </c>
      <c r="O130" s="1599" t="s">
        <v>513</v>
      </c>
      <c r="P130" s="1599" t="s">
        <v>550</v>
      </c>
      <c r="Q130" s="1599" t="s">
        <v>550</v>
      </c>
      <c r="R130" s="1112" t="s">
        <v>475</v>
      </c>
      <c r="S130" s="1112" t="s">
        <v>475</v>
      </c>
      <c r="T130" s="1112" t="s">
        <v>475</v>
      </c>
      <c r="U130" s="1112" t="s">
        <v>475</v>
      </c>
      <c r="V130" s="1112" t="s">
        <v>475</v>
      </c>
      <c r="W130" s="1112"/>
      <c r="X130" s="1112" t="s">
        <v>28</v>
      </c>
      <c r="Y130" s="1112" t="s">
        <v>513</v>
      </c>
      <c r="Z130" s="1599" t="s">
        <v>540</v>
      </c>
      <c r="AA130" s="1716">
        <v>4</v>
      </c>
      <c r="AB130" s="1599" t="s">
        <v>681</v>
      </c>
      <c r="AC130" s="1112">
        <v>3</v>
      </c>
      <c r="AD130" s="1112" t="s">
        <v>484</v>
      </c>
      <c r="AE130" s="1112" t="s">
        <v>484</v>
      </c>
      <c r="AF130" s="1716">
        <v>7</v>
      </c>
      <c r="AG130" s="1716">
        <v>7</v>
      </c>
      <c r="AH130" s="1719"/>
      <c r="AI130" s="1719"/>
    </row>
    <row r="131" spans="1:35" ht="21.95" customHeight="1" x14ac:dyDescent="0.2">
      <c r="A131" s="585">
        <v>11</v>
      </c>
      <c r="B131" s="657"/>
      <c r="C131" s="1597"/>
      <c r="D131" s="1597"/>
      <c r="E131" s="1597"/>
      <c r="F131" s="1597"/>
      <c r="G131" s="1597"/>
      <c r="H131" s="1597"/>
      <c r="I131" s="1597"/>
      <c r="J131" s="1597"/>
      <c r="K131" s="1597"/>
      <c r="L131" s="1597"/>
      <c r="M131" s="1597"/>
      <c r="N131" s="1597"/>
      <c r="O131" s="1597"/>
      <c r="P131" s="1597"/>
      <c r="Q131" s="1597"/>
      <c r="R131" s="1597"/>
      <c r="S131" s="1597"/>
      <c r="T131" s="1597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9"/>
      <c r="AI131" s="1719"/>
    </row>
    <row r="132" spans="1:35" ht="21" customHeight="1" x14ac:dyDescent="0.25">
      <c r="A132" s="653" t="s">
        <v>695</v>
      </c>
    </row>
    <row r="133" spans="1:35" ht="21" customHeight="1" x14ac:dyDescent="0.25">
      <c r="A133" s="654" t="s">
        <v>28</v>
      </c>
    </row>
    <row r="134" spans="1:35" ht="21" customHeight="1" x14ac:dyDescent="0.2">
      <c r="A134" t="s">
        <v>28</v>
      </c>
    </row>
    <row r="135" spans="1:35" ht="21" customHeight="1" x14ac:dyDescent="0.2">
      <c r="A135" s="585"/>
      <c r="B135" s="296" t="s">
        <v>469</v>
      </c>
      <c r="C135" s="497">
        <v>1</v>
      </c>
      <c r="D135" s="177">
        <v>2</v>
      </c>
      <c r="E135" s="177">
        <v>3</v>
      </c>
      <c r="F135" s="177">
        <v>4</v>
      </c>
      <c r="G135" s="177">
        <v>5</v>
      </c>
      <c r="H135" s="177">
        <v>6</v>
      </c>
      <c r="I135" s="497">
        <v>7</v>
      </c>
      <c r="J135" s="497">
        <v>8</v>
      </c>
      <c r="K135" s="177">
        <v>9</v>
      </c>
      <c r="L135" s="177">
        <v>10</v>
      </c>
      <c r="M135" s="177">
        <v>11</v>
      </c>
      <c r="N135" s="177">
        <v>12</v>
      </c>
      <c r="O135" s="177">
        <v>13</v>
      </c>
      <c r="P135" s="497">
        <v>14</v>
      </c>
      <c r="Q135" s="497">
        <v>15</v>
      </c>
      <c r="R135" s="177">
        <v>16</v>
      </c>
      <c r="S135" s="177">
        <v>17</v>
      </c>
      <c r="T135" s="177">
        <v>18</v>
      </c>
      <c r="U135" s="177">
        <v>19</v>
      </c>
      <c r="V135" s="177">
        <v>20</v>
      </c>
      <c r="W135" s="497">
        <v>21</v>
      </c>
      <c r="X135" s="497">
        <v>22</v>
      </c>
      <c r="Y135" s="177">
        <v>23</v>
      </c>
      <c r="Z135" s="177">
        <v>24</v>
      </c>
      <c r="AA135" s="177">
        <v>25</v>
      </c>
      <c r="AB135" s="177">
        <v>26</v>
      </c>
      <c r="AC135" s="177">
        <v>27</v>
      </c>
      <c r="AD135" s="497">
        <v>28</v>
      </c>
      <c r="AE135" s="497">
        <v>29</v>
      </c>
      <c r="AF135" s="177">
        <v>30</v>
      </c>
      <c r="AG135" s="177">
        <v>31</v>
      </c>
      <c r="AH135" s="655"/>
    </row>
    <row r="136" spans="1:35" ht="21" customHeight="1" x14ac:dyDescent="0.2">
      <c r="A136" s="585">
        <v>1</v>
      </c>
      <c r="B136" s="1623" t="s">
        <v>696</v>
      </c>
      <c r="C136" s="171"/>
      <c r="D136" s="1564">
        <v>8</v>
      </c>
      <c r="E136" s="1564">
        <v>8</v>
      </c>
      <c r="F136" s="1558">
        <v>8</v>
      </c>
      <c r="G136" s="1558">
        <v>8</v>
      </c>
      <c r="H136" s="1558">
        <v>8</v>
      </c>
      <c r="I136" s="1558"/>
      <c r="J136" s="1558"/>
      <c r="K136" s="1558" t="s">
        <v>685</v>
      </c>
      <c r="L136" s="171">
        <v>3</v>
      </c>
      <c r="M136" s="1564">
        <v>3</v>
      </c>
      <c r="N136" s="1564" t="s">
        <v>685</v>
      </c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655"/>
    </row>
    <row r="137" spans="1:35" ht="21" customHeight="1" x14ac:dyDescent="0.2">
      <c r="A137" s="585">
        <v>2</v>
      </c>
      <c r="B137" s="657" t="s">
        <v>28</v>
      </c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655"/>
    </row>
    <row r="138" spans="1:35" ht="21" customHeight="1" x14ac:dyDescent="0.2">
      <c r="A138" s="585">
        <v>3</v>
      </c>
      <c r="B138" s="552" t="s">
        <v>28</v>
      </c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656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655"/>
    </row>
    <row r="139" spans="1:35" ht="21" customHeight="1" x14ac:dyDescent="0.2">
      <c r="A139" s="585">
        <v>4</v>
      </c>
      <c r="B139" s="552" t="s">
        <v>28</v>
      </c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656"/>
      <c r="AC139" s="171"/>
      <c r="AD139" s="171"/>
      <c r="AE139" s="171"/>
      <c r="AF139" s="171"/>
      <c r="AG139" s="171"/>
      <c r="AH139" s="655"/>
    </row>
    <row r="140" spans="1:35" ht="21" customHeight="1" x14ac:dyDescent="0.2">
      <c r="A140" s="585">
        <v>5</v>
      </c>
      <c r="B140" s="552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655"/>
    </row>
    <row r="141" spans="1:35" ht="21" customHeight="1" x14ac:dyDescent="0.2">
      <c r="A141" s="585"/>
      <c r="B141" s="318" t="s">
        <v>28</v>
      </c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656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655"/>
    </row>
    <row r="142" spans="1:35" ht="21.95" customHeight="1" x14ac:dyDescent="0.2">
      <c r="A142" s="1" t="s">
        <v>603</v>
      </c>
      <c r="B142" s="273"/>
      <c r="C142" s="138"/>
      <c r="D142" s="138"/>
      <c r="E142" s="138"/>
      <c r="F142" s="138"/>
      <c r="G142" s="138"/>
      <c r="H142" s="138"/>
      <c r="I142" s="138"/>
      <c r="J142" s="138"/>
      <c r="K142" s="138"/>
      <c r="L142" s="138"/>
      <c r="M142" s="138"/>
      <c r="N142" s="138"/>
      <c r="O142" s="138"/>
      <c r="P142" s="138"/>
      <c r="Q142" s="138"/>
      <c r="R142" s="138"/>
      <c r="S142" s="138"/>
      <c r="T142" s="138"/>
      <c r="U142" s="138"/>
      <c r="V142" s="138"/>
      <c r="W142" s="138"/>
      <c r="X142" s="138"/>
      <c r="Y142" s="138"/>
      <c r="Z142" s="138"/>
      <c r="AA142" s="138"/>
      <c r="AB142" s="138"/>
      <c r="AC142" s="138"/>
      <c r="AD142" s="138"/>
      <c r="AE142" s="138"/>
      <c r="AF142" s="138"/>
      <c r="AG142" s="138"/>
    </row>
    <row r="143" spans="1:35" ht="21.95" customHeight="1" x14ac:dyDescent="0.2">
      <c r="A143" s="1"/>
      <c r="B143" s="200" t="s">
        <v>604</v>
      </c>
      <c r="C143" s="7"/>
      <c r="D143" s="530" t="s">
        <v>2</v>
      </c>
      <c r="E143" s="51"/>
      <c r="F143" s="573"/>
      <c r="G143" s="7"/>
      <c r="H143" s="530" t="s">
        <v>3</v>
      </c>
      <c r="I143" s="51"/>
      <c r="J143" s="573"/>
      <c r="K143" s="7"/>
      <c r="L143" s="530" t="s">
        <v>4</v>
      </c>
      <c r="M143" s="51"/>
      <c r="N143" s="573"/>
      <c r="O143" s="7"/>
      <c r="P143" s="530" t="s">
        <v>5</v>
      </c>
      <c r="Q143" s="51"/>
      <c r="R143" s="573"/>
      <c r="S143" s="7"/>
      <c r="T143" s="530" t="s">
        <v>6</v>
      </c>
      <c r="U143" s="51"/>
      <c r="V143" s="573"/>
      <c r="W143" s="7"/>
      <c r="X143" s="530" t="s">
        <v>7</v>
      </c>
      <c r="Y143" s="51"/>
      <c r="Z143" s="573"/>
      <c r="AA143" s="7"/>
      <c r="AB143" s="530" t="s">
        <v>8</v>
      </c>
      <c r="AC143" s="51"/>
      <c r="AD143" s="51"/>
      <c r="AE143" s="424" t="s">
        <v>10</v>
      </c>
      <c r="AF143" s="51"/>
      <c r="AG143" s="51"/>
      <c r="AH143" s="51"/>
      <c r="AI143" s="531"/>
    </row>
    <row r="144" spans="1:35" ht="21.95" customHeight="1" x14ac:dyDescent="0.2">
      <c r="A144" s="1"/>
      <c r="B144" s="305">
        <v>3701</v>
      </c>
      <c r="C144" s="641" t="s">
        <v>124</v>
      </c>
      <c r="D144" s="658"/>
      <c r="E144" s="55"/>
      <c r="F144" s="580"/>
      <c r="G144" s="641" t="s">
        <v>124</v>
      </c>
      <c r="H144" s="659"/>
      <c r="I144" s="55"/>
      <c r="J144" s="580"/>
      <c r="K144" s="641" t="s">
        <v>124</v>
      </c>
      <c r="L144" s="659"/>
      <c r="M144" s="55"/>
      <c r="N144" s="580"/>
      <c r="O144" s="641" t="s">
        <v>124</v>
      </c>
      <c r="P144" s="659"/>
      <c r="Q144" s="55"/>
      <c r="R144" s="580"/>
      <c r="S144" s="14" t="s">
        <v>125</v>
      </c>
      <c r="T144" s="659"/>
      <c r="U144" s="55"/>
      <c r="V144" s="580"/>
      <c r="W144" s="14"/>
      <c r="X144" s="659"/>
      <c r="Y144" s="55"/>
      <c r="Z144" s="580"/>
      <c r="AA144" s="14"/>
      <c r="AB144" s="659"/>
      <c r="AC144" s="55"/>
      <c r="AD144" s="55"/>
      <c r="AE144" s="660"/>
      <c r="AF144" s="55"/>
      <c r="AG144" s="55"/>
      <c r="AH144" s="55"/>
      <c r="AI144" s="661"/>
    </row>
    <row r="145" spans="1:35" ht="21.95" customHeight="1" x14ac:dyDescent="0.2">
      <c r="B145" s="662">
        <v>3700</v>
      </c>
      <c r="C145" s="121" t="s">
        <v>534</v>
      </c>
      <c r="D145" s="156"/>
      <c r="E145" s="156"/>
      <c r="F145" s="612"/>
      <c r="G145" s="121" t="s">
        <v>534</v>
      </c>
      <c r="H145" s="156"/>
      <c r="I145" s="156"/>
      <c r="J145" s="612"/>
      <c r="K145" s="121" t="s">
        <v>534</v>
      </c>
      <c r="L145" s="156"/>
      <c r="M145" s="156"/>
      <c r="N145" s="612"/>
      <c r="O145" s="121" t="s">
        <v>534</v>
      </c>
      <c r="P145" s="156"/>
      <c r="Q145" s="156"/>
      <c r="R145" s="612"/>
      <c r="S145" s="121" t="s">
        <v>116</v>
      </c>
      <c r="T145" s="156"/>
      <c r="U145" s="156"/>
      <c r="V145" s="612"/>
      <c r="W145" s="121"/>
      <c r="X145" s="156"/>
      <c r="Y145" s="156"/>
      <c r="Z145" s="612"/>
      <c r="AA145" s="611"/>
      <c r="AB145" s="156"/>
      <c r="AC145" s="156"/>
      <c r="AD145" s="613"/>
      <c r="AE145" s="663"/>
      <c r="AF145" s="156"/>
      <c r="AG145" s="156" t="s">
        <v>28</v>
      </c>
      <c r="AH145" s="613"/>
      <c r="AI145" s="489"/>
    </row>
    <row r="146" spans="1:35" ht="21.95" customHeight="1" x14ac:dyDescent="0.2">
      <c r="A146" s="1"/>
      <c r="B146" s="129" t="s">
        <v>605</v>
      </c>
      <c r="C146" s="611" t="s">
        <v>606</v>
      </c>
      <c r="D146" s="156"/>
      <c r="E146" s="156"/>
      <c r="F146" s="612"/>
      <c r="G146" s="611" t="s">
        <v>606</v>
      </c>
      <c r="H146" s="156"/>
      <c r="I146" s="156"/>
      <c r="J146" s="612"/>
      <c r="K146" s="611" t="s">
        <v>606</v>
      </c>
      <c r="L146" s="156"/>
      <c r="M146" s="156"/>
      <c r="N146" s="612"/>
      <c r="O146" s="611" t="s">
        <v>606</v>
      </c>
      <c r="P146" s="156"/>
      <c r="Q146" s="156"/>
      <c r="R146" s="612"/>
      <c r="S146" s="611" t="s">
        <v>607</v>
      </c>
      <c r="T146" s="156"/>
      <c r="U146" s="156"/>
      <c r="V146" s="612"/>
      <c r="W146" s="121"/>
      <c r="X146" s="156"/>
      <c r="Y146" s="156"/>
      <c r="Z146" s="612"/>
      <c r="AA146" s="121"/>
      <c r="AB146" s="156"/>
      <c r="AC146" s="156"/>
      <c r="AD146" s="613"/>
      <c r="AE146" s="121"/>
      <c r="AF146" s="156"/>
      <c r="AG146" s="156"/>
      <c r="AH146" s="613"/>
      <c r="AI146" s="489"/>
    </row>
    <row r="147" spans="1:35" ht="21.95" customHeight="1" x14ac:dyDescent="0.2">
      <c r="A147" s="1"/>
      <c r="B147" s="664">
        <v>8500</v>
      </c>
      <c r="C147" s="665" t="s">
        <v>264</v>
      </c>
      <c r="D147" s="55"/>
      <c r="E147" s="55"/>
      <c r="F147" s="666"/>
      <c r="G147" s="665" t="s">
        <v>264</v>
      </c>
      <c r="H147" s="55"/>
      <c r="I147" s="55"/>
      <c r="J147" s="666"/>
      <c r="K147" s="665" t="s">
        <v>264</v>
      </c>
      <c r="L147" s="55"/>
      <c r="M147" s="55"/>
      <c r="N147" s="666"/>
      <c r="O147" s="665" t="s">
        <v>264</v>
      </c>
      <c r="P147" s="55"/>
      <c r="Q147" s="55"/>
      <c r="R147" s="666"/>
      <c r="S147" s="665" t="s">
        <v>265</v>
      </c>
      <c r="T147" s="55"/>
      <c r="U147" s="55"/>
      <c r="V147" s="666"/>
      <c r="W147" s="665"/>
      <c r="X147" s="55"/>
      <c r="Y147" s="55"/>
      <c r="Z147" s="666"/>
      <c r="AA147" s="665"/>
      <c r="AB147" s="55"/>
      <c r="AC147" s="55"/>
      <c r="AD147" s="666"/>
      <c r="AE147" s="665"/>
      <c r="AF147" s="55"/>
      <c r="AG147" s="55"/>
      <c r="AH147" s="641"/>
      <c r="AI147" s="661"/>
    </row>
    <row r="148" spans="1:35" ht="21.95" customHeight="1" x14ac:dyDescent="0.2">
      <c r="A148" s="1"/>
      <c r="B148" s="9">
        <v>8514</v>
      </c>
      <c r="C148" s="667" t="s">
        <v>264</v>
      </c>
      <c r="D148" s="668"/>
      <c r="E148" s="669"/>
      <c r="F148" s="670"/>
      <c r="G148" s="667" t="s">
        <v>264</v>
      </c>
      <c r="H148" s="668"/>
      <c r="I148" s="669"/>
      <c r="J148" s="670"/>
      <c r="K148" s="667" t="s">
        <v>264</v>
      </c>
      <c r="L148" s="668"/>
      <c r="M148" s="669"/>
      <c r="N148" s="670"/>
      <c r="O148" s="667" t="s">
        <v>682</v>
      </c>
      <c r="P148" s="668"/>
      <c r="Q148" s="669"/>
      <c r="R148" s="670"/>
      <c r="S148" s="667" t="s">
        <v>265</v>
      </c>
      <c r="T148" s="668"/>
      <c r="U148" s="669"/>
      <c r="V148" s="670"/>
      <c r="W148" s="14"/>
      <c r="X148" s="659"/>
      <c r="Y148" s="55"/>
      <c r="Z148" s="580"/>
      <c r="AA148" s="14"/>
      <c r="AB148" s="659"/>
      <c r="AC148" s="55"/>
      <c r="AD148" s="55"/>
      <c r="AE148" s="660"/>
      <c r="AF148" s="55"/>
      <c r="AG148" s="55"/>
      <c r="AH148" s="55"/>
      <c r="AI148" s="661"/>
    </row>
    <row r="149" spans="1:35" ht="21.95" customHeight="1" x14ac:dyDescent="0.2">
      <c r="A149" s="1"/>
      <c r="B149" s="671">
        <v>8521</v>
      </c>
      <c r="C149" s="57" t="s">
        <v>534</v>
      </c>
      <c r="D149" s="53"/>
      <c r="E149" s="53"/>
      <c r="F149" s="619"/>
      <c r="G149" s="57" t="s">
        <v>534</v>
      </c>
      <c r="H149" s="53"/>
      <c r="I149" s="53"/>
      <c r="J149" s="619"/>
      <c r="K149" s="57" t="s">
        <v>534</v>
      </c>
      <c r="L149" s="53"/>
      <c r="M149" s="53"/>
      <c r="N149" s="619"/>
      <c r="O149" s="57" t="s">
        <v>534</v>
      </c>
      <c r="P149" s="53"/>
      <c r="Q149" s="53"/>
      <c r="R149" s="619"/>
      <c r="S149" s="57" t="s">
        <v>116</v>
      </c>
      <c r="T149" s="53"/>
      <c r="U149" s="53"/>
      <c r="V149" s="619"/>
      <c r="W149" s="57"/>
      <c r="X149" s="53"/>
      <c r="Y149" s="53"/>
      <c r="Z149" s="619"/>
      <c r="AA149" s="618"/>
      <c r="AB149" s="53"/>
      <c r="AC149" s="53"/>
      <c r="AD149" s="620"/>
      <c r="AE149" s="672"/>
      <c r="AF149" s="53"/>
      <c r="AG149" s="53" t="s">
        <v>28</v>
      </c>
      <c r="AH149" s="620"/>
      <c r="AI149" s="544"/>
    </row>
    <row r="150" spans="1:35" ht="21.95" customHeight="1" x14ac:dyDescent="0.2">
      <c r="A150" s="1"/>
      <c r="B150" s="72"/>
      <c r="C150" s="311"/>
      <c r="F150" s="353"/>
      <c r="G150" s="311"/>
      <c r="J150" s="353"/>
      <c r="K150" s="311"/>
      <c r="N150" s="353"/>
      <c r="O150" s="311"/>
      <c r="R150" s="353"/>
      <c r="S150" s="311"/>
      <c r="V150" s="353"/>
      <c r="W150" s="353"/>
      <c r="Z150" s="353"/>
      <c r="AA150" s="353"/>
      <c r="AD150" s="353"/>
      <c r="AE150" s="353"/>
      <c r="AH150" s="353"/>
    </row>
    <row r="151" spans="1:35" ht="21.95" customHeight="1" x14ac:dyDescent="0.2">
      <c r="A151" s="1" t="s">
        <v>659</v>
      </c>
      <c r="B151" s="72"/>
      <c r="C151" s="311"/>
      <c r="F151" s="353"/>
      <c r="G151" s="311"/>
      <c r="J151" s="353"/>
      <c r="K151" s="311"/>
      <c r="N151" s="353"/>
      <c r="O151" s="311"/>
      <c r="R151" s="353"/>
      <c r="S151" s="311"/>
      <c r="V151" s="353"/>
      <c r="W151" s="353"/>
      <c r="Z151" s="353"/>
      <c r="AA151" s="353"/>
      <c r="AD151" s="353"/>
      <c r="AE151" s="353"/>
      <c r="AH151" s="353"/>
    </row>
    <row r="152" spans="1:35" ht="21.95" customHeight="1" x14ac:dyDescent="0.2">
      <c r="A152" s="585"/>
      <c r="B152" s="296" t="s">
        <v>469</v>
      </c>
      <c r="C152" s="497">
        <v>1</v>
      </c>
      <c r="D152" s="177">
        <v>2</v>
      </c>
      <c r="E152" s="177">
        <v>3</v>
      </c>
      <c r="F152" s="177">
        <v>4</v>
      </c>
      <c r="G152" s="177">
        <v>5</v>
      </c>
      <c r="H152" s="177">
        <v>6</v>
      </c>
      <c r="I152" s="497">
        <v>7</v>
      </c>
      <c r="J152" s="497">
        <v>8</v>
      </c>
      <c r="K152" s="177">
        <v>9</v>
      </c>
      <c r="L152" s="177">
        <v>10</v>
      </c>
      <c r="M152" s="177">
        <v>11</v>
      </c>
      <c r="N152" s="177">
        <v>12</v>
      </c>
      <c r="O152" s="177">
        <v>13</v>
      </c>
      <c r="P152" s="497">
        <v>14</v>
      </c>
      <c r="Q152" s="497">
        <v>15</v>
      </c>
      <c r="R152" s="177">
        <v>16</v>
      </c>
      <c r="S152" s="177">
        <v>17</v>
      </c>
      <c r="T152" s="177">
        <v>18</v>
      </c>
      <c r="U152" s="177">
        <v>19</v>
      </c>
      <c r="V152" s="177">
        <v>20</v>
      </c>
      <c r="W152" s="497">
        <v>21</v>
      </c>
      <c r="X152" s="497">
        <v>22</v>
      </c>
      <c r="Y152" s="177">
        <v>23</v>
      </c>
      <c r="Z152" s="177">
        <v>24</v>
      </c>
      <c r="AA152" s="177">
        <v>25</v>
      </c>
      <c r="AB152" s="177">
        <v>26</v>
      </c>
      <c r="AC152" s="177">
        <v>27</v>
      </c>
      <c r="AD152" s="497">
        <v>28</v>
      </c>
      <c r="AE152" s="497">
        <v>29</v>
      </c>
      <c r="AF152" s="177">
        <v>30</v>
      </c>
      <c r="AG152" s="177">
        <v>31</v>
      </c>
      <c r="AH152" s="499" t="s">
        <v>470</v>
      </c>
      <c r="AI152" s="500" t="s">
        <v>471</v>
      </c>
    </row>
    <row r="153" spans="1:35" ht="21.95" customHeight="1" x14ac:dyDescent="0.2">
      <c r="A153" s="585"/>
      <c r="B153" s="673" t="s">
        <v>610</v>
      </c>
      <c r="C153" s="1726"/>
      <c r="D153" s="1726" t="s">
        <v>552</v>
      </c>
      <c r="E153" s="1726" t="s">
        <v>552</v>
      </c>
      <c r="F153" s="1726" t="s">
        <v>552</v>
      </c>
      <c r="G153" s="1726" t="s">
        <v>552</v>
      </c>
      <c r="H153" s="1726" t="s">
        <v>552</v>
      </c>
      <c r="I153" s="1726"/>
      <c r="J153" s="1726"/>
      <c r="K153" s="1726" t="s">
        <v>552</v>
      </c>
      <c r="L153" s="1726" t="s">
        <v>552</v>
      </c>
      <c r="M153" s="1726" t="s">
        <v>552</v>
      </c>
      <c r="N153" s="1726" t="s">
        <v>552</v>
      </c>
      <c r="O153" s="1726" t="s">
        <v>552</v>
      </c>
      <c r="P153" s="1726"/>
      <c r="Q153" s="1726"/>
      <c r="R153" s="1726" t="s">
        <v>552</v>
      </c>
      <c r="S153" s="1726" t="s">
        <v>552</v>
      </c>
      <c r="T153" s="1726" t="s">
        <v>552</v>
      </c>
      <c r="U153" s="1726" t="s">
        <v>552</v>
      </c>
      <c r="V153" s="1726" t="s">
        <v>552</v>
      </c>
      <c r="W153" s="1726"/>
      <c r="X153" s="1726"/>
      <c r="Y153" s="1726" t="s">
        <v>552</v>
      </c>
      <c r="Z153" s="1726" t="s">
        <v>552</v>
      </c>
      <c r="AA153" s="1486" t="s">
        <v>552</v>
      </c>
      <c r="AB153" s="1726" t="s">
        <v>552</v>
      </c>
      <c r="AC153" s="1733" t="s">
        <v>552</v>
      </c>
      <c r="AD153" s="1726"/>
      <c r="AE153" s="1726"/>
      <c r="AF153" s="1726" t="s">
        <v>552</v>
      </c>
      <c r="AG153" s="1726" t="s">
        <v>552</v>
      </c>
      <c r="AH153" s="703">
        <v>0</v>
      </c>
      <c r="AI153" s="704">
        <v>30</v>
      </c>
    </row>
    <row r="154" spans="1:35" ht="21.95" customHeight="1" x14ac:dyDescent="0.2">
      <c r="A154" s="674">
        <v>8500</v>
      </c>
      <c r="B154" s="675" t="s">
        <v>156</v>
      </c>
      <c r="C154" s="1726"/>
      <c r="D154" s="1726" t="s">
        <v>552</v>
      </c>
      <c r="E154" s="1726" t="s">
        <v>552</v>
      </c>
      <c r="F154" s="1726" t="s">
        <v>552</v>
      </c>
      <c r="G154" s="1726" t="s">
        <v>552</v>
      </c>
      <c r="H154" s="1726" t="s">
        <v>552</v>
      </c>
      <c r="I154" s="1726"/>
      <c r="J154" s="1726"/>
      <c r="K154" s="1726" t="s">
        <v>552</v>
      </c>
      <c r="L154" s="1726" t="s">
        <v>552</v>
      </c>
      <c r="M154" s="1726" t="s">
        <v>552</v>
      </c>
      <c r="N154" s="1726" t="s">
        <v>552</v>
      </c>
      <c r="O154" s="1726" t="s">
        <v>552</v>
      </c>
      <c r="P154" s="1726"/>
      <c r="Q154" s="1726"/>
      <c r="R154" s="1726" t="s">
        <v>552</v>
      </c>
      <c r="S154" s="1726" t="s">
        <v>552</v>
      </c>
      <c r="T154" s="1726" t="s">
        <v>552</v>
      </c>
      <c r="U154" s="1726" t="s">
        <v>552</v>
      </c>
      <c r="V154" s="1726" t="s">
        <v>552</v>
      </c>
      <c r="W154" s="1726"/>
      <c r="X154" s="1726"/>
      <c r="Y154" s="1726" t="s">
        <v>552</v>
      </c>
      <c r="Z154" s="1726" t="s">
        <v>552</v>
      </c>
      <c r="AA154" s="1486" t="s">
        <v>552</v>
      </c>
      <c r="AB154" s="1726" t="s">
        <v>552</v>
      </c>
      <c r="AC154" s="1726" t="s">
        <v>552</v>
      </c>
      <c r="AD154" s="1726"/>
      <c r="AE154" s="1726"/>
      <c r="AF154" s="1726" t="s">
        <v>552</v>
      </c>
      <c r="AG154" s="1726" t="s">
        <v>552</v>
      </c>
      <c r="AH154" s="648">
        <v>37</v>
      </c>
      <c r="AI154" s="649">
        <v>37</v>
      </c>
    </row>
    <row r="155" spans="1:35" ht="21" customHeight="1" x14ac:dyDescent="0.2">
      <c r="A155" s="441"/>
      <c r="B155" s="673" t="s">
        <v>611</v>
      </c>
      <c r="C155" s="1726"/>
      <c r="D155" s="1726" t="s">
        <v>552</v>
      </c>
      <c r="E155" s="1726" t="s">
        <v>552</v>
      </c>
      <c r="F155" s="1726" t="s">
        <v>552</v>
      </c>
      <c r="G155" s="1726" t="s">
        <v>552</v>
      </c>
      <c r="H155" s="1726" t="s">
        <v>552</v>
      </c>
      <c r="I155" s="1726"/>
      <c r="J155" s="1726"/>
      <c r="K155" s="1726" t="s">
        <v>552</v>
      </c>
      <c r="L155" s="1726" t="s">
        <v>552</v>
      </c>
      <c r="M155" s="1726" t="s">
        <v>552</v>
      </c>
      <c r="N155" s="1726" t="s">
        <v>552</v>
      </c>
      <c r="O155" s="1726" t="s">
        <v>552</v>
      </c>
      <c r="P155" s="1726"/>
      <c r="Q155" s="1726"/>
      <c r="R155" s="1726" t="s">
        <v>552</v>
      </c>
      <c r="S155" s="1726" t="s">
        <v>552</v>
      </c>
      <c r="T155" s="1726" t="s">
        <v>552</v>
      </c>
      <c r="U155" s="1726" t="s">
        <v>552</v>
      </c>
      <c r="V155" s="1726" t="s">
        <v>552</v>
      </c>
      <c r="W155" s="1726"/>
      <c r="X155" s="1726"/>
      <c r="Y155" s="1726" t="s">
        <v>552</v>
      </c>
      <c r="Z155" s="1573" t="s">
        <v>617</v>
      </c>
      <c r="AA155" s="1726" t="s">
        <v>552</v>
      </c>
      <c r="AB155" s="1726" t="s">
        <v>552</v>
      </c>
      <c r="AC155" s="1726" t="s">
        <v>552</v>
      </c>
      <c r="AD155" s="1726"/>
      <c r="AE155" s="1726"/>
      <c r="AF155" s="1726" t="s">
        <v>552</v>
      </c>
      <c r="AG155" s="1726" t="s">
        <v>552</v>
      </c>
      <c r="AH155" s="648">
        <v>30</v>
      </c>
      <c r="AI155" s="649">
        <v>37</v>
      </c>
    </row>
    <row r="156" spans="1:35" ht="21" customHeight="1" x14ac:dyDescent="0.2">
      <c r="A156" s="441"/>
      <c r="B156" s="673" t="s">
        <v>613</v>
      </c>
      <c r="C156" s="1726"/>
      <c r="D156" s="1726" t="s">
        <v>552</v>
      </c>
      <c r="E156" s="1726" t="s">
        <v>552</v>
      </c>
      <c r="F156" s="1726" t="s">
        <v>552</v>
      </c>
      <c r="G156" s="1726" t="s">
        <v>552</v>
      </c>
      <c r="H156" s="1726" t="s">
        <v>552</v>
      </c>
      <c r="I156" s="1726"/>
      <c r="J156" s="1726"/>
      <c r="K156" s="1726" t="s">
        <v>552</v>
      </c>
      <c r="L156" s="1726" t="s">
        <v>552</v>
      </c>
      <c r="M156" s="1726" t="s">
        <v>552</v>
      </c>
      <c r="N156" s="1726" t="s">
        <v>552</v>
      </c>
      <c r="O156" s="1726" t="s">
        <v>552</v>
      </c>
      <c r="P156" s="1726"/>
      <c r="Q156" s="1726"/>
      <c r="R156" s="1573" t="s">
        <v>552</v>
      </c>
      <c r="S156" s="1573" t="s">
        <v>617</v>
      </c>
      <c r="T156" s="1726" t="s">
        <v>552</v>
      </c>
      <c r="U156" s="1726" t="s">
        <v>552</v>
      </c>
      <c r="V156" s="1726" t="s">
        <v>552</v>
      </c>
      <c r="W156" s="1726"/>
      <c r="X156" s="1726"/>
      <c r="Y156" s="1726" t="s">
        <v>552</v>
      </c>
      <c r="Z156" s="1726" t="s">
        <v>552</v>
      </c>
      <c r="AA156" s="1726" t="s">
        <v>552</v>
      </c>
      <c r="AB156" s="1726" t="s">
        <v>552</v>
      </c>
      <c r="AC156" s="1726" t="s">
        <v>552</v>
      </c>
      <c r="AD156" s="1726"/>
      <c r="AE156" s="1726"/>
      <c r="AF156" s="1726" t="s">
        <v>552</v>
      </c>
      <c r="AG156" s="1726" t="s">
        <v>552</v>
      </c>
      <c r="AH156" s="648">
        <v>0</v>
      </c>
      <c r="AI156" s="649">
        <v>22</v>
      </c>
    </row>
    <row r="157" spans="1:35" ht="21" customHeight="1" x14ac:dyDescent="0.2">
      <c r="A157" s="441">
        <v>8521</v>
      </c>
      <c r="B157" s="673" t="s">
        <v>614</v>
      </c>
      <c r="C157" s="1726"/>
      <c r="D157" s="1726" t="s">
        <v>552</v>
      </c>
      <c r="E157" s="1726" t="s">
        <v>552</v>
      </c>
      <c r="F157" s="1726" t="s">
        <v>552</v>
      </c>
      <c r="G157" s="1726" t="s">
        <v>552</v>
      </c>
      <c r="H157" s="1726" t="s">
        <v>552</v>
      </c>
      <c r="I157" s="1726"/>
      <c r="J157" s="1726"/>
      <c r="K157" s="1726" t="s">
        <v>552</v>
      </c>
      <c r="L157" s="1726" t="s">
        <v>552</v>
      </c>
      <c r="M157" s="1726" t="s">
        <v>552</v>
      </c>
      <c r="N157" s="1726" t="s">
        <v>552</v>
      </c>
      <c r="O157" s="1726" t="s">
        <v>552</v>
      </c>
      <c r="P157" s="1726"/>
      <c r="Q157" s="1726"/>
      <c r="R157" s="1726" t="s">
        <v>552</v>
      </c>
      <c r="S157" s="1726" t="s">
        <v>552</v>
      </c>
      <c r="T157" s="1726" t="s">
        <v>552</v>
      </c>
      <c r="U157" s="1726" t="s">
        <v>552</v>
      </c>
      <c r="V157" s="1726" t="s">
        <v>552</v>
      </c>
      <c r="W157" s="1726"/>
      <c r="X157" s="1726"/>
      <c r="Y157" s="1726" t="s">
        <v>552</v>
      </c>
      <c r="Z157" s="1726" t="s">
        <v>552</v>
      </c>
      <c r="AA157" s="1726" t="s">
        <v>552</v>
      </c>
      <c r="AB157" s="1726" t="s">
        <v>552</v>
      </c>
      <c r="AC157" s="1726" t="s">
        <v>552</v>
      </c>
      <c r="AD157" s="1726"/>
      <c r="AE157" s="1726"/>
      <c r="AF157" s="1726" t="s">
        <v>552</v>
      </c>
      <c r="AG157" s="1726" t="s">
        <v>552</v>
      </c>
      <c r="AH157" s="648">
        <v>37</v>
      </c>
      <c r="AI157" s="649">
        <v>37</v>
      </c>
    </row>
    <row r="158" spans="1:35" ht="21" customHeight="1" x14ac:dyDescent="0.2">
      <c r="A158" s="441"/>
      <c r="B158" s="676" t="s">
        <v>615</v>
      </c>
      <c r="C158" s="1726"/>
      <c r="D158" s="1726" t="s">
        <v>552</v>
      </c>
      <c r="E158" s="1726" t="s">
        <v>552</v>
      </c>
      <c r="F158" s="1726" t="s">
        <v>552</v>
      </c>
      <c r="G158" s="1726" t="s">
        <v>552</v>
      </c>
      <c r="H158" s="1734" t="s">
        <v>552</v>
      </c>
      <c r="I158" s="1726"/>
      <c r="J158" s="1726"/>
      <c r="K158" s="1726" t="s">
        <v>552</v>
      </c>
      <c r="L158" s="1726" t="s">
        <v>552</v>
      </c>
      <c r="M158" s="1726" t="s">
        <v>552</v>
      </c>
      <c r="N158" s="1726" t="s">
        <v>552</v>
      </c>
      <c r="O158" s="1726" t="s">
        <v>552</v>
      </c>
      <c r="P158" s="1726"/>
      <c r="Q158" s="1726"/>
      <c r="R158" s="1726" t="s">
        <v>552</v>
      </c>
      <c r="S158" s="1726" t="s">
        <v>552</v>
      </c>
      <c r="T158" s="1726" t="s">
        <v>552</v>
      </c>
      <c r="U158" s="1726" t="s">
        <v>552</v>
      </c>
      <c r="V158" s="1726" t="s">
        <v>552</v>
      </c>
      <c r="W158" s="1726"/>
      <c r="X158" s="1726"/>
      <c r="Y158" s="1726" t="s">
        <v>552</v>
      </c>
      <c r="Z158" s="1726" t="s">
        <v>552</v>
      </c>
      <c r="AA158" s="1486" t="s">
        <v>552</v>
      </c>
      <c r="AB158" s="1726" t="s">
        <v>552</v>
      </c>
      <c r="AC158" s="1726" t="s">
        <v>552</v>
      </c>
      <c r="AD158" s="1726"/>
      <c r="AE158" s="1726"/>
      <c r="AF158" s="1726" t="s">
        <v>552</v>
      </c>
      <c r="AG158" s="1726" t="s">
        <v>552</v>
      </c>
      <c r="AH158" s="648">
        <v>29</v>
      </c>
      <c r="AI158" s="649">
        <v>37</v>
      </c>
    </row>
    <row r="159" spans="1:35" ht="21" customHeight="1" x14ac:dyDescent="0.2">
      <c r="A159" s="441">
        <v>8514</v>
      </c>
      <c r="B159" s="673" t="s">
        <v>433</v>
      </c>
      <c r="C159" s="1726"/>
      <c r="D159" s="1726" t="s">
        <v>552</v>
      </c>
      <c r="E159" s="1726" t="s">
        <v>552</v>
      </c>
      <c r="F159" s="1726" t="s">
        <v>552</v>
      </c>
      <c r="G159" s="1726" t="s">
        <v>552</v>
      </c>
      <c r="H159" s="1726" t="s">
        <v>552</v>
      </c>
      <c r="I159" s="1726"/>
      <c r="J159" s="1726"/>
      <c r="K159" s="1726" t="s">
        <v>552</v>
      </c>
      <c r="L159" s="1726" t="s">
        <v>552</v>
      </c>
      <c r="M159" s="1726" t="s">
        <v>552</v>
      </c>
      <c r="N159" s="1726" t="s">
        <v>552</v>
      </c>
      <c r="O159" s="1726" t="s">
        <v>552</v>
      </c>
      <c r="P159" s="1726"/>
      <c r="Q159" s="1726"/>
      <c r="R159" s="1726" t="s">
        <v>552</v>
      </c>
      <c r="S159" s="1726" t="s">
        <v>552</v>
      </c>
      <c r="T159" s="1726" t="s">
        <v>552</v>
      </c>
      <c r="U159" s="1726" t="s">
        <v>552</v>
      </c>
      <c r="V159" s="1726" t="s">
        <v>552</v>
      </c>
      <c r="W159" s="1726"/>
      <c r="X159" s="1726"/>
      <c r="Y159" s="1726" t="s">
        <v>552</v>
      </c>
      <c r="Z159" s="1726" t="s">
        <v>552</v>
      </c>
      <c r="AA159" s="1726" t="s">
        <v>552</v>
      </c>
      <c r="AB159" s="1726" t="s">
        <v>552</v>
      </c>
      <c r="AC159" s="1734" t="s">
        <v>552</v>
      </c>
      <c r="AD159" s="1726"/>
      <c r="AE159" s="1726"/>
      <c r="AF159" s="1726" t="s">
        <v>552</v>
      </c>
      <c r="AG159" s="1726" t="s">
        <v>552</v>
      </c>
      <c r="AH159" s="648">
        <v>58</v>
      </c>
      <c r="AI159" s="649">
        <v>37</v>
      </c>
    </row>
    <row r="160" spans="1:35" ht="21.95" customHeight="1" x14ac:dyDescent="0.2">
      <c r="A160" s="441">
        <v>3701</v>
      </c>
      <c r="B160" s="673" t="s">
        <v>431</v>
      </c>
      <c r="C160" s="1726"/>
      <c r="D160" s="1734" t="s">
        <v>552</v>
      </c>
      <c r="E160" s="1726" t="s">
        <v>552</v>
      </c>
      <c r="F160" s="1726" t="s">
        <v>552</v>
      </c>
      <c r="G160" s="1726" t="s">
        <v>552</v>
      </c>
      <c r="H160" s="1726" t="s">
        <v>552</v>
      </c>
      <c r="I160" s="1726"/>
      <c r="J160" s="1726"/>
      <c r="K160" s="1726" t="s">
        <v>552</v>
      </c>
      <c r="L160" s="1726" t="s">
        <v>552</v>
      </c>
      <c r="M160" s="1726" t="s">
        <v>552</v>
      </c>
      <c r="N160" s="1726" t="s">
        <v>552</v>
      </c>
      <c r="O160" s="1726" t="s">
        <v>552</v>
      </c>
      <c r="P160" s="1726"/>
      <c r="Q160" s="1726"/>
      <c r="R160" s="1726" t="s">
        <v>552</v>
      </c>
      <c r="S160" s="1726" t="s">
        <v>552</v>
      </c>
      <c r="T160" s="1730" t="s">
        <v>552</v>
      </c>
      <c r="U160" s="1726" t="s">
        <v>552</v>
      </c>
      <c r="V160" s="1726" t="s">
        <v>552</v>
      </c>
      <c r="W160" s="1726"/>
      <c r="X160" s="1726"/>
      <c r="Y160" s="1726" t="s">
        <v>552</v>
      </c>
      <c r="Z160" s="1726" t="s">
        <v>552</v>
      </c>
      <c r="AA160" s="1726" t="s">
        <v>552</v>
      </c>
      <c r="AB160" s="1726" t="s">
        <v>552</v>
      </c>
      <c r="AC160" s="1726" t="s">
        <v>552</v>
      </c>
      <c r="AD160" s="1726"/>
      <c r="AE160" s="1726"/>
      <c r="AF160" s="1726" t="s">
        <v>552</v>
      </c>
      <c r="AG160" s="1726" t="s">
        <v>552</v>
      </c>
      <c r="AH160" s="648">
        <v>74</v>
      </c>
      <c r="AI160" s="649">
        <v>37</v>
      </c>
    </row>
    <row r="161" spans="1:35" ht="21.95" customHeight="1" x14ac:dyDescent="0.2">
      <c r="A161" s="441">
        <v>3701</v>
      </c>
      <c r="B161" s="673" t="s">
        <v>434</v>
      </c>
      <c r="C161" s="1726"/>
      <c r="D161" s="1726" t="s">
        <v>552</v>
      </c>
      <c r="E161" s="1726" t="s">
        <v>552</v>
      </c>
      <c r="F161" s="1726" t="s">
        <v>552</v>
      </c>
      <c r="G161" s="1726" t="s">
        <v>552</v>
      </c>
      <c r="H161" s="1726" t="s">
        <v>552</v>
      </c>
      <c r="I161" s="1726"/>
      <c r="J161" s="1726"/>
      <c r="K161" s="1726" t="s">
        <v>552</v>
      </c>
      <c r="L161" s="1726" t="s">
        <v>552</v>
      </c>
      <c r="M161" s="1726" t="s">
        <v>552</v>
      </c>
      <c r="N161" s="1726" t="s">
        <v>552</v>
      </c>
      <c r="O161" s="1726" t="s">
        <v>552</v>
      </c>
      <c r="P161" s="1726"/>
      <c r="Q161" s="1726"/>
      <c r="R161" s="1726" t="s">
        <v>552</v>
      </c>
      <c r="S161" s="1726" t="s">
        <v>552</v>
      </c>
      <c r="T161" s="1726" t="s">
        <v>552</v>
      </c>
      <c r="U161" s="1726" t="s">
        <v>552</v>
      </c>
      <c r="V161" s="1726" t="s">
        <v>552</v>
      </c>
      <c r="W161" s="1726"/>
      <c r="X161" s="1726"/>
      <c r="Y161" s="1726" t="s">
        <v>552</v>
      </c>
      <c r="Z161" s="1726" t="s">
        <v>552</v>
      </c>
      <c r="AA161" s="1726" t="s">
        <v>552</v>
      </c>
      <c r="AB161" s="1726" t="s">
        <v>552</v>
      </c>
      <c r="AC161" s="1726" t="s">
        <v>552</v>
      </c>
      <c r="AD161" s="1726"/>
      <c r="AE161" s="1726"/>
      <c r="AF161" s="1726" t="s">
        <v>552</v>
      </c>
      <c r="AG161" s="1726" t="s">
        <v>552</v>
      </c>
      <c r="AH161" s="648">
        <v>74</v>
      </c>
      <c r="AI161" s="649">
        <v>37</v>
      </c>
    </row>
    <row r="162" spans="1:35" ht="21.95" customHeight="1" x14ac:dyDescent="0.2">
      <c r="A162" s="441">
        <v>3701</v>
      </c>
      <c r="B162" s="673" t="s">
        <v>436</v>
      </c>
      <c r="C162" s="1726"/>
      <c r="D162" s="1726" t="s">
        <v>552</v>
      </c>
      <c r="E162" s="1726" t="s">
        <v>552</v>
      </c>
      <c r="F162" s="1726" t="s">
        <v>552</v>
      </c>
      <c r="G162" s="1726" t="s">
        <v>552</v>
      </c>
      <c r="H162" s="1726" t="s">
        <v>552</v>
      </c>
      <c r="I162" s="1726"/>
      <c r="J162" s="1726"/>
      <c r="K162" s="503" t="s">
        <v>552</v>
      </c>
      <c r="L162" s="1440" t="s">
        <v>552</v>
      </c>
      <c r="M162" s="1440" t="s">
        <v>552</v>
      </c>
      <c r="N162" s="1440" t="s">
        <v>552</v>
      </c>
      <c r="O162" s="1440" t="s">
        <v>552</v>
      </c>
      <c r="P162" s="1726"/>
      <c r="Q162" s="1726"/>
      <c r="R162" s="503">
        <v>19</v>
      </c>
      <c r="S162" s="1440">
        <v>19</v>
      </c>
      <c r="T162" s="1440">
        <v>19</v>
      </c>
      <c r="U162" s="1440">
        <v>19</v>
      </c>
      <c r="V162" s="1440">
        <v>17</v>
      </c>
      <c r="W162" s="1726"/>
      <c r="X162" s="1726"/>
      <c r="Y162" s="1726" t="s">
        <v>552</v>
      </c>
      <c r="Z162" s="1726" t="s">
        <v>552</v>
      </c>
      <c r="AA162" s="1726" t="s">
        <v>552</v>
      </c>
      <c r="AB162" s="1726" t="s">
        <v>552</v>
      </c>
      <c r="AC162" s="1726" t="s">
        <v>552</v>
      </c>
      <c r="AD162" s="1726"/>
      <c r="AE162" s="1726"/>
      <c r="AF162" s="1726" t="s">
        <v>552</v>
      </c>
      <c r="AG162" s="1726" t="s">
        <v>552</v>
      </c>
      <c r="AH162" s="648">
        <v>74</v>
      </c>
      <c r="AI162" s="649">
        <v>8</v>
      </c>
    </row>
    <row r="163" spans="1:35" ht="21.95" customHeight="1" x14ac:dyDescent="0.2">
      <c r="A163" s="441">
        <v>3701</v>
      </c>
      <c r="B163" s="673" t="s">
        <v>437</v>
      </c>
      <c r="C163" s="1726"/>
      <c r="D163" s="1726" t="s">
        <v>552</v>
      </c>
      <c r="E163" s="1726" t="s">
        <v>552</v>
      </c>
      <c r="F163" s="1726" t="s">
        <v>552</v>
      </c>
      <c r="G163" s="1726" t="s">
        <v>552</v>
      </c>
      <c r="H163" s="1726" t="s">
        <v>552</v>
      </c>
      <c r="I163" s="1726"/>
      <c r="J163" s="1726"/>
      <c r="K163" s="1726" t="s">
        <v>552</v>
      </c>
      <c r="L163" s="1726" t="s">
        <v>552</v>
      </c>
      <c r="M163" s="1726" t="s">
        <v>552</v>
      </c>
      <c r="N163" s="1726" t="s">
        <v>552</v>
      </c>
      <c r="O163" s="1726" t="s">
        <v>552</v>
      </c>
      <c r="P163" s="1726"/>
      <c r="Q163" s="1726"/>
      <c r="R163" s="1726" t="s">
        <v>552</v>
      </c>
      <c r="S163" s="1726" t="s">
        <v>552</v>
      </c>
      <c r="T163" s="1726" t="s">
        <v>552</v>
      </c>
      <c r="U163" s="1726" t="s">
        <v>552</v>
      </c>
      <c r="V163" s="1726" t="s">
        <v>552</v>
      </c>
      <c r="W163" s="1726"/>
      <c r="X163" s="1726"/>
      <c r="Y163" s="503" t="s">
        <v>552</v>
      </c>
      <c r="Z163" s="1440" t="s">
        <v>552</v>
      </c>
      <c r="AA163" s="1440" t="s">
        <v>552</v>
      </c>
      <c r="AB163" s="1440" t="s">
        <v>552</v>
      </c>
      <c r="AC163" s="1440" t="s">
        <v>552</v>
      </c>
      <c r="AD163" s="1726"/>
      <c r="AE163" s="1726"/>
      <c r="AF163" s="1726">
        <v>19</v>
      </c>
      <c r="AG163" s="1726">
        <v>19</v>
      </c>
      <c r="AH163" s="648">
        <v>40</v>
      </c>
      <c r="AI163" s="649">
        <v>37</v>
      </c>
    </row>
    <row r="164" spans="1:35" ht="21.95" customHeight="1" x14ac:dyDescent="0.2">
      <c r="A164" s="441">
        <v>3701</v>
      </c>
      <c r="B164" s="673" t="s">
        <v>618</v>
      </c>
      <c r="C164" s="1726"/>
      <c r="D164" s="503">
        <v>19</v>
      </c>
      <c r="E164" s="1440">
        <v>19</v>
      </c>
      <c r="F164" s="1440">
        <v>19</v>
      </c>
      <c r="G164" s="1440">
        <v>19</v>
      </c>
      <c r="H164" s="1440">
        <v>17</v>
      </c>
      <c r="I164" s="1726"/>
      <c r="J164" s="1726"/>
      <c r="K164" s="1726" t="s">
        <v>552</v>
      </c>
      <c r="L164" s="1726" t="s">
        <v>552</v>
      </c>
      <c r="M164" s="1726" t="s">
        <v>552</v>
      </c>
      <c r="N164" s="1726" t="s">
        <v>552</v>
      </c>
      <c r="O164" s="1726" t="s">
        <v>552</v>
      </c>
      <c r="P164" s="1726"/>
      <c r="Q164" s="1726"/>
      <c r="R164" s="1726" t="s">
        <v>552</v>
      </c>
      <c r="S164" s="1726" t="s">
        <v>552</v>
      </c>
      <c r="T164" s="1726" t="s">
        <v>552</v>
      </c>
      <c r="U164" s="1726" t="s">
        <v>552</v>
      </c>
      <c r="V164" s="1726" t="s">
        <v>552</v>
      </c>
      <c r="W164" s="1726"/>
      <c r="X164" s="1726"/>
      <c r="Y164" s="1736" t="s">
        <v>552</v>
      </c>
      <c r="Z164" s="1736" t="s">
        <v>552</v>
      </c>
      <c r="AA164" s="1736" t="s">
        <v>552</v>
      </c>
      <c r="AB164" s="1736" t="s">
        <v>552</v>
      </c>
      <c r="AC164" s="1736" t="s">
        <v>552</v>
      </c>
      <c r="AD164" s="1726"/>
      <c r="AE164" s="1726"/>
      <c r="AF164" s="1726" t="s">
        <v>552</v>
      </c>
      <c r="AG164" s="1726" t="s">
        <v>552</v>
      </c>
      <c r="AH164" s="648">
        <v>0</v>
      </c>
      <c r="AI164" s="649">
        <v>14</v>
      </c>
    </row>
    <row r="165" spans="1:35" ht="21.95" customHeight="1" x14ac:dyDescent="0.2">
      <c r="A165" s="441">
        <v>3701</v>
      </c>
      <c r="B165" s="552" t="s">
        <v>619</v>
      </c>
      <c r="C165" s="1726"/>
      <c r="D165" s="1726" t="s">
        <v>552</v>
      </c>
      <c r="E165" s="1726" t="s">
        <v>552</v>
      </c>
      <c r="F165" s="1726" t="s">
        <v>552</v>
      </c>
      <c r="G165" s="1726" t="s">
        <v>552</v>
      </c>
      <c r="H165" s="1726" t="s">
        <v>552</v>
      </c>
      <c r="I165" s="1726"/>
      <c r="J165" s="1726"/>
      <c r="K165" s="1726" t="s">
        <v>552</v>
      </c>
      <c r="L165" s="1726" t="s">
        <v>552</v>
      </c>
      <c r="M165" s="1726" t="s">
        <v>552</v>
      </c>
      <c r="N165" s="1726" t="s">
        <v>552</v>
      </c>
      <c r="O165" s="1726" t="s">
        <v>552</v>
      </c>
      <c r="P165" s="1726"/>
      <c r="Q165" s="1726"/>
      <c r="R165" s="503" t="s">
        <v>552</v>
      </c>
      <c r="S165" s="1440" t="s">
        <v>552</v>
      </c>
      <c r="T165" s="1440" t="s">
        <v>552</v>
      </c>
      <c r="U165" s="1440" t="s">
        <v>552</v>
      </c>
      <c r="V165" s="1440" t="s">
        <v>552</v>
      </c>
      <c r="W165" s="1726"/>
      <c r="X165" s="1726"/>
      <c r="Y165" s="503">
        <v>19</v>
      </c>
      <c r="Z165" s="1440">
        <v>19</v>
      </c>
      <c r="AA165" s="1440">
        <v>19</v>
      </c>
      <c r="AB165" s="1440">
        <v>19</v>
      </c>
      <c r="AC165" s="1440">
        <v>17</v>
      </c>
      <c r="AD165" s="1726"/>
      <c r="AE165" s="1726"/>
      <c r="AF165" s="1726" t="s">
        <v>552</v>
      </c>
      <c r="AG165" s="1726" t="s">
        <v>552</v>
      </c>
      <c r="AH165" s="648">
        <v>8</v>
      </c>
      <c r="AI165" s="649">
        <v>37</v>
      </c>
    </row>
    <row r="166" spans="1:35" ht="21.95" customHeight="1" x14ac:dyDescent="0.2">
      <c r="A166" s="441">
        <v>3701</v>
      </c>
      <c r="B166" s="1434" t="s">
        <v>620</v>
      </c>
      <c r="C166" s="1726"/>
      <c r="D166" s="503" t="s">
        <v>552</v>
      </c>
      <c r="E166" s="1440" t="s">
        <v>552</v>
      </c>
      <c r="F166" s="1440" t="s">
        <v>552</v>
      </c>
      <c r="G166" s="1440" t="s">
        <v>552</v>
      </c>
      <c r="H166" s="1440" t="s">
        <v>552</v>
      </c>
      <c r="I166" s="1726"/>
      <c r="J166" s="1726"/>
      <c r="K166" s="503">
        <v>19</v>
      </c>
      <c r="L166" s="1440">
        <v>19</v>
      </c>
      <c r="M166" s="1440">
        <v>19</v>
      </c>
      <c r="N166" s="1440">
        <v>19</v>
      </c>
      <c r="O166" s="1440">
        <v>17</v>
      </c>
      <c r="P166" s="1726"/>
      <c r="Q166" s="1726"/>
      <c r="R166" s="1726" t="s">
        <v>552</v>
      </c>
      <c r="S166" s="1734" t="s">
        <v>552</v>
      </c>
      <c r="T166" s="1726" t="s">
        <v>552</v>
      </c>
      <c r="U166" s="1726" t="s">
        <v>552</v>
      </c>
      <c r="V166" s="1726" t="s">
        <v>552</v>
      </c>
      <c r="W166" s="1726"/>
      <c r="X166" s="1726"/>
      <c r="Y166" s="503" t="s">
        <v>552</v>
      </c>
      <c r="Z166" s="1440" t="s">
        <v>552</v>
      </c>
      <c r="AA166" s="1440" t="s">
        <v>552</v>
      </c>
      <c r="AB166" s="1440" t="s">
        <v>552</v>
      </c>
      <c r="AC166" s="1440" t="s">
        <v>552</v>
      </c>
      <c r="AD166" s="1726"/>
      <c r="AE166" s="1726"/>
      <c r="AF166" s="1726" t="s">
        <v>552</v>
      </c>
      <c r="AG166" s="1726" t="s">
        <v>552</v>
      </c>
      <c r="AH166" s="648">
        <v>74</v>
      </c>
      <c r="AI166" s="649">
        <v>6</v>
      </c>
    </row>
    <row r="167" spans="1:35" ht="21.95" customHeight="1" x14ac:dyDescent="0.2">
      <c r="A167" s="1433">
        <v>3701</v>
      </c>
      <c r="B167" s="552" t="s">
        <v>621</v>
      </c>
      <c r="C167" s="1726"/>
      <c r="D167" s="1726" t="s">
        <v>552</v>
      </c>
      <c r="E167" s="1726" t="s">
        <v>552</v>
      </c>
      <c r="F167" s="1726" t="s">
        <v>552</v>
      </c>
      <c r="G167" s="1726" t="s">
        <v>552</v>
      </c>
      <c r="H167" s="1726" t="s">
        <v>552</v>
      </c>
      <c r="I167" s="1726"/>
      <c r="J167" s="1726"/>
      <c r="K167" s="1726" t="s">
        <v>552</v>
      </c>
      <c r="L167" s="1726" t="s">
        <v>552</v>
      </c>
      <c r="M167" s="1726" t="s">
        <v>552</v>
      </c>
      <c r="N167" s="1726" t="s">
        <v>552</v>
      </c>
      <c r="O167" s="1726" t="s">
        <v>552</v>
      </c>
      <c r="P167" s="1726"/>
      <c r="Q167" s="1726"/>
      <c r="R167" s="1726" t="s">
        <v>552</v>
      </c>
      <c r="S167" s="1726" t="s">
        <v>552</v>
      </c>
      <c r="T167" s="1726" t="s">
        <v>552</v>
      </c>
      <c r="U167" s="1726" t="s">
        <v>552</v>
      </c>
      <c r="V167" s="1726" t="s">
        <v>552</v>
      </c>
      <c r="W167" s="1726"/>
      <c r="X167" s="1726"/>
      <c r="Y167" s="1726" t="s">
        <v>552</v>
      </c>
      <c r="Z167" s="1726" t="s">
        <v>552</v>
      </c>
      <c r="AA167" s="1726" t="s">
        <v>552</v>
      </c>
      <c r="AB167" s="1726" t="s">
        <v>552</v>
      </c>
      <c r="AC167" s="1726" t="s">
        <v>552</v>
      </c>
      <c r="AD167" s="1726"/>
      <c r="AE167" s="1726"/>
      <c r="AF167" s="1726" t="s">
        <v>552</v>
      </c>
      <c r="AG167" s="1726" t="s">
        <v>552</v>
      </c>
      <c r="AH167" s="648">
        <v>27</v>
      </c>
      <c r="AI167" s="649">
        <v>29</v>
      </c>
    </row>
    <row r="168" spans="1:35" ht="21.95" customHeight="1" x14ac:dyDescent="0.2">
      <c r="A168" s="441">
        <v>3701</v>
      </c>
      <c r="B168" s="673" t="s">
        <v>622</v>
      </c>
      <c r="C168" s="1726"/>
      <c r="D168" s="1727" t="s">
        <v>552</v>
      </c>
      <c r="E168" s="1726" t="s">
        <v>552</v>
      </c>
      <c r="F168" s="1726" t="s">
        <v>552</v>
      </c>
      <c r="G168" s="1726" t="s">
        <v>552</v>
      </c>
      <c r="H168" s="1726" t="s">
        <v>552</v>
      </c>
      <c r="I168" s="1726"/>
      <c r="J168" s="1726"/>
      <c r="K168" s="1726" t="s">
        <v>552</v>
      </c>
      <c r="L168" s="1726" t="s">
        <v>552</v>
      </c>
      <c r="M168" s="1726" t="s">
        <v>552</v>
      </c>
      <c r="N168" s="1726" t="s">
        <v>552</v>
      </c>
      <c r="O168" s="1726" t="s">
        <v>552</v>
      </c>
      <c r="P168" s="1726"/>
      <c r="Q168" s="1726"/>
      <c r="R168" s="1726" t="s">
        <v>552</v>
      </c>
      <c r="S168" s="1726" t="s">
        <v>552</v>
      </c>
      <c r="T168" s="1726" t="s">
        <v>552</v>
      </c>
      <c r="U168" s="1726" t="s">
        <v>552</v>
      </c>
      <c r="V168" s="1726" t="s">
        <v>552</v>
      </c>
      <c r="W168" s="1726"/>
      <c r="X168" s="1726"/>
      <c r="Y168" s="1726" t="s">
        <v>552</v>
      </c>
      <c r="Z168" s="1726" t="s">
        <v>552</v>
      </c>
      <c r="AA168" s="1726" t="s">
        <v>552</v>
      </c>
      <c r="AB168" s="1726" t="s">
        <v>552</v>
      </c>
      <c r="AC168" s="1726" t="s">
        <v>552</v>
      </c>
      <c r="AD168" s="1726"/>
      <c r="AE168" s="1726"/>
      <c r="AF168" s="1726" t="s">
        <v>552</v>
      </c>
      <c r="AG168" s="1726" t="s">
        <v>552</v>
      </c>
      <c r="AH168" s="648">
        <v>75</v>
      </c>
      <c r="AI168" s="649">
        <v>29</v>
      </c>
    </row>
    <row r="169" spans="1:35" ht="21.95" customHeight="1" x14ac:dyDescent="0.2">
      <c r="A169" s="441">
        <v>3701</v>
      </c>
      <c r="B169" s="673" t="s">
        <v>623</v>
      </c>
      <c r="C169" s="1726"/>
      <c r="D169" s="1726" t="s">
        <v>552</v>
      </c>
      <c r="E169" s="1726" t="s">
        <v>552</v>
      </c>
      <c r="F169" s="1726" t="s">
        <v>552</v>
      </c>
      <c r="G169" s="1726" t="s">
        <v>552</v>
      </c>
      <c r="H169" s="1726" t="s">
        <v>552</v>
      </c>
      <c r="I169" s="1726"/>
      <c r="J169" s="1726"/>
      <c r="K169" s="1726" t="s">
        <v>552</v>
      </c>
      <c r="L169" s="1726" t="s">
        <v>552</v>
      </c>
      <c r="M169" s="1726" t="s">
        <v>552</v>
      </c>
      <c r="N169" s="1726" t="s">
        <v>552</v>
      </c>
      <c r="O169" s="1726" t="s">
        <v>552</v>
      </c>
      <c r="P169" s="1726"/>
      <c r="Q169" s="1726"/>
      <c r="R169" s="1726" t="s">
        <v>552</v>
      </c>
      <c r="S169" s="1726" t="s">
        <v>552</v>
      </c>
      <c r="T169" s="1726" t="s">
        <v>552</v>
      </c>
      <c r="U169" s="1726" t="s">
        <v>552</v>
      </c>
      <c r="V169" s="1726" t="s">
        <v>552</v>
      </c>
      <c r="W169" s="1726"/>
      <c r="X169" s="1726"/>
      <c r="Y169" s="1726" t="s">
        <v>552</v>
      </c>
      <c r="Z169" s="1726" t="s">
        <v>552</v>
      </c>
      <c r="AA169" s="1726" t="s">
        <v>552</v>
      </c>
      <c r="AB169" s="1726" t="s">
        <v>552</v>
      </c>
      <c r="AC169" s="1726" t="s">
        <v>552</v>
      </c>
      <c r="AD169" s="1726"/>
      <c r="AE169" s="1726"/>
      <c r="AF169" s="1726" t="s">
        <v>552</v>
      </c>
      <c r="AG169" s="1726" t="s">
        <v>552</v>
      </c>
      <c r="AH169" s="648">
        <v>29</v>
      </c>
      <c r="AI169" s="649">
        <v>31</v>
      </c>
    </row>
    <row r="170" spans="1:35" ht="21.95" customHeight="1" x14ac:dyDescent="0.2">
      <c r="A170" s="441">
        <v>3701</v>
      </c>
      <c r="B170" s="1111" t="s">
        <v>720</v>
      </c>
      <c r="C170" s="1726"/>
      <c r="D170" s="1613" t="s">
        <v>552</v>
      </c>
      <c r="E170" s="1613" t="s">
        <v>552</v>
      </c>
      <c r="F170" s="1613" t="s">
        <v>552</v>
      </c>
      <c r="G170" s="1613" t="s">
        <v>552</v>
      </c>
      <c r="H170" s="1613" t="s">
        <v>552</v>
      </c>
      <c r="I170" s="1727"/>
      <c r="J170" s="1727"/>
      <c r="K170" s="1573" t="s">
        <v>552</v>
      </c>
      <c r="L170" s="1573" t="s">
        <v>552</v>
      </c>
      <c r="M170" s="1573" t="s">
        <v>617</v>
      </c>
      <c r="N170" s="1485" t="s">
        <v>552</v>
      </c>
      <c r="O170" s="1485" t="s">
        <v>552</v>
      </c>
      <c r="P170" s="1726"/>
      <c r="Q170" s="1726"/>
      <c r="R170" s="1485" t="s">
        <v>552</v>
      </c>
      <c r="S170" s="1485" t="s">
        <v>552</v>
      </c>
      <c r="T170" s="1485" t="s">
        <v>552</v>
      </c>
      <c r="U170" s="1485" t="s">
        <v>552</v>
      </c>
      <c r="V170" s="1485" t="s">
        <v>552</v>
      </c>
      <c r="W170" s="1726"/>
      <c r="X170" s="1726"/>
      <c r="Y170" s="1485" t="s">
        <v>552</v>
      </c>
      <c r="Z170" s="1485" t="s">
        <v>552</v>
      </c>
      <c r="AA170" s="1485" t="s">
        <v>552</v>
      </c>
      <c r="AB170" s="1485" t="s">
        <v>552</v>
      </c>
      <c r="AC170" s="1485" t="s">
        <v>552</v>
      </c>
      <c r="AD170" s="1726"/>
      <c r="AE170" s="1726"/>
      <c r="AF170" s="1726"/>
      <c r="AG170" s="1726"/>
      <c r="AH170" s="505"/>
      <c r="AI170" s="506"/>
    </row>
    <row r="171" spans="1:35" ht="21.95" customHeight="1" x14ac:dyDescent="0.2">
      <c r="A171" s="621"/>
      <c r="B171" s="677"/>
      <c r="C171" s="525"/>
      <c r="D171" s="525"/>
      <c r="E171" s="525"/>
      <c r="F171" s="525"/>
      <c r="G171" s="525"/>
      <c r="H171" s="525"/>
      <c r="I171" s="525"/>
      <c r="J171" s="525"/>
      <c r="K171" s="525"/>
      <c r="L171" s="525"/>
      <c r="M171" s="525"/>
      <c r="N171" s="525"/>
      <c r="O171" s="525"/>
      <c r="P171" s="525"/>
      <c r="Q171" s="525"/>
      <c r="R171" s="525"/>
      <c r="S171" s="525"/>
      <c r="T171" s="525"/>
      <c r="U171" s="525"/>
      <c r="V171" s="525"/>
      <c r="W171" s="525"/>
      <c r="X171" s="525"/>
      <c r="Y171" s="525"/>
      <c r="Z171" s="525"/>
      <c r="AA171" s="525"/>
      <c r="AB171" s="525"/>
      <c r="AC171" s="525"/>
      <c r="AD171" s="525"/>
      <c r="AE171" s="525"/>
      <c r="AF171" s="525"/>
      <c r="AG171" s="525"/>
      <c r="AH171" s="591"/>
      <c r="AI171" s="591"/>
    </row>
    <row r="172" spans="1:35" ht="21" customHeight="1" x14ac:dyDescent="0.2">
      <c r="A172" s="1" t="s">
        <v>624</v>
      </c>
    </row>
    <row r="173" spans="1:35" ht="21" customHeight="1" x14ac:dyDescent="0.2">
      <c r="B173" s="200" t="s">
        <v>604</v>
      </c>
      <c r="C173" s="7"/>
      <c r="D173" s="530" t="s">
        <v>2</v>
      </c>
      <c r="E173" s="51"/>
      <c r="F173" s="573"/>
      <c r="G173" s="7"/>
      <c r="H173" s="530" t="s">
        <v>3</v>
      </c>
      <c r="I173" s="51"/>
      <c r="J173" s="573"/>
      <c r="K173" s="7"/>
      <c r="L173" s="530" t="s">
        <v>4</v>
      </c>
      <c r="M173" s="51"/>
      <c r="N173" s="573"/>
      <c r="O173" s="7"/>
      <c r="P173" s="530" t="s">
        <v>5</v>
      </c>
      <c r="Q173" s="51"/>
      <c r="R173" s="573"/>
      <c r="S173" s="7"/>
      <c r="T173" s="530" t="s">
        <v>6</v>
      </c>
      <c r="U173" s="51"/>
      <c r="V173" s="573"/>
      <c r="W173" s="7"/>
      <c r="X173" s="530" t="s">
        <v>7</v>
      </c>
      <c r="Y173" s="51"/>
      <c r="Z173" s="573"/>
      <c r="AA173" s="7"/>
      <c r="AB173" s="530" t="s">
        <v>8</v>
      </c>
      <c r="AC173" s="51"/>
      <c r="AD173" s="51"/>
      <c r="AE173" s="424" t="s">
        <v>10</v>
      </c>
      <c r="AF173" s="51"/>
      <c r="AG173" s="51"/>
      <c r="AH173" s="51"/>
      <c r="AI173" s="531"/>
    </row>
    <row r="174" spans="1:35" ht="21" customHeight="1" x14ac:dyDescent="0.2">
      <c r="B174" s="9">
        <v>8502</v>
      </c>
      <c r="C174" s="14" t="s">
        <v>11</v>
      </c>
      <c r="D174" s="659"/>
      <c r="E174" s="55"/>
      <c r="F174" s="580"/>
      <c r="G174" s="14" t="s">
        <v>11</v>
      </c>
      <c r="H174" s="659"/>
      <c r="I174" s="55"/>
      <c r="J174" s="580"/>
      <c r="K174" s="14" t="s">
        <v>11</v>
      </c>
      <c r="L174" s="659"/>
      <c r="M174" s="55"/>
      <c r="N174" s="580"/>
      <c r="O174" s="14" t="s">
        <v>11</v>
      </c>
      <c r="P174" s="659"/>
      <c r="Q174" s="55"/>
      <c r="R174" s="580"/>
      <c r="S174" s="14" t="s">
        <v>12</v>
      </c>
      <c r="T174" s="659"/>
      <c r="U174" s="55"/>
      <c r="V174" s="580"/>
      <c r="W174" s="14"/>
      <c r="X174" s="659"/>
      <c r="Y174" s="55"/>
      <c r="Z174" s="580"/>
      <c r="AA174" s="14"/>
      <c r="AB174" s="659"/>
      <c r="AC174" s="55"/>
      <c r="AD174" s="55"/>
      <c r="AE174" s="660"/>
      <c r="AF174" s="55"/>
      <c r="AG174" s="55"/>
      <c r="AH174" s="55"/>
      <c r="AI174" s="661"/>
    </row>
    <row r="175" spans="1:35" ht="21" customHeight="1" x14ac:dyDescent="0.2">
      <c r="B175" s="662">
        <v>3701</v>
      </c>
      <c r="C175" s="121" t="s">
        <v>11</v>
      </c>
      <c r="D175" s="130"/>
      <c r="E175" s="55"/>
      <c r="F175" s="580"/>
      <c r="G175" s="121" t="s">
        <v>11</v>
      </c>
      <c r="H175" s="659"/>
      <c r="I175" s="55"/>
      <c r="J175" s="580"/>
      <c r="K175" s="121" t="s">
        <v>11</v>
      </c>
      <c r="L175" s="659"/>
      <c r="M175" s="55"/>
      <c r="N175" s="580"/>
      <c r="O175" s="121" t="s">
        <v>11</v>
      </c>
      <c r="P175" s="659"/>
      <c r="Q175" s="55"/>
      <c r="R175" s="580"/>
      <c r="S175" s="14" t="s">
        <v>12</v>
      </c>
      <c r="T175" s="659"/>
      <c r="U175" s="55"/>
      <c r="V175" s="580"/>
      <c r="W175" s="14"/>
      <c r="X175" s="659"/>
      <c r="Y175" s="55"/>
      <c r="Z175" s="580"/>
      <c r="AA175" s="14"/>
      <c r="AB175" s="659"/>
      <c r="AC175" s="55"/>
      <c r="AD175" s="55"/>
      <c r="AE175" s="660"/>
      <c r="AF175" s="55"/>
      <c r="AG175" s="55"/>
      <c r="AH175" s="55"/>
      <c r="AI175" s="661"/>
    </row>
    <row r="176" spans="1:35" ht="21" customHeight="1" x14ac:dyDescent="0.2">
      <c r="B176" s="662">
        <v>3705</v>
      </c>
      <c r="C176" s="121" t="s">
        <v>147</v>
      </c>
      <c r="D176" s="130"/>
      <c r="E176" s="55"/>
      <c r="F176" s="580"/>
      <c r="G176" s="121" t="s">
        <v>147</v>
      </c>
      <c r="H176" s="659"/>
      <c r="I176" s="55"/>
      <c r="J176" s="580"/>
      <c r="K176" s="121" t="s">
        <v>147</v>
      </c>
      <c r="L176" s="659"/>
      <c r="M176" s="55"/>
      <c r="N176" s="580"/>
      <c r="O176" s="121" t="s">
        <v>147</v>
      </c>
      <c r="P176" s="659"/>
      <c r="Q176" s="55"/>
      <c r="R176" s="580"/>
      <c r="S176" s="121" t="s">
        <v>536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5" ht="21" customHeight="1" x14ac:dyDescent="0.2">
      <c r="B177" s="662" t="s">
        <v>625</v>
      </c>
      <c r="C177" s="611" t="s">
        <v>626</v>
      </c>
      <c r="D177" s="130"/>
      <c r="E177" s="55"/>
      <c r="F177" s="580"/>
      <c r="G177" s="611" t="s">
        <v>626</v>
      </c>
      <c r="H177" s="659"/>
      <c r="I177" s="55"/>
      <c r="J177" s="580"/>
      <c r="K177" s="611" t="s">
        <v>626</v>
      </c>
      <c r="L177" s="659"/>
      <c r="M177" s="55"/>
      <c r="N177" s="580"/>
      <c r="O177" s="611" t="s">
        <v>626</v>
      </c>
      <c r="P177" s="659"/>
      <c r="Q177" s="55"/>
      <c r="R177" s="580"/>
      <c r="S177" s="611" t="s">
        <v>626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5" ht="21" customHeight="1" x14ac:dyDescent="0.2">
      <c r="B178" s="662" t="s">
        <v>627</v>
      </c>
      <c r="C178" s="611" t="s">
        <v>628</v>
      </c>
      <c r="D178" s="130"/>
      <c r="E178" s="55"/>
      <c r="F178" s="580"/>
      <c r="G178" s="659" t="s">
        <v>629</v>
      </c>
      <c r="H178" s="659"/>
      <c r="I178" s="55"/>
      <c r="J178" s="580"/>
      <c r="K178" s="659" t="s">
        <v>630</v>
      </c>
      <c r="L178" s="659"/>
      <c r="M178" s="55"/>
      <c r="N178" s="580"/>
      <c r="O178" s="659" t="s">
        <v>630</v>
      </c>
      <c r="P178" s="659"/>
      <c r="Q178" s="55"/>
      <c r="R178" s="580"/>
      <c r="S178" s="659" t="s">
        <v>631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5" ht="21" customHeight="1" x14ac:dyDescent="0.2">
      <c r="B179" s="662" t="s">
        <v>324</v>
      </c>
      <c r="C179" s="611" t="s">
        <v>632</v>
      </c>
      <c r="D179" s="130"/>
      <c r="E179" s="55"/>
      <c r="F179" s="580"/>
      <c r="G179" s="611" t="s">
        <v>632</v>
      </c>
      <c r="H179" s="130"/>
      <c r="I179" s="55"/>
      <c r="J179" s="580"/>
      <c r="K179" s="611" t="s">
        <v>632</v>
      </c>
      <c r="L179" s="130"/>
      <c r="M179" s="55"/>
      <c r="N179" s="580"/>
      <c r="O179" s="611" t="s">
        <v>632</v>
      </c>
      <c r="P179" s="130"/>
      <c r="Q179" s="55"/>
      <c r="R179" s="580"/>
      <c r="S179" s="659" t="s">
        <v>633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5" ht="21" customHeight="1" x14ac:dyDescent="0.2">
      <c r="B180" s="662" t="s">
        <v>325</v>
      </c>
      <c r="C180" s="611" t="s">
        <v>634</v>
      </c>
      <c r="D180" s="130"/>
      <c r="E180" s="55"/>
      <c r="F180" s="580"/>
      <c r="G180" s="611" t="s">
        <v>634</v>
      </c>
      <c r="H180" s="130"/>
      <c r="I180" s="55"/>
      <c r="J180" s="580"/>
      <c r="K180" s="611" t="s">
        <v>634</v>
      </c>
      <c r="L180" s="130"/>
      <c r="M180" s="55"/>
      <c r="N180" s="580"/>
      <c r="O180" s="611" t="s">
        <v>634</v>
      </c>
      <c r="P180" s="130"/>
      <c r="Q180" s="55"/>
      <c r="R180" s="580"/>
      <c r="S180" s="659" t="s">
        <v>635</v>
      </c>
      <c r="T180" s="659"/>
      <c r="U180" s="55"/>
      <c r="V180" s="580"/>
      <c r="W180" s="14"/>
      <c r="X180" s="659"/>
      <c r="Y180" s="55"/>
      <c r="Z180" s="580"/>
      <c r="AA180" s="14"/>
      <c r="AB180" s="659"/>
      <c r="AC180" s="55"/>
      <c r="AD180" s="55"/>
      <c r="AE180" s="660"/>
      <c r="AF180" s="55"/>
      <c r="AG180" s="55"/>
      <c r="AH180" s="55"/>
      <c r="AI180" s="661"/>
    </row>
    <row r="181" spans="1:35" ht="21" customHeight="1" x14ac:dyDescent="0.2">
      <c r="B181" s="671" t="s">
        <v>326</v>
      </c>
      <c r="C181" s="618" t="s">
        <v>759</v>
      </c>
      <c r="D181" s="48"/>
      <c r="E181" s="678"/>
      <c r="F181" s="239"/>
      <c r="G181" s="618" t="s">
        <v>760</v>
      </c>
      <c r="H181" s="48"/>
      <c r="I181" s="678"/>
      <c r="J181" s="239"/>
      <c r="K181" s="618" t="s">
        <v>760</v>
      </c>
      <c r="L181" s="48"/>
      <c r="M181" s="678"/>
      <c r="N181" s="239"/>
      <c r="O181" s="618" t="s">
        <v>760</v>
      </c>
      <c r="P181" s="48"/>
      <c r="Q181" s="678"/>
      <c r="R181" s="239"/>
      <c r="S181" s="148" t="s">
        <v>723</v>
      </c>
      <c r="T181" s="148"/>
      <c r="U181" s="678"/>
      <c r="V181" s="239"/>
      <c r="W181" s="679"/>
      <c r="X181" s="148"/>
      <c r="Y181" s="678"/>
      <c r="Z181" s="239"/>
      <c r="AA181" s="679"/>
      <c r="AB181" s="148"/>
      <c r="AC181" s="678"/>
      <c r="AD181" s="678"/>
      <c r="AE181" s="680"/>
      <c r="AF181" s="678"/>
      <c r="AG181" s="678"/>
      <c r="AH181" s="678"/>
      <c r="AI181" s="681"/>
    </row>
    <row r="182" spans="1:35" ht="21" customHeight="1" x14ac:dyDescent="0.2">
      <c r="B182" s="273"/>
      <c r="C182" s="311"/>
      <c r="D182" s="72"/>
      <c r="G182" s="311"/>
      <c r="H182" s="72"/>
      <c r="K182" s="311"/>
      <c r="L182" s="72"/>
      <c r="O182" s="311"/>
      <c r="P182" s="72"/>
      <c r="S182" s="311"/>
      <c r="T182" s="311"/>
      <c r="X182" s="311"/>
      <c r="AB182" s="311"/>
      <c r="AE182" s="311"/>
    </row>
    <row r="183" spans="1:35" ht="21" customHeight="1" x14ac:dyDescent="0.2">
      <c r="A183" s="682" t="s">
        <v>638</v>
      </c>
    </row>
    <row r="184" spans="1:35" ht="21" customHeight="1" x14ac:dyDescent="0.2">
      <c r="A184" s="585"/>
      <c r="B184" s="296" t="s">
        <v>469</v>
      </c>
      <c r="C184" s="497">
        <v>1</v>
      </c>
      <c r="D184" s="177">
        <v>2</v>
      </c>
      <c r="E184" s="177">
        <v>3</v>
      </c>
      <c r="F184" s="177">
        <v>4</v>
      </c>
      <c r="G184" s="177">
        <v>5</v>
      </c>
      <c r="H184" s="177">
        <v>6</v>
      </c>
      <c r="I184" s="497">
        <v>7</v>
      </c>
      <c r="J184" s="497">
        <v>8</v>
      </c>
      <c r="K184" s="177">
        <v>9</v>
      </c>
      <c r="L184" s="177">
        <v>10</v>
      </c>
      <c r="M184" s="177">
        <v>11</v>
      </c>
      <c r="N184" s="177">
        <v>12</v>
      </c>
      <c r="O184" s="177">
        <v>13</v>
      </c>
      <c r="P184" s="497">
        <v>14</v>
      </c>
      <c r="Q184" s="497">
        <v>15</v>
      </c>
      <c r="R184" s="177">
        <v>16</v>
      </c>
      <c r="S184" s="177">
        <v>17</v>
      </c>
      <c r="T184" s="177">
        <v>18</v>
      </c>
      <c r="U184" s="177">
        <v>19</v>
      </c>
      <c r="V184" s="177">
        <v>20</v>
      </c>
      <c r="W184" s="497">
        <v>21</v>
      </c>
      <c r="X184" s="497">
        <v>22</v>
      </c>
      <c r="Y184" s="177">
        <v>23</v>
      </c>
      <c r="Z184" s="177">
        <v>24</v>
      </c>
      <c r="AA184" s="177">
        <v>25</v>
      </c>
      <c r="AB184" s="177">
        <v>26</v>
      </c>
      <c r="AC184" s="177">
        <v>27</v>
      </c>
      <c r="AD184" s="497">
        <v>28</v>
      </c>
      <c r="AE184" s="497">
        <v>29</v>
      </c>
      <c r="AF184" s="177">
        <v>30</v>
      </c>
      <c r="AG184" s="177">
        <v>31</v>
      </c>
      <c r="AH184" s="499" t="s">
        <v>470</v>
      </c>
      <c r="AI184" s="500" t="s">
        <v>471</v>
      </c>
    </row>
    <row r="185" spans="1:35" ht="21" customHeight="1" x14ac:dyDescent="0.2">
      <c r="A185" s="441">
        <v>3702</v>
      </c>
      <c r="B185" s="152" t="s">
        <v>639</v>
      </c>
      <c r="C185" s="503"/>
      <c r="D185" s="587">
        <v>2</v>
      </c>
      <c r="E185" s="587">
        <v>2</v>
      </c>
      <c r="F185" s="587">
        <v>2</v>
      </c>
      <c r="G185" s="587">
        <v>2</v>
      </c>
      <c r="H185" s="587">
        <v>2</v>
      </c>
      <c r="I185" s="587"/>
      <c r="J185" s="587"/>
      <c r="K185" s="587">
        <v>1</v>
      </c>
      <c r="L185" s="587">
        <v>1</v>
      </c>
      <c r="M185" s="587">
        <v>1</v>
      </c>
      <c r="N185" s="587">
        <v>1</v>
      </c>
      <c r="O185" s="587">
        <v>1</v>
      </c>
      <c r="P185" s="587"/>
      <c r="Q185" s="587"/>
      <c r="R185" s="587">
        <v>2</v>
      </c>
      <c r="S185" s="587">
        <v>2</v>
      </c>
      <c r="T185" s="587">
        <v>2</v>
      </c>
      <c r="U185" s="587">
        <v>2</v>
      </c>
      <c r="V185" s="587">
        <v>2</v>
      </c>
      <c r="W185" s="503"/>
      <c r="X185" s="503"/>
      <c r="Y185" s="587">
        <v>1</v>
      </c>
      <c r="Z185" s="587">
        <v>1</v>
      </c>
      <c r="AA185" s="587">
        <v>1</v>
      </c>
      <c r="AB185" s="587">
        <v>1</v>
      </c>
      <c r="AC185" s="587">
        <v>1</v>
      </c>
      <c r="AD185" s="587"/>
      <c r="AE185" s="587"/>
      <c r="AF185" s="587">
        <v>2</v>
      </c>
      <c r="AG185" s="587">
        <v>2</v>
      </c>
      <c r="AH185" s="505">
        <v>37</v>
      </c>
      <c r="AI185" s="506">
        <v>37</v>
      </c>
    </row>
    <row r="186" spans="1:35" ht="21" customHeight="1" x14ac:dyDescent="0.2">
      <c r="A186" s="441">
        <v>3701</v>
      </c>
      <c r="B186" s="152" t="s">
        <v>640</v>
      </c>
      <c r="C186" s="503"/>
      <c r="D186" s="587" t="s">
        <v>482</v>
      </c>
      <c r="E186" s="587" t="s">
        <v>482</v>
      </c>
      <c r="F186" s="587" t="s">
        <v>482</v>
      </c>
      <c r="G186" s="587" t="s">
        <v>482</v>
      </c>
      <c r="H186" s="587" t="s">
        <v>482</v>
      </c>
      <c r="I186" s="587"/>
      <c r="J186" s="587"/>
      <c r="K186" s="587" t="s">
        <v>482</v>
      </c>
      <c r="L186" s="587" t="s">
        <v>482</v>
      </c>
      <c r="M186" s="587" t="s">
        <v>482</v>
      </c>
      <c r="N186" s="587" t="s">
        <v>482</v>
      </c>
      <c r="O186" s="587" t="s">
        <v>482</v>
      </c>
      <c r="P186" s="587"/>
      <c r="Q186" s="587"/>
      <c r="R186" s="587" t="s">
        <v>482</v>
      </c>
      <c r="S186" s="587" t="s">
        <v>482</v>
      </c>
      <c r="T186" s="587" t="s">
        <v>482</v>
      </c>
      <c r="U186" s="587" t="s">
        <v>482</v>
      </c>
      <c r="V186" s="587" t="s">
        <v>482</v>
      </c>
      <c r="W186" s="503"/>
      <c r="X186" s="503"/>
      <c r="Y186" s="587" t="s">
        <v>482</v>
      </c>
      <c r="Z186" s="587" t="s">
        <v>482</v>
      </c>
      <c r="AA186" s="587" t="s">
        <v>482</v>
      </c>
      <c r="AB186" s="587" t="s">
        <v>482</v>
      </c>
      <c r="AC186" s="587" t="s">
        <v>482</v>
      </c>
      <c r="AD186" s="587"/>
      <c r="AE186" s="587"/>
      <c r="AF186" s="1548" t="s">
        <v>482</v>
      </c>
      <c r="AG186" s="1548" t="s">
        <v>482</v>
      </c>
      <c r="AH186" s="505">
        <v>74</v>
      </c>
      <c r="AI186" s="506">
        <v>37</v>
      </c>
    </row>
    <row r="187" spans="1:35" ht="21" customHeight="1" x14ac:dyDescent="0.2">
      <c r="A187" s="441">
        <v>3702</v>
      </c>
      <c r="B187" s="152" t="s">
        <v>641</v>
      </c>
      <c r="C187" s="503"/>
      <c r="D187" s="587">
        <v>1</v>
      </c>
      <c r="E187" s="587">
        <v>1</v>
      </c>
      <c r="F187" s="587">
        <v>1</v>
      </c>
      <c r="G187" s="587">
        <v>1</v>
      </c>
      <c r="H187" s="587">
        <v>1</v>
      </c>
      <c r="I187" s="587"/>
      <c r="J187" s="587"/>
      <c r="K187" s="587">
        <v>2</v>
      </c>
      <c r="L187" s="587">
        <v>2</v>
      </c>
      <c r="M187" s="587">
        <v>2</v>
      </c>
      <c r="N187" s="587">
        <v>2</v>
      </c>
      <c r="O187" s="587">
        <v>2</v>
      </c>
      <c r="P187" s="587"/>
      <c r="Q187" s="587"/>
      <c r="R187" s="587">
        <v>1</v>
      </c>
      <c r="S187" s="587">
        <v>1</v>
      </c>
      <c r="T187" s="587">
        <v>1</v>
      </c>
      <c r="U187" s="587">
        <v>1</v>
      </c>
      <c r="V187" s="587">
        <v>1</v>
      </c>
      <c r="W187" s="503"/>
      <c r="X187" s="503"/>
      <c r="Y187" s="587">
        <v>2</v>
      </c>
      <c r="Z187" s="587">
        <v>2</v>
      </c>
      <c r="AA187" s="587">
        <v>2</v>
      </c>
      <c r="AB187" s="587">
        <v>2</v>
      </c>
      <c r="AC187" s="587">
        <v>2</v>
      </c>
      <c r="AD187" s="587"/>
      <c r="AE187" s="587"/>
      <c r="AF187" s="587">
        <v>1</v>
      </c>
      <c r="AG187" s="587">
        <v>1</v>
      </c>
      <c r="AH187" s="505">
        <v>76</v>
      </c>
      <c r="AI187" s="506">
        <v>37</v>
      </c>
    </row>
    <row r="188" spans="1:35" ht="21" customHeight="1" x14ac:dyDescent="0.2">
      <c r="A188" s="683">
        <v>3706</v>
      </c>
      <c r="B188" s="552"/>
      <c r="C188" s="503"/>
      <c r="D188" s="503"/>
      <c r="E188" s="503"/>
      <c r="F188" s="503"/>
      <c r="G188" s="503"/>
      <c r="H188" s="503"/>
      <c r="I188" s="503"/>
      <c r="J188" s="503"/>
      <c r="K188" s="503"/>
      <c r="L188" s="503"/>
      <c r="M188" s="503"/>
      <c r="N188" s="503"/>
      <c r="O188" s="503"/>
      <c r="P188" s="503"/>
      <c r="Q188" s="503"/>
      <c r="R188" s="503"/>
      <c r="S188" s="503"/>
      <c r="T188" s="503"/>
      <c r="U188" s="503"/>
      <c r="V188" s="503"/>
      <c r="W188" s="503"/>
      <c r="X188" s="503"/>
      <c r="Y188" s="503"/>
      <c r="Z188" s="503"/>
      <c r="AA188" s="503"/>
      <c r="AB188" s="503"/>
      <c r="AC188" s="503"/>
      <c r="AD188" s="503"/>
      <c r="AE188" s="503"/>
      <c r="AF188" s="503"/>
      <c r="AG188" s="503"/>
      <c r="AH188" s="505"/>
      <c r="AI188" s="506"/>
    </row>
    <row r="189" spans="1:35" ht="21" customHeight="1" x14ac:dyDescent="0.2">
      <c r="A189" s="684"/>
      <c r="B189" s="685" t="s">
        <v>642</v>
      </c>
      <c r="C189" s="686"/>
      <c r="D189" s="686"/>
      <c r="E189" s="686"/>
      <c r="F189" s="686"/>
      <c r="G189" s="686"/>
      <c r="H189" s="686"/>
      <c r="I189" s="686"/>
      <c r="J189" s="686"/>
      <c r="K189" s="686"/>
      <c r="L189" s="686"/>
      <c r="M189" s="686"/>
      <c r="N189" s="686"/>
      <c r="O189" s="686"/>
      <c r="P189" s="686"/>
      <c r="Q189" s="686"/>
      <c r="R189" s="686"/>
      <c r="S189" s="686"/>
      <c r="T189" s="686"/>
      <c r="U189" s="686"/>
      <c r="V189" s="686"/>
      <c r="W189" s="686"/>
      <c r="X189" s="686"/>
      <c r="Y189" s="686"/>
      <c r="Z189" s="686"/>
      <c r="AA189" s="686"/>
      <c r="AB189" s="686"/>
      <c r="AC189" s="686"/>
      <c r="AD189" s="686"/>
      <c r="AE189" s="686"/>
      <c r="AF189" s="686"/>
      <c r="AG189" s="687"/>
      <c r="AH189" s="688"/>
      <c r="AI189" s="689"/>
    </row>
    <row r="190" spans="1:35" ht="21" customHeight="1" x14ac:dyDescent="0.2">
      <c r="A190" s="441">
        <v>3702</v>
      </c>
      <c r="B190" s="133" t="s">
        <v>724</v>
      </c>
      <c r="C190" s="152"/>
      <c r="D190" s="587" t="s">
        <v>644</v>
      </c>
      <c r="E190" s="587" t="s">
        <v>644</v>
      </c>
      <c r="F190" s="587" t="s">
        <v>644</v>
      </c>
      <c r="G190" s="587" t="s">
        <v>644</v>
      </c>
      <c r="H190" s="587" t="s">
        <v>644</v>
      </c>
      <c r="I190" s="587"/>
      <c r="J190" s="587"/>
      <c r="K190" s="587" t="s">
        <v>643</v>
      </c>
      <c r="L190" s="587" t="s">
        <v>643</v>
      </c>
      <c r="M190" s="587" t="s">
        <v>643</v>
      </c>
      <c r="N190" s="587" t="s">
        <v>643</v>
      </c>
      <c r="O190" s="587" t="s">
        <v>643</v>
      </c>
      <c r="P190" s="587"/>
      <c r="Q190" s="587"/>
      <c r="R190" s="587" t="s">
        <v>596</v>
      </c>
      <c r="S190" s="587" t="s">
        <v>596</v>
      </c>
      <c r="T190" s="587" t="s">
        <v>596</v>
      </c>
      <c r="U190" s="587" t="s">
        <v>596</v>
      </c>
      <c r="V190" s="587" t="s">
        <v>596</v>
      </c>
      <c r="W190" s="587"/>
      <c r="X190" s="587"/>
      <c r="Y190" s="587" t="s">
        <v>644</v>
      </c>
      <c r="Z190" s="587" t="s">
        <v>644</v>
      </c>
      <c r="AA190" s="587" t="s">
        <v>644</v>
      </c>
      <c r="AB190" s="587" t="s">
        <v>644</v>
      </c>
      <c r="AC190" s="587" t="s">
        <v>644</v>
      </c>
      <c r="AD190" s="587"/>
      <c r="AE190" s="587"/>
      <c r="AF190" s="587" t="s">
        <v>643</v>
      </c>
      <c r="AG190" s="587" t="s">
        <v>643</v>
      </c>
      <c r="AH190" s="505">
        <v>0</v>
      </c>
      <c r="AI190" s="506">
        <v>0</v>
      </c>
    </row>
    <row r="191" spans="1:35" ht="21" customHeight="1" x14ac:dyDescent="0.2">
      <c r="A191" s="441"/>
      <c r="B191" s="152" t="s">
        <v>645</v>
      </c>
      <c r="C191" s="152"/>
      <c r="D191" s="587" t="s">
        <v>643</v>
      </c>
      <c r="E191" s="587" t="s">
        <v>643</v>
      </c>
      <c r="F191" s="587" t="s">
        <v>643</v>
      </c>
      <c r="G191" s="587" t="s">
        <v>643</v>
      </c>
      <c r="H191" s="1621" t="s">
        <v>643</v>
      </c>
      <c r="I191" s="587"/>
      <c r="J191" s="587"/>
      <c r="K191" s="587" t="s">
        <v>596</v>
      </c>
      <c r="L191" s="587" t="s">
        <v>596</v>
      </c>
      <c r="M191" s="587" t="s">
        <v>596</v>
      </c>
      <c r="N191" s="587" t="s">
        <v>596</v>
      </c>
      <c r="O191" s="587" t="s">
        <v>596</v>
      </c>
      <c r="P191" s="587"/>
      <c r="Q191" s="587"/>
      <c r="R191" s="1060" t="s">
        <v>644</v>
      </c>
      <c r="S191" s="1060" t="s">
        <v>644</v>
      </c>
      <c r="T191" s="1060" t="s">
        <v>644</v>
      </c>
      <c r="U191" s="1060" t="s">
        <v>644</v>
      </c>
      <c r="V191" s="1060" t="s">
        <v>644</v>
      </c>
      <c r="W191" s="1060"/>
      <c r="X191" s="1060"/>
      <c r="Y191" s="1060" t="s">
        <v>643</v>
      </c>
      <c r="Z191" s="1060" t="s">
        <v>643</v>
      </c>
      <c r="AA191" s="1060" t="s">
        <v>643</v>
      </c>
      <c r="AB191" s="1060" t="s">
        <v>643</v>
      </c>
      <c r="AC191" s="1060" t="s">
        <v>643</v>
      </c>
      <c r="AD191" s="1060"/>
      <c r="AE191" s="1060"/>
      <c r="AF191" s="1621" t="s">
        <v>596</v>
      </c>
      <c r="AG191" s="587" t="s">
        <v>596</v>
      </c>
      <c r="AH191" s="505">
        <v>0</v>
      </c>
      <c r="AI191" s="506">
        <v>29</v>
      </c>
    </row>
    <row r="192" spans="1:35" ht="21" customHeight="1" x14ac:dyDescent="0.2">
      <c r="A192" s="441"/>
      <c r="B192" s="152" t="s">
        <v>646</v>
      </c>
      <c r="C192" s="152"/>
      <c r="D192" s="587" t="s">
        <v>596</v>
      </c>
      <c r="E192" s="587" t="s">
        <v>596</v>
      </c>
      <c r="F192" s="587" t="s">
        <v>596</v>
      </c>
      <c r="G192" s="587" t="s">
        <v>596</v>
      </c>
      <c r="H192" s="587" t="s">
        <v>596</v>
      </c>
      <c r="I192" s="587"/>
      <c r="J192" s="587"/>
      <c r="K192" s="587" t="s">
        <v>644</v>
      </c>
      <c r="L192" s="587" t="s">
        <v>644</v>
      </c>
      <c r="M192" s="1524" t="s">
        <v>644</v>
      </c>
      <c r="N192" s="587" t="s">
        <v>644</v>
      </c>
      <c r="O192" s="587" t="s">
        <v>644</v>
      </c>
      <c r="P192" s="587"/>
      <c r="Q192" s="587"/>
      <c r="R192" s="587" t="s">
        <v>643</v>
      </c>
      <c r="S192" s="587" t="s">
        <v>643</v>
      </c>
      <c r="T192" s="587" t="s">
        <v>643</v>
      </c>
      <c r="U192" s="587" t="s">
        <v>643</v>
      </c>
      <c r="V192" s="587" t="s">
        <v>643</v>
      </c>
      <c r="W192" s="587"/>
      <c r="X192" s="587"/>
      <c r="Y192" s="587" t="s">
        <v>596</v>
      </c>
      <c r="Z192" s="587" t="s">
        <v>596</v>
      </c>
      <c r="AA192" s="587" t="s">
        <v>596</v>
      </c>
      <c r="AB192" s="587" t="s">
        <v>596</v>
      </c>
      <c r="AC192" s="587" t="s">
        <v>596</v>
      </c>
      <c r="AD192" s="587"/>
      <c r="AE192" s="587"/>
      <c r="AF192" s="1060" t="s">
        <v>644</v>
      </c>
      <c r="AG192" s="1060" t="s">
        <v>644</v>
      </c>
      <c r="AH192" s="505">
        <v>74</v>
      </c>
      <c r="AI192" s="506">
        <v>29</v>
      </c>
    </row>
    <row r="193" spans="1:35" ht="21" customHeight="1" x14ac:dyDescent="0.2"/>
    <row r="194" spans="1:35" ht="21" customHeight="1" x14ac:dyDescent="0.2"/>
    <row r="195" spans="1:35" ht="21" customHeight="1" x14ac:dyDescent="0.2">
      <c r="A195" s="1" t="s">
        <v>647</v>
      </c>
    </row>
    <row r="196" spans="1:35" ht="21" customHeight="1" x14ac:dyDescent="0.2">
      <c r="B196" s="200" t="s">
        <v>604</v>
      </c>
      <c r="C196" s="7"/>
      <c r="D196" s="530" t="s">
        <v>2</v>
      </c>
      <c r="E196" s="51"/>
      <c r="F196" s="573"/>
      <c r="G196" s="7"/>
      <c r="H196" s="530" t="s">
        <v>3</v>
      </c>
      <c r="I196" s="51"/>
      <c r="J196" s="573"/>
      <c r="K196" s="7"/>
      <c r="L196" s="530" t="s">
        <v>4</v>
      </c>
      <c r="M196" s="51"/>
      <c r="N196" s="573"/>
      <c r="O196" s="7"/>
      <c r="P196" s="530" t="s">
        <v>5</v>
      </c>
      <c r="Q196" s="51"/>
      <c r="R196" s="573"/>
      <c r="S196" s="7"/>
      <c r="T196" s="530" t="s">
        <v>6</v>
      </c>
      <c r="U196" s="51"/>
      <c r="V196" s="573"/>
      <c r="W196" s="7"/>
      <c r="X196" s="530" t="s">
        <v>7</v>
      </c>
      <c r="Y196" s="51"/>
      <c r="Z196" s="573"/>
      <c r="AA196" s="7"/>
      <c r="AB196" s="530" t="s">
        <v>8</v>
      </c>
      <c r="AC196" s="51"/>
      <c r="AD196" s="51"/>
      <c r="AE196" s="424" t="s">
        <v>10</v>
      </c>
      <c r="AF196" s="51"/>
      <c r="AG196" s="51"/>
      <c r="AH196" s="51"/>
      <c r="AI196" s="531"/>
    </row>
    <row r="197" spans="1:35" ht="21" customHeight="1" x14ac:dyDescent="0.2">
      <c r="B197" s="9">
        <v>8500</v>
      </c>
      <c r="C197" s="121" t="s">
        <v>33</v>
      </c>
      <c r="D197" s="659"/>
      <c r="E197" s="55"/>
      <c r="F197" s="580"/>
      <c r="G197" s="121" t="s">
        <v>33</v>
      </c>
      <c r="H197" s="659"/>
      <c r="I197" s="55"/>
      <c r="J197" s="580"/>
      <c r="K197" s="121" t="s">
        <v>33</v>
      </c>
      <c r="L197" s="659"/>
      <c r="M197" s="55"/>
      <c r="N197" s="580"/>
      <c r="O197" s="121" t="s">
        <v>33</v>
      </c>
      <c r="P197" s="659"/>
      <c r="Q197" s="55"/>
      <c r="R197" s="580"/>
      <c r="S197" s="121" t="s">
        <v>34</v>
      </c>
      <c r="T197" s="659"/>
      <c r="U197" s="55"/>
      <c r="V197" s="580"/>
      <c r="W197" s="14"/>
      <c r="X197" s="659"/>
      <c r="Y197" s="55"/>
      <c r="Z197" s="580"/>
      <c r="AA197" s="14"/>
      <c r="AB197" s="659"/>
      <c r="AC197" s="55"/>
      <c r="AD197" s="55"/>
      <c r="AE197" s="660"/>
      <c r="AF197" s="55"/>
      <c r="AG197" s="55"/>
      <c r="AH197" s="55"/>
      <c r="AI197" s="661"/>
    </row>
    <row r="198" spans="1:35" ht="21" customHeight="1" x14ac:dyDescent="0.2">
      <c r="B198" s="162" t="s">
        <v>648</v>
      </c>
      <c r="C198" s="690" t="s">
        <v>649</v>
      </c>
      <c r="D198" s="607"/>
      <c r="E198" s="678"/>
      <c r="F198" s="239"/>
      <c r="G198" s="690" t="s">
        <v>649</v>
      </c>
      <c r="H198" s="148"/>
      <c r="I198" s="678"/>
      <c r="J198" s="239"/>
      <c r="K198" s="690" t="s">
        <v>649</v>
      </c>
      <c r="L198" s="148"/>
      <c r="M198" s="678"/>
      <c r="N198" s="239"/>
      <c r="O198" s="690" t="s">
        <v>650</v>
      </c>
      <c r="P198" s="148"/>
      <c r="Q198" s="678"/>
      <c r="R198" s="239"/>
      <c r="S198" s="690" t="s">
        <v>16</v>
      </c>
      <c r="T198" s="148"/>
      <c r="U198" s="678"/>
      <c r="V198" s="239"/>
      <c r="W198" s="679"/>
      <c r="X198" s="148"/>
      <c r="Y198" s="678"/>
      <c r="Z198" s="239"/>
      <c r="AA198" s="679"/>
      <c r="AB198" s="148"/>
      <c r="AC198" s="678"/>
      <c r="AD198" s="678"/>
      <c r="AE198" s="680"/>
      <c r="AF198" s="678"/>
      <c r="AG198" s="678"/>
      <c r="AH198" s="678"/>
      <c r="AI198" s="681"/>
    </row>
    <row r="199" spans="1:35" ht="21" customHeight="1" x14ac:dyDescent="0.2">
      <c r="A199" s="60" t="s">
        <v>651</v>
      </c>
    </row>
    <row r="200" spans="1:35" ht="21" customHeight="1" x14ac:dyDescent="0.2">
      <c r="A200" s="691"/>
      <c r="B200" s="296" t="s">
        <v>469</v>
      </c>
      <c r="C200" s="497">
        <v>1</v>
      </c>
      <c r="D200" s="177">
        <v>2</v>
      </c>
      <c r="E200" s="177">
        <v>3</v>
      </c>
      <c r="F200" s="177">
        <v>4</v>
      </c>
      <c r="G200" s="177">
        <v>5</v>
      </c>
      <c r="H200" s="177">
        <v>6</v>
      </c>
      <c r="I200" s="497">
        <v>7</v>
      </c>
      <c r="J200" s="497">
        <v>8</v>
      </c>
      <c r="K200" s="177">
        <v>9</v>
      </c>
      <c r="L200" s="177">
        <v>10</v>
      </c>
      <c r="M200" s="177">
        <v>11</v>
      </c>
      <c r="N200" s="177">
        <v>12</v>
      </c>
      <c r="O200" s="177">
        <v>13</v>
      </c>
      <c r="P200" s="497">
        <v>14</v>
      </c>
      <c r="Q200" s="497">
        <v>15</v>
      </c>
      <c r="R200" s="177">
        <v>16</v>
      </c>
      <c r="S200" s="177">
        <v>17</v>
      </c>
      <c r="T200" s="177">
        <v>18</v>
      </c>
      <c r="U200" s="177">
        <v>19</v>
      </c>
      <c r="V200" s="177">
        <v>20</v>
      </c>
      <c r="W200" s="497">
        <v>21</v>
      </c>
      <c r="X200" s="497">
        <v>22</v>
      </c>
      <c r="Y200" s="177">
        <v>23</v>
      </c>
      <c r="Z200" s="177">
        <v>24</v>
      </c>
      <c r="AA200" s="177">
        <v>25</v>
      </c>
      <c r="AB200" s="177">
        <v>26</v>
      </c>
      <c r="AC200" s="177">
        <v>27</v>
      </c>
      <c r="AD200" s="497">
        <v>28</v>
      </c>
      <c r="AE200" s="497">
        <v>29</v>
      </c>
      <c r="AF200" s="177">
        <v>30</v>
      </c>
      <c r="AG200" s="177">
        <v>31</v>
      </c>
      <c r="AH200" s="499" t="s">
        <v>470</v>
      </c>
      <c r="AI200" s="500" t="s">
        <v>471</v>
      </c>
    </row>
    <row r="201" spans="1:35" ht="21" customHeight="1" x14ac:dyDescent="0.2">
      <c r="A201" s="154">
        <v>8500</v>
      </c>
      <c r="B201" s="692" t="s">
        <v>652</v>
      </c>
      <c r="C201" s="514"/>
      <c r="D201" s="1534" t="s">
        <v>552</v>
      </c>
      <c r="E201" s="1534" t="s">
        <v>552</v>
      </c>
      <c r="F201" s="1534" t="s">
        <v>617</v>
      </c>
      <c r="G201" s="514" t="s">
        <v>552</v>
      </c>
      <c r="H201" s="514" t="s">
        <v>552</v>
      </c>
      <c r="I201" s="514"/>
      <c r="J201" s="514"/>
      <c r="K201" s="514" t="s">
        <v>552</v>
      </c>
      <c r="L201" s="514" t="s">
        <v>552</v>
      </c>
      <c r="M201" s="514" t="s">
        <v>552</v>
      </c>
      <c r="N201" s="514" t="s">
        <v>552</v>
      </c>
      <c r="O201" s="514" t="s">
        <v>552</v>
      </c>
      <c r="P201" s="514"/>
      <c r="Q201" s="514"/>
      <c r="R201" s="514" t="s">
        <v>552</v>
      </c>
      <c r="S201" s="514" t="s">
        <v>552</v>
      </c>
      <c r="T201" s="514" t="s">
        <v>552</v>
      </c>
      <c r="U201" s="514" t="s">
        <v>552</v>
      </c>
      <c r="V201" s="514" t="s">
        <v>552</v>
      </c>
      <c r="W201" s="514"/>
      <c r="X201" s="514"/>
      <c r="Y201" s="514" t="s">
        <v>552</v>
      </c>
      <c r="Z201" s="514" t="s">
        <v>552</v>
      </c>
      <c r="AA201" s="514" t="s">
        <v>552</v>
      </c>
      <c r="AB201" s="1066" t="s">
        <v>552</v>
      </c>
      <c r="AC201" s="1066" t="s">
        <v>552</v>
      </c>
      <c r="AD201" s="1066"/>
      <c r="AE201" s="1066"/>
      <c r="AF201" s="1066" t="s">
        <v>552</v>
      </c>
      <c r="AG201" s="514" t="s">
        <v>552</v>
      </c>
      <c r="AH201" s="693">
        <v>74</v>
      </c>
      <c r="AI201" s="694">
        <v>37</v>
      </c>
    </row>
    <row r="202" spans="1:35" ht="21" customHeight="1" x14ac:dyDescent="0.2">
      <c r="A202" s="501" t="s">
        <v>653</v>
      </c>
      <c r="B202" s="152" t="s">
        <v>654</v>
      </c>
      <c r="C202" s="1066"/>
      <c r="D202" s="1066" t="s">
        <v>552</v>
      </c>
      <c r="E202" s="1066" t="s">
        <v>552</v>
      </c>
      <c r="F202" s="1066" t="s">
        <v>552</v>
      </c>
      <c r="G202" s="1066" t="s">
        <v>552</v>
      </c>
      <c r="H202" s="1066" t="s">
        <v>552</v>
      </c>
      <c r="I202" s="1066"/>
      <c r="J202" s="1066"/>
      <c r="K202" s="1543" t="s">
        <v>552</v>
      </c>
      <c r="L202" s="514" t="s">
        <v>552</v>
      </c>
      <c r="M202" s="514" t="s">
        <v>552</v>
      </c>
      <c r="N202" s="514" t="s">
        <v>552</v>
      </c>
      <c r="O202" s="514" t="s">
        <v>552</v>
      </c>
      <c r="P202" s="514"/>
      <c r="Q202" s="514"/>
      <c r="R202" s="514" t="s">
        <v>552</v>
      </c>
      <c r="S202" s="514" t="s">
        <v>552</v>
      </c>
      <c r="T202" s="514" t="s">
        <v>552</v>
      </c>
      <c r="U202" s="514" t="s">
        <v>552</v>
      </c>
      <c r="V202" s="514" t="s">
        <v>552</v>
      </c>
      <c r="W202" s="514"/>
      <c r="X202" s="514"/>
      <c r="Y202" s="514" t="s">
        <v>552</v>
      </c>
      <c r="Z202" s="514" t="s">
        <v>552</v>
      </c>
      <c r="AA202" s="514" t="s">
        <v>552</v>
      </c>
      <c r="AB202" s="514" t="s">
        <v>552</v>
      </c>
      <c r="AC202" s="514" t="s">
        <v>552</v>
      </c>
      <c r="AD202" s="514"/>
      <c r="AE202" s="514"/>
      <c r="AF202" s="514" t="s">
        <v>552</v>
      </c>
      <c r="AG202" s="514" t="s">
        <v>552</v>
      </c>
      <c r="AH202" s="693">
        <v>0</v>
      </c>
      <c r="AI202" s="694">
        <v>15</v>
      </c>
    </row>
    <row r="203" spans="1:35" ht="21" customHeight="1" x14ac:dyDescent="0.2">
      <c r="A203" s="152">
        <v>8500</v>
      </c>
      <c r="B203" s="152" t="s">
        <v>655</v>
      </c>
      <c r="C203" s="514"/>
      <c r="D203" s="514" t="s">
        <v>552</v>
      </c>
      <c r="E203" s="514" t="s">
        <v>552</v>
      </c>
      <c r="F203" s="514" t="s">
        <v>552</v>
      </c>
      <c r="G203" s="514" t="s">
        <v>552</v>
      </c>
      <c r="H203" s="514" t="s">
        <v>552</v>
      </c>
      <c r="I203" s="514"/>
      <c r="J203" s="514"/>
      <c r="K203" s="514" t="s">
        <v>552</v>
      </c>
      <c r="L203" s="514" t="s">
        <v>552</v>
      </c>
      <c r="M203" s="514" t="s">
        <v>552</v>
      </c>
      <c r="N203" s="514" t="s">
        <v>552</v>
      </c>
      <c r="O203" s="514" t="s">
        <v>552</v>
      </c>
      <c r="P203" s="514"/>
      <c r="Q203" s="514"/>
      <c r="R203" s="514" t="s">
        <v>552</v>
      </c>
      <c r="S203" s="514" t="s">
        <v>552</v>
      </c>
      <c r="T203" s="514" t="s">
        <v>552</v>
      </c>
      <c r="U203" s="514" t="s">
        <v>552</v>
      </c>
      <c r="V203" s="514" t="s">
        <v>552</v>
      </c>
      <c r="W203" s="514"/>
      <c r="X203" s="514"/>
      <c r="Y203" s="514" t="s">
        <v>552</v>
      </c>
      <c r="Z203" s="514" t="s">
        <v>552</v>
      </c>
      <c r="AA203" s="514" t="s">
        <v>552</v>
      </c>
      <c r="AB203" s="514" t="s">
        <v>552</v>
      </c>
      <c r="AC203" s="514" t="s">
        <v>552</v>
      </c>
      <c r="AD203" s="514"/>
      <c r="AE203" s="514"/>
      <c r="AF203" s="514" t="s">
        <v>552</v>
      </c>
      <c r="AG203" s="514" t="s">
        <v>552</v>
      </c>
      <c r="AH203" s="693">
        <v>44</v>
      </c>
      <c r="AI203" s="694">
        <v>37</v>
      </c>
    </row>
    <row r="204" spans="1:35" ht="21.95" customHeight="1" x14ac:dyDescent="0.2">
      <c r="A204" s="441"/>
      <c r="B204" s="152" t="s">
        <v>656</v>
      </c>
      <c r="C204" s="514"/>
      <c r="D204" s="514" t="s">
        <v>552</v>
      </c>
      <c r="E204" s="514" t="s">
        <v>552</v>
      </c>
      <c r="F204" s="514" t="s">
        <v>552</v>
      </c>
      <c r="G204" s="514" t="s">
        <v>552</v>
      </c>
      <c r="H204" s="514" t="s">
        <v>552</v>
      </c>
      <c r="I204" s="514"/>
      <c r="J204" s="514"/>
      <c r="K204" s="514" t="s">
        <v>552</v>
      </c>
      <c r="L204" s="514" t="s">
        <v>552</v>
      </c>
      <c r="M204" s="514" t="s">
        <v>552</v>
      </c>
      <c r="N204" s="514" t="s">
        <v>552</v>
      </c>
      <c r="O204" s="514" t="s">
        <v>552</v>
      </c>
      <c r="P204" s="514"/>
      <c r="Q204" s="514"/>
      <c r="R204" s="514" t="s">
        <v>552</v>
      </c>
      <c r="S204" s="514" t="s">
        <v>552</v>
      </c>
      <c r="T204" s="514" t="s">
        <v>552</v>
      </c>
      <c r="U204" s="514" t="s">
        <v>552</v>
      </c>
      <c r="V204" s="514" t="s">
        <v>552</v>
      </c>
      <c r="W204" s="514"/>
      <c r="X204" s="514"/>
      <c r="Y204" s="514" t="s">
        <v>552</v>
      </c>
      <c r="Z204" s="514" t="s">
        <v>552</v>
      </c>
      <c r="AA204" s="514" t="s">
        <v>552</v>
      </c>
      <c r="AB204" s="514" t="s">
        <v>552</v>
      </c>
      <c r="AC204" s="514" t="s">
        <v>552</v>
      </c>
      <c r="AD204" s="514"/>
      <c r="AE204" s="514"/>
      <c r="AF204" s="514" t="s">
        <v>552</v>
      </c>
      <c r="AG204" s="514" t="s">
        <v>552</v>
      </c>
      <c r="AH204" s="693">
        <v>111</v>
      </c>
      <c r="AI204" s="694">
        <v>37</v>
      </c>
    </row>
    <row r="205" spans="1:35" ht="21.95" customHeight="1" x14ac:dyDescent="0.2">
      <c r="A205" s="512">
        <v>3350</v>
      </c>
      <c r="B205" s="54" t="s">
        <v>657</v>
      </c>
      <c r="C205" s="514"/>
      <c r="D205" s="514" t="s">
        <v>552</v>
      </c>
      <c r="E205" s="514" t="s">
        <v>552</v>
      </c>
      <c r="F205" s="514" t="s">
        <v>552</v>
      </c>
      <c r="G205" s="514" t="s">
        <v>552</v>
      </c>
      <c r="H205" s="514" t="s">
        <v>552</v>
      </c>
      <c r="I205" s="514"/>
      <c r="J205" s="514"/>
      <c r="K205" s="514" t="s">
        <v>552</v>
      </c>
      <c r="L205" s="514" t="s">
        <v>552</v>
      </c>
      <c r="M205" s="514" t="s">
        <v>552</v>
      </c>
      <c r="N205" s="514" t="s">
        <v>552</v>
      </c>
      <c r="O205" s="514" t="s">
        <v>552</v>
      </c>
      <c r="P205" s="514"/>
      <c r="Q205" s="514"/>
      <c r="R205" s="514" t="s">
        <v>552</v>
      </c>
      <c r="S205" s="514" t="s">
        <v>552</v>
      </c>
      <c r="T205" s="514" t="s">
        <v>552</v>
      </c>
      <c r="U205" s="1534" t="s">
        <v>552</v>
      </c>
      <c r="V205" s="1534" t="s">
        <v>552</v>
      </c>
      <c r="W205" s="1534"/>
      <c r="X205" s="1534"/>
      <c r="Y205" s="1534" t="s">
        <v>552</v>
      </c>
      <c r="Z205" s="1534" t="s">
        <v>552</v>
      </c>
      <c r="AA205" s="1534" t="s">
        <v>552</v>
      </c>
      <c r="AB205" s="1534" t="s">
        <v>552</v>
      </c>
      <c r="AC205" s="1534" t="s">
        <v>552</v>
      </c>
      <c r="AD205" s="1534"/>
      <c r="AE205" s="1534"/>
      <c r="AF205" s="1534" t="s">
        <v>552</v>
      </c>
      <c r="AG205" s="1534" t="s">
        <v>552</v>
      </c>
      <c r="AH205" s="693">
        <v>37</v>
      </c>
      <c r="AI205" s="694">
        <v>37</v>
      </c>
    </row>
    <row r="206" spans="1:35" ht="21.95" customHeight="1" x14ac:dyDescent="0.2">
      <c r="A206" s="524">
        <v>3701</v>
      </c>
      <c r="B206" s="152" t="s">
        <v>658</v>
      </c>
      <c r="C206" s="514"/>
      <c r="D206" s="514" t="s">
        <v>552</v>
      </c>
      <c r="E206" s="514" t="s">
        <v>552</v>
      </c>
      <c r="F206" s="514" t="s">
        <v>552</v>
      </c>
      <c r="G206" s="514" t="s">
        <v>552</v>
      </c>
      <c r="H206" s="514" t="s">
        <v>552</v>
      </c>
      <c r="I206" s="514"/>
      <c r="J206" s="514"/>
      <c r="K206" s="514" t="s">
        <v>552</v>
      </c>
      <c r="L206" s="514" t="s">
        <v>552</v>
      </c>
      <c r="M206" s="514" t="s">
        <v>552</v>
      </c>
      <c r="N206" s="514" t="s">
        <v>552</v>
      </c>
      <c r="O206" s="514" t="s">
        <v>552</v>
      </c>
      <c r="P206" s="514"/>
      <c r="Q206" s="514"/>
      <c r="R206" s="514" t="s">
        <v>552</v>
      </c>
      <c r="S206" s="514" t="s">
        <v>552</v>
      </c>
      <c r="T206" s="514" t="s">
        <v>552</v>
      </c>
      <c r="U206" s="514" t="s">
        <v>552</v>
      </c>
      <c r="V206" s="514" t="s">
        <v>552</v>
      </c>
      <c r="W206" s="514"/>
      <c r="X206" s="514"/>
      <c r="Y206" s="514" t="s">
        <v>552</v>
      </c>
      <c r="Z206" s="514" t="s">
        <v>552</v>
      </c>
      <c r="AA206" s="514" t="s">
        <v>552</v>
      </c>
      <c r="AB206" s="514" t="s">
        <v>552</v>
      </c>
      <c r="AC206" s="514" t="s">
        <v>552</v>
      </c>
      <c r="AD206" s="514"/>
      <c r="AE206" s="514"/>
      <c r="AF206" s="514" t="s">
        <v>552</v>
      </c>
      <c r="AG206" s="514" t="s">
        <v>552</v>
      </c>
      <c r="AH206" s="705">
        <v>60</v>
      </c>
      <c r="AI206" s="706">
        <v>23</v>
      </c>
    </row>
    <row r="207" spans="1:35" ht="25.5" customHeight="1" x14ac:dyDescent="0.2">
      <c r="A207" s="1" t="s">
        <v>683</v>
      </c>
    </row>
    <row r="208" spans="1:35" ht="21" customHeight="1" x14ac:dyDescent="0.2">
      <c r="A208" s="1"/>
      <c r="B208" s="200" t="s">
        <v>604</v>
      </c>
      <c r="C208" s="7"/>
      <c r="D208" s="530" t="s">
        <v>2</v>
      </c>
      <c r="E208" s="51"/>
      <c r="F208" s="573"/>
      <c r="G208" s="7"/>
      <c r="H208" s="530" t="s">
        <v>3</v>
      </c>
      <c r="I208" s="51"/>
      <c r="J208" s="573"/>
      <c r="K208" s="7"/>
      <c r="L208" s="530" t="s">
        <v>4</v>
      </c>
      <c r="M208" s="51"/>
      <c r="N208" s="573"/>
      <c r="O208" s="7"/>
      <c r="P208" s="530" t="s">
        <v>5</v>
      </c>
      <c r="Q208" s="51"/>
      <c r="R208" s="573"/>
      <c r="S208" s="7"/>
      <c r="T208" s="530" t="s">
        <v>6</v>
      </c>
      <c r="U208" s="51"/>
      <c r="V208" s="573"/>
      <c r="W208" s="7"/>
      <c r="X208" s="530" t="s">
        <v>7</v>
      </c>
      <c r="Y208" s="51"/>
      <c r="Z208" s="573"/>
      <c r="AA208" s="7"/>
      <c r="AB208" s="530" t="s">
        <v>8</v>
      </c>
      <c r="AC208" s="51"/>
      <c r="AD208" s="51"/>
      <c r="AE208" s="424" t="s">
        <v>10</v>
      </c>
      <c r="AF208" s="51"/>
      <c r="AG208" s="51"/>
      <c r="AH208" s="51"/>
      <c r="AI208" s="531"/>
    </row>
    <row r="209" spans="1:35" ht="21" customHeight="1" x14ac:dyDescent="0.2">
      <c r="A209" s="1"/>
      <c r="B209" s="9"/>
      <c r="C209" s="14"/>
      <c r="D209" s="659"/>
      <c r="E209" s="55"/>
      <c r="F209" s="580"/>
      <c r="G209" s="14"/>
      <c r="H209" s="659"/>
      <c r="I209" s="55"/>
      <c r="J209" s="580"/>
      <c r="K209" s="14"/>
      <c r="L209" s="659"/>
      <c r="M209" s="55"/>
      <c r="N209" s="580"/>
      <c r="O209" s="14"/>
      <c r="P209" s="659"/>
      <c r="Q209" s="55"/>
      <c r="R209" s="580"/>
      <c r="S209" s="14"/>
      <c r="T209" s="659"/>
      <c r="U209" s="55"/>
      <c r="V209" s="580"/>
      <c r="W209" s="14"/>
      <c r="X209" s="659"/>
      <c r="Y209" s="55"/>
      <c r="Z209" s="580"/>
      <c r="AA209" s="14"/>
      <c r="AB209" s="659"/>
      <c r="AC209" s="55"/>
      <c r="AD209" s="55"/>
      <c r="AE209" s="660"/>
      <c r="AF209" s="55"/>
      <c r="AG209" s="55"/>
      <c r="AH209" s="55"/>
      <c r="AI209" s="661"/>
    </row>
    <row r="210" spans="1:35" ht="21" customHeight="1" x14ac:dyDescent="0.2">
      <c r="B210" s="662"/>
      <c r="C210" s="121"/>
      <c r="D210" s="156"/>
      <c r="E210" s="156"/>
      <c r="F210" s="612"/>
      <c r="G210" s="121"/>
      <c r="H210" s="156"/>
      <c r="I210" s="156"/>
      <c r="J210" s="612"/>
      <c r="K210" s="121"/>
      <c r="L210" s="156"/>
      <c r="M210" s="156"/>
      <c r="N210" s="612"/>
      <c r="O210" s="121"/>
      <c r="P210" s="156"/>
      <c r="Q210" s="156"/>
      <c r="R210" s="612"/>
      <c r="S210" s="121"/>
      <c r="T210" s="156"/>
      <c r="U210" s="156"/>
      <c r="V210" s="612"/>
      <c r="W210" s="121"/>
      <c r="X210" s="156"/>
      <c r="Y210" s="156"/>
      <c r="Z210" s="612"/>
      <c r="AA210" s="611"/>
      <c r="AB210" s="156"/>
      <c r="AC210" s="156"/>
      <c r="AD210" s="613"/>
      <c r="AE210" s="663"/>
      <c r="AF210" s="156"/>
      <c r="AG210" s="156" t="s">
        <v>28</v>
      </c>
      <c r="AH210" s="613"/>
      <c r="AI210" s="489"/>
    </row>
    <row r="211" spans="1:35" ht="21" customHeight="1" x14ac:dyDescent="0.2">
      <c r="A211" s="1"/>
      <c r="B211" s="47"/>
      <c r="C211" s="618"/>
      <c r="D211" s="53"/>
      <c r="E211" s="53"/>
      <c r="F211" s="619"/>
      <c r="G211" s="618"/>
      <c r="H211" s="53"/>
      <c r="I211" s="53"/>
      <c r="J211" s="619"/>
      <c r="K211" s="618"/>
      <c r="L211" s="53"/>
      <c r="M211" s="53"/>
      <c r="N211" s="619"/>
      <c r="O211" s="618"/>
      <c r="P211" s="53"/>
      <c r="Q211" s="53"/>
      <c r="R211" s="619"/>
      <c r="S211" s="618"/>
      <c r="T211" s="53"/>
      <c r="U211" s="53"/>
      <c r="V211" s="619"/>
      <c r="W211" s="57"/>
      <c r="X211" s="53"/>
      <c r="Y211" s="53"/>
      <c r="Z211" s="619"/>
      <c r="AA211" s="57"/>
      <c r="AB211" s="53"/>
      <c r="AC211" s="53"/>
      <c r="AD211" s="620"/>
      <c r="AE211" s="57"/>
      <c r="AF211" s="53"/>
      <c r="AG211" s="53"/>
      <c r="AH211" s="620"/>
      <c r="AI211" s="544"/>
    </row>
    <row r="212" spans="1:35" ht="33" customHeight="1" x14ac:dyDescent="0.2">
      <c r="A212" s="1"/>
      <c r="B212" s="72"/>
      <c r="C212" s="311"/>
      <c r="F212" s="353"/>
      <c r="G212" s="311"/>
      <c r="J212" s="353"/>
      <c r="K212" s="311"/>
      <c r="N212" s="353"/>
      <c r="O212" s="311"/>
      <c r="R212" s="353"/>
      <c r="S212" s="311"/>
      <c r="V212" s="353"/>
      <c r="W212" s="353"/>
      <c r="Z212" s="353"/>
      <c r="AA212" s="353"/>
      <c r="AD212" s="353"/>
      <c r="AE212" s="353"/>
      <c r="AH212" s="353"/>
    </row>
    <row r="213" spans="1:35" ht="21" customHeight="1" x14ac:dyDescent="0.2">
      <c r="A213" s="585" t="s">
        <v>468</v>
      </c>
      <c r="B213" s="296" t="s">
        <v>469</v>
      </c>
      <c r="C213" s="497">
        <v>1</v>
      </c>
      <c r="D213" s="177">
        <v>2</v>
      </c>
      <c r="E213" s="177">
        <v>3</v>
      </c>
      <c r="F213" s="177">
        <v>4</v>
      </c>
      <c r="G213" s="177">
        <v>5</v>
      </c>
      <c r="H213" s="177">
        <v>6</v>
      </c>
      <c r="I213" s="497">
        <v>7</v>
      </c>
      <c r="J213" s="497">
        <v>8</v>
      </c>
      <c r="K213" s="177">
        <v>9</v>
      </c>
      <c r="L213" s="177">
        <v>10</v>
      </c>
      <c r="M213" s="177">
        <v>11</v>
      </c>
      <c r="N213" s="177">
        <v>12</v>
      </c>
      <c r="O213" s="177">
        <v>13</v>
      </c>
      <c r="P213" s="497">
        <v>14</v>
      </c>
      <c r="Q213" s="497">
        <v>15</v>
      </c>
      <c r="R213" s="177">
        <v>16</v>
      </c>
      <c r="S213" s="177">
        <v>17</v>
      </c>
      <c r="T213" s="177">
        <v>18</v>
      </c>
      <c r="U213" s="177">
        <v>19</v>
      </c>
      <c r="V213" s="177">
        <v>20</v>
      </c>
      <c r="W213" s="497">
        <v>21</v>
      </c>
      <c r="X213" s="497">
        <v>22</v>
      </c>
      <c r="Y213" s="177">
        <v>23</v>
      </c>
      <c r="Z213" s="177">
        <v>24</v>
      </c>
      <c r="AA213" s="177">
        <v>25</v>
      </c>
      <c r="AB213" s="177">
        <v>26</v>
      </c>
      <c r="AC213" s="177">
        <v>27</v>
      </c>
      <c r="AD213" s="497">
        <v>28</v>
      </c>
      <c r="AE213" s="497">
        <v>29</v>
      </c>
      <c r="AF213" s="177">
        <v>30</v>
      </c>
      <c r="AG213" s="177">
        <v>31</v>
      </c>
      <c r="AH213" s="499" t="s">
        <v>470</v>
      </c>
      <c r="AI213" s="500" t="s">
        <v>471</v>
      </c>
    </row>
    <row r="214" spans="1:35" ht="21" customHeight="1" x14ac:dyDescent="0.2">
      <c r="A214" s="441"/>
      <c r="B214" s="673" t="s">
        <v>661</v>
      </c>
      <c r="C214" s="514"/>
      <c r="D214" s="514" t="s">
        <v>552</v>
      </c>
      <c r="E214" s="514" t="s">
        <v>552</v>
      </c>
      <c r="F214" s="514" t="s">
        <v>552</v>
      </c>
      <c r="G214" s="514" t="s">
        <v>552</v>
      </c>
      <c r="H214" s="514" t="s">
        <v>552</v>
      </c>
      <c r="I214" s="514"/>
      <c r="J214" s="514"/>
      <c r="K214" s="1534" t="s">
        <v>552</v>
      </c>
      <c r="L214" s="1534" t="s">
        <v>552</v>
      </c>
      <c r="M214" s="1534" t="s">
        <v>617</v>
      </c>
      <c r="N214" s="514" t="s">
        <v>552</v>
      </c>
      <c r="O214" s="514" t="s">
        <v>552</v>
      </c>
      <c r="P214" s="514"/>
      <c r="Q214" s="514"/>
      <c r="R214" s="514" t="s">
        <v>552</v>
      </c>
      <c r="S214" s="514" t="s">
        <v>552</v>
      </c>
      <c r="T214" s="514" t="s">
        <v>552</v>
      </c>
      <c r="U214" s="514" t="s">
        <v>552</v>
      </c>
      <c r="V214" s="514" t="s">
        <v>552</v>
      </c>
      <c r="W214" s="514"/>
      <c r="X214" s="514"/>
      <c r="Y214" s="514" t="s">
        <v>552</v>
      </c>
      <c r="Z214" s="514" t="s">
        <v>552</v>
      </c>
      <c r="AA214" s="1486" t="s">
        <v>552</v>
      </c>
      <c r="AB214" s="514" t="s">
        <v>552</v>
      </c>
      <c r="AC214" s="514" t="s">
        <v>552</v>
      </c>
      <c r="AD214" s="514"/>
      <c r="AE214" s="514"/>
      <c r="AF214" s="514" t="s">
        <v>552</v>
      </c>
      <c r="AG214" s="514" t="s">
        <v>552</v>
      </c>
      <c r="AH214" s="693">
        <v>88</v>
      </c>
      <c r="AI214" s="694">
        <v>37</v>
      </c>
    </row>
    <row r="215" spans="1:35" ht="21" customHeight="1" x14ac:dyDescent="0.2">
      <c r="A215" s="441"/>
      <c r="B215" s="673" t="s">
        <v>662</v>
      </c>
      <c r="C215" s="514"/>
      <c r="D215" s="514" t="s">
        <v>552</v>
      </c>
      <c r="E215" s="514" t="s">
        <v>552</v>
      </c>
      <c r="F215" s="514" t="s">
        <v>552</v>
      </c>
      <c r="G215" s="514" t="s">
        <v>552</v>
      </c>
      <c r="H215" s="514" t="s">
        <v>552</v>
      </c>
      <c r="I215" s="514"/>
      <c r="J215" s="514"/>
      <c r="K215" s="514" t="s">
        <v>552</v>
      </c>
      <c r="L215" s="514" t="s">
        <v>552</v>
      </c>
      <c r="M215" s="514" t="s">
        <v>552</v>
      </c>
      <c r="N215" s="514" t="s">
        <v>552</v>
      </c>
      <c r="O215" s="514" t="s">
        <v>552</v>
      </c>
      <c r="P215" s="514"/>
      <c r="Q215" s="514"/>
      <c r="R215" s="514" t="s">
        <v>552</v>
      </c>
      <c r="S215" s="514" t="s">
        <v>552</v>
      </c>
      <c r="T215" s="514" t="s">
        <v>552</v>
      </c>
      <c r="U215" s="514" t="s">
        <v>552</v>
      </c>
      <c r="V215" s="514" t="s">
        <v>552</v>
      </c>
      <c r="W215" s="514"/>
      <c r="X215" s="514"/>
      <c r="Y215" s="514" t="s">
        <v>552</v>
      </c>
      <c r="Z215" s="514" t="s">
        <v>552</v>
      </c>
      <c r="AA215" s="514" t="s">
        <v>552</v>
      </c>
      <c r="AB215" s="514" t="s">
        <v>552</v>
      </c>
      <c r="AC215" s="514" t="s">
        <v>552</v>
      </c>
      <c r="AD215" s="514"/>
      <c r="AE215" s="514"/>
      <c r="AF215" s="1653" t="s">
        <v>552</v>
      </c>
      <c r="AG215" s="514" t="s">
        <v>552</v>
      </c>
      <c r="AH215" s="693">
        <v>83</v>
      </c>
      <c r="AI215" s="694">
        <v>37</v>
      </c>
    </row>
    <row r="216" spans="1:35" ht="21" customHeight="1" x14ac:dyDescent="0.2">
      <c r="A216" s="441"/>
      <c r="B216" s="673" t="s">
        <v>663</v>
      </c>
      <c r="C216" s="514"/>
      <c r="D216" s="514" t="s">
        <v>552</v>
      </c>
      <c r="E216" s="1534" t="s">
        <v>552</v>
      </c>
      <c r="F216" s="1534" t="s">
        <v>617</v>
      </c>
      <c r="G216" s="514" t="s">
        <v>552</v>
      </c>
      <c r="H216" s="514" t="s">
        <v>552</v>
      </c>
      <c r="I216" s="514"/>
      <c r="J216" s="514"/>
      <c r="K216" s="514" t="s">
        <v>552</v>
      </c>
      <c r="L216" s="514" t="s">
        <v>552</v>
      </c>
      <c r="M216" s="514" t="s">
        <v>552</v>
      </c>
      <c r="N216" s="514" t="s">
        <v>552</v>
      </c>
      <c r="O216" s="514" t="s">
        <v>552</v>
      </c>
      <c r="P216" s="514"/>
      <c r="Q216" s="514"/>
      <c r="R216" s="514" t="s">
        <v>552</v>
      </c>
      <c r="S216" s="514" t="s">
        <v>552</v>
      </c>
      <c r="T216" s="514" t="s">
        <v>552</v>
      </c>
      <c r="U216" s="514" t="s">
        <v>552</v>
      </c>
      <c r="V216" s="514" t="s">
        <v>552</v>
      </c>
      <c r="W216" s="514"/>
      <c r="X216" s="514"/>
      <c r="Y216" s="514" t="s">
        <v>552</v>
      </c>
      <c r="Z216" s="514" t="s">
        <v>552</v>
      </c>
      <c r="AA216" s="514" t="s">
        <v>552</v>
      </c>
      <c r="AB216" s="514" t="s">
        <v>552</v>
      </c>
      <c r="AC216" s="514" t="s">
        <v>552</v>
      </c>
      <c r="AD216" s="514"/>
      <c r="AE216" s="514"/>
      <c r="AF216" s="514" t="s">
        <v>552</v>
      </c>
      <c r="AG216" s="514" t="s">
        <v>552</v>
      </c>
      <c r="AH216" s="693">
        <v>35</v>
      </c>
      <c r="AI216" s="694">
        <v>23</v>
      </c>
    </row>
    <row r="217" spans="1:35" ht="21" customHeight="1" x14ac:dyDescent="0.2">
      <c r="A217" s="441"/>
      <c r="B217" s="673" t="s">
        <v>664</v>
      </c>
      <c r="C217" s="514"/>
      <c r="D217" s="514" t="s">
        <v>552</v>
      </c>
      <c r="E217" s="514" t="s">
        <v>552</v>
      </c>
      <c r="F217" s="514" t="s">
        <v>552</v>
      </c>
      <c r="G217" s="514" t="s">
        <v>552</v>
      </c>
      <c r="H217" s="514" t="s">
        <v>552</v>
      </c>
      <c r="I217" s="514"/>
      <c r="J217" s="514"/>
      <c r="K217" s="514" t="s">
        <v>552</v>
      </c>
      <c r="L217" s="514" t="s">
        <v>552</v>
      </c>
      <c r="M217" s="514" t="s">
        <v>552</v>
      </c>
      <c r="N217" s="514" t="s">
        <v>552</v>
      </c>
      <c r="O217" s="514" t="s">
        <v>552</v>
      </c>
      <c r="P217" s="514"/>
      <c r="Q217" s="514"/>
      <c r="R217" s="1736" t="s">
        <v>552</v>
      </c>
      <c r="S217" s="514" t="s">
        <v>552</v>
      </c>
      <c r="T217" s="514" t="s">
        <v>552</v>
      </c>
      <c r="U217" s="514" t="s">
        <v>552</v>
      </c>
      <c r="V217" s="514" t="s">
        <v>552</v>
      </c>
      <c r="W217" s="514"/>
      <c r="X217" s="514"/>
      <c r="Y217" s="514" t="s">
        <v>552</v>
      </c>
      <c r="Z217" s="1534" t="s">
        <v>552</v>
      </c>
      <c r="AA217" s="1534" t="s">
        <v>552</v>
      </c>
      <c r="AB217" s="1534" t="s">
        <v>617</v>
      </c>
      <c r="AC217" s="514" t="s">
        <v>552</v>
      </c>
      <c r="AD217" s="514"/>
      <c r="AE217" s="514"/>
      <c r="AF217" s="514" t="s">
        <v>552</v>
      </c>
      <c r="AG217" s="514" t="s">
        <v>552</v>
      </c>
      <c r="AH217" s="693">
        <v>51</v>
      </c>
      <c r="AI217" s="694">
        <v>23</v>
      </c>
    </row>
    <row r="218" spans="1:35" ht="21" customHeight="1" x14ac:dyDescent="0.2">
      <c r="A218" s="441"/>
      <c r="B218" s="673" t="s">
        <v>665</v>
      </c>
      <c r="C218" s="514"/>
      <c r="D218" s="514" t="s">
        <v>552</v>
      </c>
      <c r="E218" s="514" t="s">
        <v>552</v>
      </c>
      <c r="F218" s="514" t="s">
        <v>552</v>
      </c>
      <c r="G218" s="514" t="s">
        <v>552</v>
      </c>
      <c r="H218" s="514" t="s">
        <v>552</v>
      </c>
      <c r="I218" s="514"/>
      <c r="J218" s="514"/>
      <c r="K218" s="514" t="s">
        <v>552</v>
      </c>
      <c r="L218" s="514" t="s">
        <v>552</v>
      </c>
      <c r="M218" s="514" t="s">
        <v>552</v>
      </c>
      <c r="N218" s="514" t="s">
        <v>552</v>
      </c>
      <c r="O218" s="514" t="s">
        <v>552</v>
      </c>
      <c r="P218" s="514"/>
      <c r="Q218" s="514"/>
      <c r="R218" s="514" t="s">
        <v>552</v>
      </c>
      <c r="S218" s="514" t="s">
        <v>552</v>
      </c>
      <c r="T218" s="514" t="s">
        <v>552</v>
      </c>
      <c r="U218" s="514" t="s">
        <v>552</v>
      </c>
      <c r="V218" s="514" t="s">
        <v>552</v>
      </c>
      <c r="W218" s="514"/>
      <c r="X218" s="514"/>
      <c r="Y218" s="514" t="s">
        <v>552</v>
      </c>
      <c r="Z218" s="514" t="s">
        <v>552</v>
      </c>
      <c r="AA218" s="514" t="s">
        <v>552</v>
      </c>
      <c r="AB218" s="514" t="s">
        <v>552</v>
      </c>
      <c r="AC218" s="514" t="s">
        <v>552</v>
      </c>
      <c r="AD218" s="514"/>
      <c r="AE218" s="514"/>
      <c r="AF218" s="514" t="s">
        <v>552</v>
      </c>
      <c r="AG218" s="514" t="s">
        <v>552</v>
      </c>
      <c r="AH218" s="693">
        <v>37</v>
      </c>
      <c r="AI218" s="694">
        <v>37</v>
      </c>
    </row>
    <row r="219" spans="1:35" ht="21" customHeight="1" x14ac:dyDescent="0.2">
      <c r="A219" s="441"/>
      <c r="B219" s="673" t="s">
        <v>666</v>
      </c>
      <c r="C219" s="514"/>
      <c r="D219" s="514" t="s">
        <v>552</v>
      </c>
      <c r="E219" s="514" t="s">
        <v>552</v>
      </c>
      <c r="F219" s="514" t="s">
        <v>552</v>
      </c>
      <c r="G219" s="514" t="s">
        <v>552</v>
      </c>
      <c r="H219" s="514" t="s">
        <v>552</v>
      </c>
      <c r="I219" s="514"/>
      <c r="J219" s="514"/>
      <c r="K219" s="514" t="s">
        <v>552</v>
      </c>
      <c r="L219" s="514" t="s">
        <v>552</v>
      </c>
      <c r="M219" s="514" t="s">
        <v>552</v>
      </c>
      <c r="N219" s="514" t="s">
        <v>552</v>
      </c>
      <c r="O219" s="514" t="s">
        <v>552</v>
      </c>
      <c r="P219" s="514"/>
      <c r="Q219" s="514"/>
      <c r="R219" s="514" t="s">
        <v>552</v>
      </c>
      <c r="S219" s="514" t="s">
        <v>552</v>
      </c>
      <c r="T219" s="1518" t="s">
        <v>552</v>
      </c>
      <c r="U219" s="514" t="s">
        <v>552</v>
      </c>
      <c r="V219" s="1518" t="s">
        <v>552</v>
      </c>
      <c r="W219" s="514"/>
      <c r="X219" s="514"/>
      <c r="Y219" s="514" t="s">
        <v>552</v>
      </c>
      <c r="Z219" s="514" t="s">
        <v>552</v>
      </c>
      <c r="AA219" s="514" t="s">
        <v>552</v>
      </c>
      <c r="AB219" s="514" t="s">
        <v>552</v>
      </c>
      <c r="AC219" s="514" t="s">
        <v>552</v>
      </c>
      <c r="AD219" s="514"/>
      <c r="AE219" s="514"/>
      <c r="AF219" s="514" t="s">
        <v>552</v>
      </c>
      <c r="AG219" s="514" t="s">
        <v>552</v>
      </c>
      <c r="AH219" s="693">
        <v>37</v>
      </c>
      <c r="AI219" s="694">
        <v>22</v>
      </c>
    </row>
    <row r="220" spans="1:35" ht="21" customHeight="1" x14ac:dyDescent="0.2">
      <c r="A220" s="441"/>
      <c r="B220" s="673" t="s">
        <v>667</v>
      </c>
      <c r="C220" s="514"/>
      <c r="D220" s="1569" t="s">
        <v>552</v>
      </c>
      <c r="E220" s="1569" t="s">
        <v>552</v>
      </c>
      <c r="F220" s="1569" t="s">
        <v>552</v>
      </c>
      <c r="G220" s="1569" t="s">
        <v>552</v>
      </c>
      <c r="H220" s="1569" t="s">
        <v>552</v>
      </c>
      <c r="I220" s="1569"/>
      <c r="J220" s="1569"/>
      <c r="K220" s="514" t="s">
        <v>552</v>
      </c>
      <c r="L220" s="514" t="s">
        <v>552</v>
      </c>
      <c r="M220" s="514" t="s">
        <v>552</v>
      </c>
      <c r="N220" s="514" t="s">
        <v>552</v>
      </c>
      <c r="O220" s="514" t="s">
        <v>552</v>
      </c>
      <c r="P220" s="514"/>
      <c r="Q220" s="514"/>
      <c r="R220" s="514" t="s">
        <v>552</v>
      </c>
      <c r="S220" s="514" t="s">
        <v>552</v>
      </c>
      <c r="T220" s="514" t="s">
        <v>552</v>
      </c>
      <c r="U220" s="514" t="s">
        <v>552</v>
      </c>
      <c r="V220" s="514" t="s">
        <v>552</v>
      </c>
      <c r="W220" s="514"/>
      <c r="X220" s="514"/>
      <c r="Y220" s="1534" t="s">
        <v>552</v>
      </c>
      <c r="Z220" s="1534" t="s">
        <v>552</v>
      </c>
      <c r="AA220" s="1534" t="s">
        <v>552</v>
      </c>
      <c r="AB220" s="1534" t="s">
        <v>552</v>
      </c>
      <c r="AC220" s="1534" t="s">
        <v>617</v>
      </c>
      <c r="AD220" s="514"/>
      <c r="AE220" s="514"/>
      <c r="AF220" s="514" t="s">
        <v>552</v>
      </c>
      <c r="AG220" s="514" t="s">
        <v>552</v>
      </c>
      <c r="AH220" s="693">
        <v>26</v>
      </c>
      <c r="AI220" s="694">
        <v>37</v>
      </c>
    </row>
    <row r="221" spans="1:35" ht="21" customHeight="1" x14ac:dyDescent="0.2">
      <c r="A221" s="441"/>
      <c r="B221" s="673" t="s">
        <v>668</v>
      </c>
      <c r="C221" s="514"/>
      <c r="D221" s="514" t="s">
        <v>552</v>
      </c>
      <c r="E221" s="514" t="s">
        <v>552</v>
      </c>
      <c r="F221" s="514" t="s">
        <v>552</v>
      </c>
      <c r="G221" s="514" t="s">
        <v>552</v>
      </c>
      <c r="H221" s="514" t="s">
        <v>552</v>
      </c>
      <c r="I221" s="514"/>
      <c r="J221" s="514"/>
      <c r="K221" s="514" t="s">
        <v>552</v>
      </c>
      <c r="L221" s="514" t="s">
        <v>552</v>
      </c>
      <c r="M221" s="514" t="s">
        <v>552</v>
      </c>
      <c r="N221" s="514" t="s">
        <v>552</v>
      </c>
      <c r="O221" s="514" t="s">
        <v>552</v>
      </c>
      <c r="P221" s="514"/>
      <c r="Q221" s="514"/>
      <c r="R221" s="514" t="s">
        <v>552</v>
      </c>
      <c r="S221" s="514" t="s">
        <v>552</v>
      </c>
      <c r="T221" s="514" t="s">
        <v>552</v>
      </c>
      <c r="U221" s="514" t="s">
        <v>552</v>
      </c>
      <c r="V221" s="514" t="s">
        <v>552</v>
      </c>
      <c r="W221" s="514"/>
      <c r="X221" s="514"/>
      <c r="Y221" s="514" t="s">
        <v>552</v>
      </c>
      <c r="Z221" s="514" t="s">
        <v>552</v>
      </c>
      <c r="AA221" s="514" t="s">
        <v>552</v>
      </c>
      <c r="AB221" s="514" t="s">
        <v>552</v>
      </c>
      <c r="AC221" s="514" t="s">
        <v>552</v>
      </c>
      <c r="AD221" s="514"/>
      <c r="AE221" s="514"/>
      <c r="AF221" s="514" t="s">
        <v>552</v>
      </c>
      <c r="AG221" s="514" t="s">
        <v>552</v>
      </c>
      <c r="AH221" s="693">
        <v>185</v>
      </c>
      <c r="AI221" s="694">
        <v>37</v>
      </c>
    </row>
    <row r="222" spans="1:35" ht="21" customHeight="1" x14ac:dyDescent="0.2">
      <c r="A222" s="441"/>
      <c r="B222" s="673" t="s">
        <v>669</v>
      </c>
      <c r="C222" s="514"/>
      <c r="D222" s="1569" t="s">
        <v>552</v>
      </c>
      <c r="E222" s="514" t="s">
        <v>552</v>
      </c>
      <c r="F222" s="514" t="s">
        <v>552</v>
      </c>
      <c r="G222" s="514" t="s">
        <v>552</v>
      </c>
      <c r="H222" s="514" t="s">
        <v>552</v>
      </c>
      <c r="I222" s="514"/>
      <c r="J222" s="514"/>
      <c r="K222" s="514" t="s">
        <v>552</v>
      </c>
      <c r="L222" s="514" t="s">
        <v>552</v>
      </c>
      <c r="M222" s="514" t="s">
        <v>552</v>
      </c>
      <c r="N222" s="514" t="s">
        <v>552</v>
      </c>
      <c r="O222" s="514" t="s">
        <v>552</v>
      </c>
      <c r="P222" s="514"/>
      <c r="Q222" s="514"/>
      <c r="R222" s="514" t="s">
        <v>552</v>
      </c>
      <c r="S222" s="514" t="s">
        <v>552</v>
      </c>
      <c r="T222" s="514" t="s">
        <v>552</v>
      </c>
      <c r="U222" s="514" t="s">
        <v>552</v>
      </c>
      <c r="V222" s="514" t="s">
        <v>552</v>
      </c>
      <c r="W222" s="514"/>
      <c r="X222" s="514"/>
      <c r="Y222" s="1534" t="s">
        <v>552</v>
      </c>
      <c r="Z222" s="1534" t="s">
        <v>552</v>
      </c>
      <c r="AA222" s="1534" t="s">
        <v>617</v>
      </c>
      <c r="AB222" s="514" t="s">
        <v>552</v>
      </c>
      <c r="AC222" s="514" t="s">
        <v>552</v>
      </c>
      <c r="AD222" s="514"/>
      <c r="AE222" s="514"/>
      <c r="AF222" s="514" t="s">
        <v>552</v>
      </c>
      <c r="AG222" s="514" t="s">
        <v>552</v>
      </c>
      <c r="AH222" s="693">
        <v>75</v>
      </c>
      <c r="AI222" s="694">
        <v>37</v>
      </c>
    </row>
    <row r="223" spans="1:35" ht="21" customHeight="1" x14ac:dyDescent="0.2">
      <c r="A223" s="441"/>
      <c r="B223" s="673" t="s">
        <v>670</v>
      </c>
      <c r="C223" s="514"/>
      <c r="D223" s="514" t="s">
        <v>552</v>
      </c>
      <c r="E223" s="514" t="s">
        <v>552</v>
      </c>
      <c r="F223" s="514" t="s">
        <v>552</v>
      </c>
      <c r="G223" s="514" t="s">
        <v>552</v>
      </c>
      <c r="H223" s="514" t="s">
        <v>552</v>
      </c>
      <c r="I223" s="514"/>
      <c r="J223" s="514"/>
      <c r="K223" s="514" t="s">
        <v>552</v>
      </c>
      <c r="L223" s="514" t="s">
        <v>552</v>
      </c>
      <c r="M223" s="514" t="s">
        <v>552</v>
      </c>
      <c r="N223" s="1543" t="s">
        <v>552</v>
      </c>
      <c r="O223" s="514" t="s">
        <v>552</v>
      </c>
      <c r="P223" s="514"/>
      <c r="Q223" s="514"/>
      <c r="R223" s="514" t="s">
        <v>552</v>
      </c>
      <c r="S223" s="514" t="s">
        <v>552</v>
      </c>
      <c r="T223" s="514" t="s">
        <v>552</v>
      </c>
      <c r="U223" s="514" t="s">
        <v>552</v>
      </c>
      <c r="V223" s="514" t="s">
        <v>552</v>
      </c>
      <c r="W223" s="514"/>
      <c r="X223" s="514"/>
      <c r="Y223" s="514" t="s">
        <v>552</v>
      </c>
      <c r="Z223" s="514" t="s">
        <v>552</v>
      </c>
      <c r="AA223" s="514" t="s">
        <v>552</v>
      </c>
      <c r="AB223" s="514" t="s">
        <v>552</v>
      </c>
      <c r="AC223" s="514" t="s">
        <v>552</v>
      </c>
      <c r="AD223" s="514"/>
      <c r="AE223" s="514"/>
      <c r="AF223" s="1534" t="s">
        <v>617</v>
      </c>
      <c r="AG223" s="514" t="s">
        <v>552</v>
      </c>
      <c r="AH223" s="693">
        <v>8</v>
      </c>
      <c r="AI223" s="694">
        <v>37</v>
      </c>
    </row>
    <row r="224" spans="1:35" ht="21" customHeight="1" x14ac:dyDescent="0.2">
      <c r="A224" s="441"/>
      <c r="B224" s="673"/>
      <c r="C224" s="514"/>
      <c r="D224" s="514" t="s">
        <v>552</v>
      </c>
      <c r="E224" s="514" t="s">
        <v>552</v>
      </c>
      <c r="F224" s="514" t="s">
        <v>552</v>
      </c>
      <c r="G224" s="514" t="s">
        <v>552</v>
      </c>
      <c r="H224" s="514" t="s">
        <v>552</v>
      </c>
      <c r="I224" s="514"/>
      <c r="J224" s="514"/>
      <c r="K224" s="514" t="s">
        <v>552</v>
      </c>
      <c r="L224" s="514" t="s">
        <v>552</v>
      </c>
      <c r="M224" s="514" t="s">
        <v>552</v>
      </c>
      <c r="N224" s="514" t="s">
        <v>552</v>
      </c>
      <c r="O224" s="514" t="s">
        <v>552</v>
      </c>
      <c r="P224" s="514"/>
      <c r="Q224" s="514"/>
      <c r="R224" s="514" t="s">
        <v>552</v>
      </c>
      <c r="S224" s="514" t="s">
        <v>552</v>
      </c>
      <c r="T224" s="514" t="s">
        <v>552</v>
      </c>
      <c r="U224" s="514" t="s">
        <v>552</v>
      </c>
      <c r="V224" s="514" t="s">
        <v>552</v>
      </c>
      <c r="W224" s="514"/>
      <c r="X224" s="514"/>
      <c r="Y224" s="514" t="s">
        <v>552</v>
      </c>
      <c r="Z224" s="514" t="s">
        <v>552</v>
      </c>
      <c r="AA224" s="514" t="s">
        <v>552</v>
      </c>
      <c r="AB224" s="514" t="s">
        <v>552</v>
      </c>
      <c r="AC224" s="514" t="s">
        <v>552</v>
      </c>
      <c r="AD224" s="514"/>
      <c r="AE224" s="514"/>
      <c r="AF224" s="514" t="s">
        <v>552</v>
      </c>
      <c r="AG224" s="514" t="s">
        <v>552</v>
      </c>
      <c r="AH224" s="693"/>
      <c r="AI224" s="694"/>
    </row>
    <row r="225" spans="1:35" ht="21" customHeight="1" x14ac:dyDescent="0.2">
      <c r="A225" s="441"/>
      <c r="B225" s="152" t="s">
        <v>671</v>
      </c>
      <c r="C225" s="514"/>
      <c r="D225" s="1569" t="s">
        <v>552</v>
      </c>
      <c r="E225" s="1569" t="s">
        <v>552</v>
      </c>
      <c r="F225" s="1569" t="s">
        <v>552</v>
      </c>
      <c r="G225" s="1569" t="s">
        <v>552</v>
      </c>
      <c r="H225" s="1569" t="s">
        <v>552</v>
      </c>
      <c r="I225" s="1569"/>
      <c r="J225" s="1569"/>
      <c r="K225" s="514" t="s">
        <v>552</v>
      </c>
      <c r="L225" s="514" t="s">
        <v>552</v>
      </c>
      <c r="M225" s="514" t="s">
        <v>552</v>
      </c>
      <c r="N225" s="514" t="s">
        <v>552</v>
      </c>
      <c r="O225" s="514" t="s">
        <v>552</v>
      </c>
      <c r="P225" s="514"/>
      <c r="Q225" s="514"/>
      <c r="R225" s="514" t="s">
        <v>552</v>
      </c>
      <c r="S225" s="514" t="s">
        <v>552</v>
      </c>
      <c r="T225" s="514" t="s">
        <v>552</v>
      </c>
      <c r="U225" s="514" t="s">
        <v>552</v>
      </c>
      <c r="V225" s="514" t="s">
        <v>552</v>
      </c>
      <c r="W225" s="514"/>
      <c r="X225" s="514"/>
      <c r="Y225" s="514" t="s">
        <v>552</v>
      </c>
      <c r="Z225" s="514" t="s">
        <v>552</v>
      </c>
      <c r="AA225" s="514" t="s">
        <v>552</v>
      </c>
      <c r="AB225" s="514" t="s">
        <v>552</v>
      </c>
      <c r="AC225" s="514" t="s">
        <v>552</v>
      </c>
      <c r="AD225" s="514"/>
      <c r="AE225" s="514"/>
      <c r="AF225" s="1534" t="s">
        <v>552</v>
      </c>
      <c r="AG225" s="1534" t="s">
        <v>552</v>
      </c>
      <c r="AH225" s="693">
        <v>1</v>
      </c>
      <c r="AI225" s="694">
        <v>37</v>
      </c>
    </row>
    <row r="226" spans="1:35" ht="21" customHeight="1" x14ac:dyDescent="0.2">
      <c r="A226" s="152"/>
      <c r="B226" s="152"/>
      <c r="C226" s="514"/>
      <c r="D226" s="514" t="s">
        <v>552</v>
      </c>
      <c r="E226" s="514" t="s">
        <v>552</v>
      </c>
      <c r="F226" s="514" t="s">
        <v>552</v>
      </c>
      <c r="G226" s="514" t="s">
        <v>552</v>
      </c>
      <c r="H226" s="514" t="s">
        <v>552</v>
      </c>
      <c r="I226" s="514"/>
      <c r="J226" s="514"/>
      <c r="K226" s="514" t="s">
        <v>552</v>
      </c>
      <c r="L226" s="514" t="s">
        <v>552</v>
      </c>
      <c r="M226" s="514" t="s">
        <v>552</v>
      </c>
      <c r="N226" s="514" t="s">
        <v>552</v>
      </c>
      <c r="O226" s="514" t="s">
        <v>552</v>
      </c>
      <c r="P226" s="514"/>
      <c r="Q226" s="514"/>
      <c r="R226" s="514" t="s">
        <v>552</v>
      </c>
      <c r="S226" s="514" t="s">
        <v>552</v>
      </c>
      <c r="T226" s="514" t="s">
        <v>552</v>
      </c>
      <c r="U226" s="514" t="s">
        <v>552</v>
      </c>
      <c r="V226" s="514" t="s">
        <v>552</v>
      </c>
      <c r="W226" s="514"/>
      <c r="X226" s="514"/>
      <c r="Y226" s="514" t="s">
        <v>552</v>
      </c>
      <c r="Z226" s="514" t="s">
        <v>552</v>
      </c>
      <c r="AA226" s="514" t="s">
        <v>552</v>
      </c>
      <c r="AB226" s="514" t="s">
        <v>552</v>
      </c>
      <c r="AC226" s="514" t="s">
        <v>552</v>
      </c>
      <c r="AD226" s="514"/>
      <c r="AE226" s="514"/>
      <c r="AF226" s="514" t="s">
        <v>552</v>
      </c>
      <c r="AG226" s="514" t="s">
        <v>552</v>
      </c>
      <c r="AH226" s="693"/>
      <c r="AI226" s="694"/>
    </row>
    <row r="227" spans="1:35" ht="21" customHeight="1" x14ac:dyDescent="0.2">
      <c r="A227" s="152"/>
      <c r="B227" s="152" t="s">
        <v>672</v>
      </c>
      <c r="C227" s="514"/>
      <c r="D227" s="514" t="s">
        <v>552</v>
      </c>
      <c r="E227" s="514" t="s">
        <v>552</v>
      </c>
      <c r="F227" s="514" t="s">
        <v>552</v>
      </c>
      <c r="G227" s="514" t="s">
        <v>552</v>
      </c>
      <c r="H227" s="514" t="s">
        <v>552</v>
      </c>
      <c r="I227" s="514"/>
      <c r="J227" s="514"/>
      <c r="K227" s="514" t="s">
        <v>552</v>
      </c>
      <c r="L227" s="514" t="s">
        <v>552</v>
      </c>
      <c r="M227" s="514" t="s">
        <v>552</v>
      </c>
      <c r="N227" s="514" t="s">
        <v>552</v>
      </c>
      <c r="O227" s="514" t="s">
        <v>552</v>
      </c>
      <c r="P227" s="514"/>
      <c r="Q227" s="514"/>
      <c r="R227" s="514" t="s">
        <v>552</v>
      </c>
      <c r="S227" s="514" t="s">
        <v>552</v>
      </c>
      <c r="T227" s="514" t="s">
        <v>552</v>
      </c>
      <c r="U227" s="514" t="s">
        <v>552</v>
      </c>
      <c r="V227" s="514" t="s">
        <v>552</v>
      </c>
      <c r="W227" s="514"/>
      <c r="X227" s="514"/>
      <c r="Y227" s="514" t="s">
        <v>552</v>
      </c>
      <c r="Z227" s="514" t="s">
        <v>552</v>
      </c>
      <c r="AA227" s="514" t="s">
        <v>552</v>
      </c>
      <c r="AB227" s="514" t="s">
        <v>552</v>
      </c>
      <c r="AC227" s="514" t="s">
        <v>552</v>
      </c>
      <c r="AD227" s="514"/>
      <c r="AE227" s="514"/>
      <c r="AF227" s="514" t="s">
        <v>552</v>
      </c>
      <c r="AG227" s="514" t="s">
        <v>552</v>
      </c>
      <c r="AH227" s="693">
        <v>54</v>
      </c>
      <c r="AI227" s="694">
        <v>16</v>
      </c>
    </row>
    <row r="228" spans="1:35" ht="21" customHeight="1" x14ac:dyDescent="0.2">
      <c r="A228" s="152"/>
      <c r="B228" s="152" t="s">
        <v>673</v>
      </c>
      <c r="C228" s="514"/>
      <c r="D228" s="514" t="s">
        <v>552</v>
      </c>
      <c r="E228" s="514" t="s">
        <v>552</v>
      </c>
      <c r="F228" s="514" t="s">
        <v>552</v>
      </c>
      <c r="G228" s="514" t="s">
        <v>552</v>
      </c>
      <c r="H228" s="514" t="s">
        <v>552</v>
      </c>
      <c r="I228" s="514"/>
      <c r="J228" s="514"/>
      <c r="K228" s="514" t="s">
        <v>552</v>
      </c>
      <c r="L228" s="514" t="s">
        <v>552</v>
      </c>
      <c r="M228" s="514" t="s">
        <v>552</v>
      </c>
      <c r="N228" s="514" t="s">
        <v>552</v>
      </c>
      <c r="O228" s="514" t="s">
        <v>552</v>
      </c>
      <c r="P228" s="514"/>
      <c r="Q228" s="514"/>
      <c r="R228" s="514" t="s">
        <v>552</v>
      </c>
      <c r="S228" s="514" t="s">
        <v>552</v>
      </c>
      <c r="T228" s="514" t="s">
        <v>552</v>
      </c>
      <c r="U228" s="514" t="s">
        <v>552</v>
      </c>
      <c r="V228" s="514" t="s">
        <v>552</v>
      </c>
      <c r="W228" s="514"/>
      <c r="X228" s="514"/>
      <c r="Y228" s="514" t="s">
        <v>552</v>
      </c>
      <c r="Z228" s="514" t="s">
        <v>552</v>
      </c>
      <c r="AA228" s="514" t="s">
        <v>552</v>
      </c>
      <c r="AB228" s="514" t="s">
        <v>552</v>
      </c>
      <c r="AC228" s="514" t="s">
        <v>552</v>
      </c>
      <c r="AD228" s="514"/>
      <c r="AE228" s="514"/>
      <c r="AF228" s="514" t="s">
        <v>552</v>
      </c>
      <c r="AG228" s="514" t="s">
        <v>552</v>
      </c>
      <c r="AH228" s="693">
        <v>2</v>
      </c>
      <c r="AI228" s="694">
        <v>24</v>
      </c>
    </row>
    <row r="229" spans="1:35" ht="21" customHeight="1" x14ac:dyDescent="0.2">
      <c r="A229" s="152"/>
      <c r="B229" s="152"/>
      <c r="C229" s="503"/>
      <c r="D229" s="503"/>
      <c r="E229" s="503"/>
      <c r="F229" s="503"/>
      <c r="G229" s="503"/>
      <c r="H229" s="503"/>
      <c r="I229" s="503"/>
      <c r="J229" s="503"/>
      <c r="K229" s="503"/>
      <c r="L229" s="503"/>
      <c r="M229" s="503"/>
      <c r="N229" s="503"/>
      <c r="O229" s="503"/>
      <c r="P229" s="503"/>
      <c r="Q229" s="503"/>
      <c r="R229" s="503"/>
      <c r="S229" s="503"/>
      <c r="T229" s="503"/>
      <c r="U229" s="503"/>
      <c r="V229" s="503"/>
      <c r="W229" s="503"/>
      <c r="X229" s="503"/>
      <c r="Y229" s="503"/>
      <c r="Z229" s="503"/>
      <c r="AA229" s="503"/>
      <c r="AB229" s="503"/>
      <c r="AC229" s="503"/>
      <c r="AD229" s="503"/>
      <c r="AE229" s="503"/>
      <c r="AF229" s="503"/>
      <c r="AG229" s="695"/>
      <c r="AH229" s="693"/>
      <c r="AI229" s="694">
        <v>37</v>
      </c>
    </row>
    <row r="230" spans="1:35" ht="21" customHeight="1" x14ac:dyDescent="0.2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4"/>
      <c r="AH230" s="328"/>
      <c r="AI230" s="190"/>
    </row>
    <row r="231" spans="1:35" ht="21" customHeight="1" x14ac:dyDescent="0.2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4"/>
      <c r="AH231" s="328"/>
      <c r="AI231" s="190"/>
    </row>
    <row r="232" spans="1:35" ht="21" customHeight="1" x14ac:dyDescent="0.2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4"/>
      <c r="AH232" s="330"/>
      <c r="AI232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1" max="16383" man="1"/>
  </rowBreaks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13"/>
  <dimension ref="A1:AL231"/>
  <sheetViews>
    <sheetView topLeftCell="A94" zoomScale="73" zoomScaleNormal="73" workbookViewId="0">
      <selection activeCell="O189" sqref="O189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</cols>
  <sheetData>
    <row r="1" spans="1:35" ht="13.35" customHeight="1" x14ac:dyDescent="0.2">
      <c r="A1" t="s">
        <v>28</v>
      </c>
      <c r="B1" s="1" t="s">
        <v>442</v>
      </c>
    </row>
    <row r="2" spans="1:35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5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5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5" ht="21.95" customHeight="1" x14ac:dyDescent="0.2">
      <c r="A5" s="1" t="s">
        <v>14</v>
      </c>
      <c r="B5" s="1"/>
    </row>
    <row r="6" spans="1:35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5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5" ht="21.95" customHeight="1" x14ac:dyDescent="0.25">
      <c r="A8" s="495" t="s">
        <v>466</v>
      </c>
      <c r="L8" s="495"/>
      <c r="AB8" s="1"/>
    </row>
    <row r="9" spans="1:35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5" ht="21.95" customHeight="1" x14ac:dyDescent="0.2">
      <c r="A10" s="441" t="s">
        <v>468</v>
      </c>
      <c r="B10" s="296" t="s">
        <v>469</v>
      </c>
      <c r="C10" s="177">
        <v>1</v>
      </c>
      <c r="D10" s="177">
        <v>2</v>
      </c>
      <c r="E10" s="177">
        <v>3</v>
      </c>
      <c r="F10" s="497">
        <v>4</v>
      </c>
      <c r="G10" s="497">
        <v>5</v>
      </c>
      <c r="H10" s="177">
        <v>6</v>
      </c>
      <c r="I10" s="177">
        <v>7</v>
      </c>
      <c r="J10" s="177">
        <v>8</v>
      </c>
      <c r="K10" s="177">
        <v>9</v>
      </c>
      <c r="L10" s="177">
        <v>10</v>
      </c>
      <c r="M10" s="497">
        <v>11</v>
      </c>
      <c r="N10" s="497">
        <v>12</v>
      </c>
      <c r="O10" s="177">
        <v>13</v>
      </c>
      <c r="P10" s="177">
        <v>14</v>
      </c>
      <c r="Q10" s="177">
        <v>15</v>
      </c>
      <c r="R10" s="177">
        <v>16</v>
      </c>
      <c r="S10" s="177">
        <v>17</v>
      </c>
      <c r="T10" s="497">
        <v>18</v>
      </c>
      <c r="U10" s="497">
        <v>19</v>
      </c>
      <c r="V10" s="177">
        <v>20</v>
      </c>
      <c r="W10" s="177">
        <v>21</v>
      </c>
      <c r="X10" s="177">
        <v>22</v>
      </c>
      <c r="Y10" s="177">
        <v>23</v>
      </c>
      <c r="Z10" s="177">
        <v>24</v>
      </c>
      <c r="AA10" s="497">
        <v>25</v>
      </c>
      <c r="AB10" s="497">
        <v>26</v>
      </c>
      <c r="AC10" s="177">
        <v>27</v>
      </c>
      <c r="AD10" s="177">
        <v>28</v>
      </c>
      <c r="AE10" s="177">
        <v>29</v>
      </c>
      <c r="AF10" s="177"/>
      <c r="AG10" s="177"/>
      <c r="AH10" s="499" t="s">
        <v>470</v>
      </c>
      <c r="AI10" s="500" t="s">
        <v>471</v>
      </c>
    </row>
    <row r="11" spans="1:35" ht="21.95" customHeight="1" x14ac:dyDescent="0.2">
      <c r="A11" s="501"/>
      <c r="B11" s="502"/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>
        <v>185</v>
      </c>
      <c r="AI11" s="506">
        <v>37</v>
      </c>
    </row>
    <row r="12" spans="1:35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5" ht="21.95" customHeight="1" x14ac:dyDescent="0.2">
      <c r="A13" s="512">
        <v>8546</v>
      </c>
      <c r="B13" s="513" t="s">
        <v>473</v>
      </c>
      <c r="C13" s="1486" t="s">
        <v>475</v>
      </c>
      <c r="D13" s="514" t="s">
        <v>475</v>
      </c>
      <c r="E13" s="514" t="s">
        <v>475</v>
      </c>
      <c r="F13" s="514"/>
      <c r="G13" s="514"/>
      <c r="H13" s="1064">
        <v>1</v>
      </c>
      <c r="I13" s="1066">
        <v>1</v>
      </c>
      <c r="J13" s="1066">
        <v>1</v>
      </c>
      <c r="K13" s="1066">
        <v>1</v>
      </c>
      <c r="L13" s="1066">
        <v>1</v>
      </c>
      <c r="M13" s="1066"/>
      <c r="N13" s="1066"/>
      <c r="O13" s="514">
        <v>2</v>
      </c>
      <c r="P13" s="514">
        <v>2</v>
      </c>
      <c r="Q13" s="514">
        <v>2</v>
      </c>
      <c r="R13" s="514">
        <v>2</v>
      </c>
      <c r="S13" s="514">
        <v>2</v>
      </c>
      <c r="T13" s="1543" t="s">
        <v>474</v>
      </c>
      <c r="U13" s="1665" t="s">
        <v>474</v>
      </c>
      <c r="V13" s="514" t="s">
        <v>475</v>
      </c>
      <c r="W13" s="514" t="s">
        <v>475</v>
      </c>
      <c r="X13" s="514" t="s">
        <v>475</v>
      </c>
      <c r="Y13" s="514" t="s">
        <v>475</v>
      </c>
      <c r="Z13" s="514" t="s">
        <v>475</v>
      </c>
      <c r="AA13" s="514"/>
      <c r="AB13" s="514"/>
      <c r="AC13" s="1066">
        <v>3</v>
      </c>
      <c r="AD13" s="1066">
        <v>3</v>
      </c>
      <c r="AE13" s="1066">
        <v>3</v>
      </c>
      <c r="AF13" s="514"/>
      <c r="AG13" s="515"/>
      <c r="AH13" s="505">
        <v>33</v>
      </c>
      <c r="AI13" s="506">
        <v>3</v>
      </c>
    </row>
    <row r="14" spans="1:35" ht="21.95" customHeight="1" x14ac:dyDescent="0.2">
      <c r="A14" s="501">
        <v>8546</v>
      </c>
      <c r="B14" s="346" t="s">
        <v>477</v>
      </c>
      <c r="C14" s="514">
        <v>3</v>
      </c>
      <c r="D14" s="553">
        <v>3</v>
      </c>
      <c r="E14" s="553">
        <v>3</v>
      </c>
      <c r="F14" s="553"/>
      <c r="G14" s="553"/>
      <c r="H14" s="553">
        <v>4</v>
      </c>
      <c r="I14" s="553">
        <v>4</v>
      </c>
      <c r="J14" s="553">
        <v>4</v>
      </c>
      <c r="K14" s="553">
        <v>4</v>
      </c>
      <c r="L14" s="553">
        <v>4</v>
      </c>
      <c r="M14" s="553" t="s">
        <v>476</v>
      </c>
      <c r="N14" s="553" t="s">
        <v>476</v>
      </c>
      <c r="O14" s="553" t="s">
        <v>475</v>
      </c>
      <c r="P14" s="553" t="s">
        <v>475</v>
      </c>
      <c r="Q14" s="553" t="s">
        <v>475</v>
      </c>
      <c r="R14" s="553" t="s">
        <v>475</v>
      </c>
      <c r="S14" s="553" t="s">
        <v>475</v>
      </c>
      <c r="T14" s="553"/>
      <c r="U14" s="553"/>
      <c r="V14" s="712">
        <v>1</v>
      </c>
      <c r="W14" s="712">
        <v>1</v>
      </c>
      <c r="X14" s="712">
        <v>1</v>
      </c>
      <c r="Y14" s="712">
        <v>1</v>
      </c>
      <c r="Z14" s="712">
        <v>1</v>
      </c>
      <c r="AA14" s="712"/>
      <c r="AB14" s="712"/>
      <c r="AC14" s="553">
        <v>2</v>
      </c>
      <c r="AD14" s="553">
        <v>2</v>
      </c>
      <c r="AE14" s="553">
        <v>2</v>
      </c>
      <c r="AF14" s="503"/>
      <c r="AG14" s="504"/>
      <c r="AH14" s="505">
        <v>83</v>
      </c>
      <c r="AI14" s="506">
        <v>37</v>
      </c>
    </row>
    <row r="15" spans="1:35" ht="21.95" customHeight="1" x14ac:dyDescent="0.2">
      <c r="A15" s="501">
        <v>8546</v>
      </c>
      <c r="B15" s="346" t="s">
        <v>174</v>
      </c>
      <c r="C15" s="553">
        <v>4</v>
      </c>
      <c r="D15" s="553">
        <v>4</v>
      </c>
      <c r="E15" s="553">
        <v>4</v>
      </c>
      <c r="F15" s="553" t="s">
        <v>476</v>
      </c>
      <c r="G15" s="553" t="s">
        <v>476</v>
      </c>
      <c r="H15" s="553" t="s">
        <v>475</v>
      </c>
      <c r="I15" s="553" t="s">
        <v>475</v>
      </c>
      <c r="J15" s="553" t="s">
        <v>475</v>
      </c>
      <c r="K15" s="553" t="s">
        <v>475</v>
      </c>
      <c r="L15" s="553" t="s">
        <v>475</v>
      </c>
      <c r="M15" s="553"/>
      <c r="N15" s="553"/>
      <c r="O15" s="553">
        <v>1</v>
      </c>
      <c r="P15" s="553">
        <v>1</v>
      </c>
      <c r="Q15" s="553">
        <v>1</v>
      </c>
      <c r="R15" s="1523">
        <v>1</v>
      </c>
      <c r="S15" s="1523">
        <v>1</v>
      </c>
      <c r="T15" s="553"/>
      <c r="U15" s="553"/>
      <c r="V15" s="553">
        <v>2</v>
      </c>
      <c r="W15" s="553">
        <v>2</v>
      </c>
      <c r="X15" s="553">
        <v>2</v>
      </c>
      <c r="Y15" s="553">
        <v>2</v>
      </c>
      <c r="Z15" s="553">
        <v>2</v>
      </c>
      <c r="AA15" s="553" t="s">
        <v>474</v>
      </c>
      <c r="AB15" s="553" t="s">
        <v>474</v>
      </c>
      <c r="AC15" s="553" t="s">
        <v>475</v>
      </c>
      <c r="AD15" s="553" t="s">
        <v>475</v>
      </c>
      <c r="AE15" s="553" t="s">
        <v>475</v>
      </c>
      <c r="AF15" s="503"/>
      <c r="AG15" s="504"/>
      <c r="AH15" s="505">
        <v>21</v>
      </c>
      <c r="AI15" s="506">
        <v>37</v>
      </c>
    </row>
    <row r="16" spans="1:35" ht="21.95" customHeight="1" x14ac:dyDescent="0.2">
      <c r="A16" s="501">
        <v>8546</v>
      </c>
      <c r="B16" s="346" t="s">
        <v>478</v>
      </c>
      <c r="C16" s="1486">
        <v>2</v>
      </c>
      <c r="D16" s="553">
        <v>2</v>
      </c>
      <c r="E16" s="553">
        <v>2</v>
      </c>
      <c r="F16" s="553" t="s">
        <v>474</v>
      </c>
      <c r="G16" s="553" t="s">
        <v>474</v>
      </c>
      <c r="H16" s="553" t="s">
        <v>475</v>
      </c>
      <c r="I16" s="553" t="s">
        <v>475</v>
      </c>
      <c r="J16" s="553" t="s">
        <v>475</v>
      </c>
      <c r="K16" s="553" t="s">
        <v>475</v>
      </c>
      <c r="L16" s="553" t="s">
        <v>475</v>
      </c>
      <c r="M16" s="553"/>
      <c r="N16" s="553"/>
      <c r="O16" s="1535">
        <v>3</v>
      </c>
      <c r="P16" s="1535">
        <v>3</v>
      </c>
      <c r="Q16" s="1535">
        <v>3</v>
      </c>
      <c r="R16" s="553">
        <v>3</v>
      </c>
      <c r="S16" s="553">
        <v>3</v>
      </c>
      <c r="T16" s="553"/>
      <c r="U16" s="553"/>
      <c r="V16" s="553">
        <v>4</v>
      </c>
      <c r="W16" s="553">
        <v>4</v>
      </c>
      <c r="X16" s="553">
        <v>4</v>
      </c>
      <c r="Y16" s="553">
        <v>4</v>
      </c>
      <c r="Z16" s="553">
        <v>4</v>
      </c>
      <c r="AA16" s="553" t="s">
        <v>476</v>
      </c>
      <c r="AB16" s="553" t="s">
        <v>476</v>
      </c>
      <c r="AC16" s="553" t="s">
        <v>475</v>
      </c>
      <c r="AD16" s="553" t="s">
        <v>475</v>
      </c>
      <c r="AE16" s="553" t="s">
        <v>475</v>
      </c>
      <c r="AF16" s="503"/>
      <c r="AG16" s="504"/>
      <c r="AH16" s="505">
        <v>12</v>
      </c>
      <c r="AI16" s="506">
        <v>37</v>
      </c>
    </row>
    <row r="17" spans="1:37" ht="21.95" customHeight="1" x14ac:dyDescent="0.2">
      <c r="A17" s="501">
        <v>8546</v>
      </c>
      <c r="B17" s="346" t="s">
        <v>479</v>
      </c>
      <c r="C17" s="553">
        <v>1</v>
      </c>
      <c r="D17" s="553">
        <v>1</v>
      </c>
      <c r="E17" s="553">
        <v>1</v>
      </c>
      <c r="F17" s="553"/>
      <c r="G17" s="553"/>
      <c r="H17" s="553">
        <v>2</v>
      </c>
      <c r="I17" s="553">
        <v>2</v>
      </c>
      <c r="J17" s="1486">
        <v>2</v>
      </c>
      <c r="K17" s="553">
        <v>2</v>
      </c>
      <c r="L17" s="553">
        <v>2</v>
      </c>
      <c r="M17" s="553" t="s">
        <v>474</v>
      </c>
      <c r="N17" s="553" t="s">
        <v>474</v>
      </c>
      <c r="O17" s="553" t="s">
        <v>475</v>
      </c>
      <c r="P17" s="553" t="s">
        <v>475</v>
      </c>
      <c r="Q17" s="553" t="s">
        <v>475</v>
      </c>
      <c r="R17" s="553" t="s">
        <v>475</v>
      </c>
      <c r="S17" s="553" t="s">
        <v>475</v>
      </c>
      <c r="T17" s="553"/>
      <c r="U17" s="553"/>
      <c r="V17" s="553">
        <v>3</v>
      </c>
      <c r="W17" s="553">
        <v>3</v>
      </c>
      <c r="X17" s="1523">
        <v>3</v>
      </c>
      <c r="Y17" s="1633">
        <v>3</v>
      </c>
      <c r="Z17" s="553">
        <v>3</v>
      </c>
      <c r="AA17" s="553"/>
      <c r="AB17" s="553"/>
      <c r="AC17" s="553">
        <v>4</v>
      </c>
      <c r="AD17" s="1642">
        <v>4</v>
      </c>
      <c r="AE17" s="553">
        <v>4</v>
      </c>
      <c r="AF17" s="503"/>
      <c r="AG17" s="504"/>
      <c r="AH17" s="505">
        <v>27</v>
      </c>
      <c r="AI17" s="506">
        <v>37</v>
      </c>
    </row>
    <row r="18" spans="1:37" ht="21.95" customHeight="1" x14ac:dyDescent="0.2">
      <c r="A18" s="501">
        <v>8546</v>
      </c>
      <c r="B18" s="346" t="s">
        <v>480</v>
      </c>
      <c r="C18" s="553" t="s">
        <v>475</v>
      </c>
      <c r="D18" s="553" t="s">
        <v>475</v>
      </c>
      <c r="E18" s="553" t="s">
        <v>475</v>
      </c>
      <c r="F18" s="553"/>
      <c r="G18" s="553"/>
      <c r="H18" s="553">
        <v>3</v>
      </c>
      <c r="I18" s="553">
        <v>3</v>
      </c>
      <c r="J18" s="1486">
        <v>3</v>
      </c>
      <c r="K18" s="553">
        <v>3</v>
      </c>
      <c r="L18" s="553">
        <v>3</v>
      </c>
      <c r="M18" s="553"/>
      <c r="N18" s="553"/>
      <c r="O18" s="553">
        <v>4</v>
      </c>
      <c r="P18" s="553">
        <v>4</v>
      </c>
      <c r="Q18" s="553">
        <v>4</v>
      </c>
      <c r="R18" s="553">
        <v>4</v>
      </c>
      <c r="S18" s="553">
        <v>4</v>
      </c>
      <c r="T18" s="553" t="s">
        <v>476</v>
      </c>
      <c r="U18" s="553" t="s">
        <v>476</v>
      </c>
      <c r="V18" s="553" t="s">
        <v>475</v>
      </c>
      <c r="W18" s="553" t="s">
        <v>475</v>
      </c>
      <c r="X18" s="553" t="s">
        <v>475</v>
      </c>
      <c r="Y18" s="553" t="s">
        <v>475</v>
      </c>
      <c r="Z18" s="553" t="s">
        <v>475</v>
      </c>
      <c r="AA18" s="553"/>
      <c r="AB18" s="553"/>
      <c r="AC18" s="553">
        <v>1</v>
      </c>
      <c r="AD18" s="553">
        <v>1</v>
      </c>
      <c r="AE18" s="553">
        <v>1</v>
      </c>
      <c r="AF18" s="503"/>
      <c r="AG18" s="504"/>
      <c r="AH18" s="505">
        <v>38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9"/>
      <c r="AH19" s="505"/>
      <c r="AI19" s="506"/>
    </row>
    <row r="20" spans="1:37" ht="21.95" customHeight="1" x14ac:dyDescent="0.2">
      <c r="A20" s="501">
        <v>8500</v>
      </c>
      <c r="B20" s="185" t="s">
        <v>188</v>
      </c>
      <c r="C20" s="553">
        <v>2</v>
      </c>
      <c r="D20" s="553">
        <v>3</v>
      </c>
      <c r="E20" s="553" t="s">
        <v>475</v>
      </c>
      <c r="F20" s="553" t="s">
        <v>484</v>
      </c>
      <c r="G20" s="553" t="s">
        <v>484</v>
      </c>
      <c r="H20" s="553" t="s">
        <v>644</v>
      </c>
      <c r="I20" s="553" t="s">
        <v>644</v>
      </c>
      <c r="J20" s="1486" t="s">
        <v>552</v>
      </c>
      <c r="K20" s="553">
        <v>1</v>
      </c>
      <c r="L20" s="553">
        <v>1</v>
      </c>
      <c r="M20" s="553" t="s">
        <v>484</v>
      </c>
      <c r="N20" s="553" t="s">
        <v>484</v>
      </c>
      <c r="O20" s="553">
        <v>3</v>
      </c>
      <c r="P20" s="553">
        <v>3</v>
      </c>
      <c r="Q20" s="553">
        <v>3</v>
      </c>
      <c r="R20" s="553">
        <v>1</v>
      </c>
      <c r="S20" s="553">
        <v>1</v>
      </c>
      <c r="T20" s="553" t="s">
        <v>474</v>
      </c>
      <c r="U20" s="553" t="s">
        <v>474</v>
      </c>
      <c r="V20" s="553" t="s">
        <v>475</v>
      </c>
      <c r="W20" s="553" t="s">
        <v>475</v>
      </c>
      <c r="X20" s="1642" t="s">
        <v>552</v>
      </c>
      <c r="Y20" s="1515" t="s">
        <v>552</v>
      </c>
      <c r="Z20" s="1515" t="s">
        <v>552</v>
      </c>
      <c r="AA20" s="1515"/>
      <c r="AB20" s="1515" t="s">
        <v>484</v>
      </c>
      <c r="AC20" s="1515" t="s">
        <v>552</v>
      </c>
      <c r="AD20" s="1515" t="s">
        <v>617</v>
      </c>
      <c r="AE20" s="553">
        <v>3</v>
      </c>
      <c r="AF20" s="553"/>
      <c r="AG20" s="695"/>
      <c r="AH20" s="505">
        <v>58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53" t="s">
        <v>552</v>
      </c>
      <c r="D21" s="553" t="s">
        <v>552</v>
      </c>
      <c r="E21" s="553" t="s">
        <v>552</v>
      </c>
      <c r="F21" s="553"/>
      <c r="G21" s="553"/>
      <c r="H21" s="553">
        <v>1</v>
      </c>
      <c r="I21" s="1642" t="s">
        <v>552</v>
      </c>
      <c r="J21" s="553">
        <v>3</v>
      </c>
      <c r="K21" s="553" t="s">
        <v>552</v>
      </c>
      <c r="L21" s="553" t="s">
        <v>552</v>
      </c>
      <c r="M21" s="553"/>
      <c r="N21" s="553"/>
      <c r="O21" s="1064" t="s">
        <v>552</v>
      </c>
      <c r="P21" s="1064" t="s">
        <v>552</v>
      </c>
      <c r="Q21" s="1064" t="s">
        <v>552</v>
      </c>
      <c r="R21" s="1064" t="s">
        <v>552</v>
      </c>
      <c r="S21" s="1064" t="s">
        <v>552</v>
      </c>
      <c r="T21" s="1064"/>
      <c r="U21" s="1064"/>
      <c r="V21" s="553" t="s">
        <v>552</v>
      </c>
      <c r="W21" s="553" t="s">
        <v>552</v>
      </c>
      <c r="X21" s="553">
        <v>3</v>
      </c>
      <c r="Y21" s="553">
        <v>3</v>
      </c>
      <c r="Z21" s="553" t="s">
        <v>552</v>
      </c>
      <c r="AA21" s="553"/>
      <c r="AB21" s="553"/>
      <c r="AC21" s="553">
        <v>3</v>
      </c>
      <c r="AD21" s="553">
        <v>3</v>
      </c>
      <c r="AE21" s="553" t="s">
        <v>552</v>
      </c>
      <c r="AF21" s="553"/>
      <c r="AG21" s="503"/>
      <c r="AH21" s="505">
        <v>0</v>
      </c>
      <c r="AI21" s="506">
        <v>37</v>
      </c>
    </row>
    <row r="22" spans="1:37" ht="21.95" customHeight="1" x14ac:dyDescent="0.2">
      <c r="A22" s="501"/>
      <c r="B22" s="152"/>
      <c r="C22" s="553"/>
      <c r="D22" s="553"/>
      <c r="E22" s="553"/>
      <c r="F22" s="553"/>
      <c r="G22" s="553"/>
      <c r="H22" s="553"/>
      <c r="I22" s="553"/>
      <c r="J22" s="553"/>
      <c r="K22" s="553"/>
      <c r="L22" s="553"/>
      <c r="M22" s="553"/>
      <c r="N22" s="553"/>
      <c r="O22" s="553"/>
      <c r="P22" s="553"/>
      <c r="Q22" s="553"/>
      <c r="R22" s="553"/>
      <c r="S22" s="553"/>
      <c r="T22" s="553"/>
      <c r="U22" s="553"/>
      <c r="V22" s="553"/>
      <c r="W22" s="553"/>
      <c r="X22" s="553"/>
      <c r="Y22" s="553"/>
      <c r="Z22" s="553"/>
      <c r="AA22" s="553"/>
      <c r="AB22" s="553"/>
      <c r="AC22" s="553"/>
      <c r="AD22" s="553"/>
      <c r="AE22" s="553"/>
      <c r="AF22" s="55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27" t="s">
        <v>706</v>
      </c>
      <c r="N31" s="1658"/>
      <c r="O31" s="527"/>
      <c r="P31" s="527"/>
      <c r="Q31" s="527"/>
      <c r="R31" s="527"/>
      <c r="S31" s="529"/>
      <c r="T31" s="529" t="s">
        <v>761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thickBot="1" x14ac:dyDescent="0.25">
      <c r="A36" s="547" t="s">
        <v>468</v>
      </c>
      <c r="B36" s="181" t="s">
        <v>469</v>
      </c>
      <c r="C36" s="177">
        <v>1</v>
      </c>
      <c r="D36" s="177">
        <v>2</v>
      </c>
      <c r="E36" s="177">
        <v>3</v>
      </c>
      <c r="F36" s="497">
        <v>4</v>
      </c>
      <c r="G36" s="497">
        <v>5</v>
      </c>
      <c r="H36" s="177">
        <v>6</v>
      </c>
      <c r="I36" s="177">
        <v>7</v>
      </c>
      <c r="J36" s="177">
        <v>8</v>
      </c>
      <c r="K36" s="177">
        <v>9</v>
      </c>
      <c r="L36" s="177">
        <v>10</v>
      </c>
      <c r="M36" s="497">
        <v>11</v>
      </c>
      <c r="N36" s="497">
        <v>12</v>
      </c>
      <c r="O36" s="177">
        <v>13</v>
      </c>
      <c r="P36" s="177">
        <v>14</v>
      </c>
      <c r="Q36" s="177">
        <v>15</v>
      </c>
      <c r="R36" s="177">
        <v>16</v>
      </c>
      <c r="S36" s="177">
        <v>17</v>
      </c>
      <c r="T36" s="497">
        <v>18</v>
      </c>
      <c r="U36" s="497">
        <v>19</v>
      </c>
      <c r="V36" s="177">
        <v>20</v>
      </c>
      <c r="W36" s="177">
        <v>21</v>
      </c>
      <c r="X36" s="177">
        <v>22</v>
      </c>
      <c r="Y36" s="177">
        <v>23</v>
      </c>
      <c r="Z36" s="177">
        <v>24</v>
      </c>
      <c r="AA36" s="497">
        <v>25</v>
      </c>
      <c r="AB36" s="497">
        <v>26</v>
      </c>
      <c r="AC36" s="177">
        <v>27</v>
      </c>
      <c r="AD36" s="177">
        <v>28</v>
      </c>
      <c r="AE36" s="177">
        <v>29</v>
      </c>
      <c r="AF36" s="177"/>
      <c r="AG36" s="177"/>
      <c r="AH36" s="499" t="s">
        <v>470</v>
      </c>
      <c r="AI36" s="500" t="s">
        <v>471</v>
      </c>
    </row>
    <row r="37" spans="1:37" ht="21.95" customHeight="1" x14ac:dyDescent="0.2">
      <c r="A37" s="548">
        <v>1</v>
      </c>
      <c r="B37" s="45" t="s">
        <v>502</v>
      </c>
      <c r="C37" s="549">
        <v>10</v>
      </c>
      <c r="D37" s="549">
        <v>10</v>
      </c>
      <c r="E37" s="549">
        <v>10</v>
      </c>
      <c r="F37" s="549" t="s">
        <v>507</v>
      </c>
      <c r="G37" s="549" t="s">
        <v>507</v>
      </c>
      <c r="H37" s="549" t="s">
        <v>475</v>
      </c>
      <c r="I37" s="1642" t="s">
        <v>552</v>
      </c>
      <c r="J37" s="1486" t="s">
        <v>475</v>
      </c>
      <c r="K37" s="549" t="s">
        <v>475</v>
      </c>
      <c r="L37" s="549" t="s">
        <v>475</v>
      </c>
      <c r="M37" s="549" t="s">
        <v>505</v>
      </c>
      <c r="N37" s="549" t="s">
        <v>505</v>
      </c>
      <c r="O37" s="1664">
        <v>7</v>
      </c>
      <c r="P37" s="549">
        <v>7</v>
      </c>
      <c r="Q37" s="549">
        <v>7</v>
      </c>
      <c r="R37" s="549">
        <v>7</v>
      </c>
      <c r="S37" s="549">
        <v>7</v>
      </c>
      <c r="T37" s="549"/>
      <c r="U37" s="549"/>
      <c r="V37" s="549">
        <v>4</v>
      </c>
      <c r="W37" s="549">
        <v>4</v>
      </c>
      <c r="X37" s="549">
        <v>4</v>
      </c>
      <c r="Y37" s="549">
        <v>4</v>
      </c>
      <c r="Z37" s="549">
        <v>4</v>
      </c>
      <c r="AA37" s="549"/>
      <c r="AB37" s="549"/>
      <c r="AC37" s="549">
        <v>3</v>
      </c>
      <c r="AD37" s="549">
        <v>3</v>
      </c>
      <c r="AE37" s="549">
        <v>3</v>
      </c>
      <c r="AF37" s="549"/>
      <c r="AG37" s="550"/>
      <c r="AH37" s="505">
        <v>56</v>
      </c>
      <c r="AI37" s="506">
        <v>37</v>
      </c>
    </row>
    <row r="38" spans="1:37" ht="21.95" customHeight="1" x14ac:dyDescent="0.2">
      <c r="A38" s="551">
        <v>6</v>
      </c>
      <c r="B38" s="552" t="s">
        <v>506</v>
      </c>
      <c r="C38" s="553">
        <v>11</v>
      </c>
      <c r="D38" s="553">
        <v>11</v>
      </c>
      <c r="E38" s="553">
        <v>11</v>
      </c>
      <c r="F38" s="553" t="s">
        <v>503</v>
      </c>
      <c r="G38" s="1633" t="s">
        <v>503</v>
      </c>
      <c r="H38" s="1633" t="s">
        <v>475</v>
      </c>
      <c r="I38" s="1633" t="s">
        <v>475</v>
      </c>
      <c r="J38" s="1486" t="s">
        <v>475</v>
      </c>
      <c r="K38" s="1633" t="s">
        <v>475</v>
      </c>
      <c r="L38" s="1633" t="s">
        <v>475</v>
      </c>
      <c r="M38" s="553"/>
      <c r="N38" s="553"/>
      <c r="O38" s="553">
        <v>8</v>
      </c>
      <c r="P38" s="553">
        <v>8</v>
      </c>
      <c r="Q38" s="553">
        <v>8</v>
      </c>
      <c r="R38" s="1565">
        <v>8</v>
      </c>
      <c r="S38" s="1565">
        <v>8</v>
      </c>
      <c r="T38" s="553" t="s">
        <v>504</v>
      </c>
      <c r="U38" s="553" t="s">
        <v>504</v>
      </c>
      <c r="V38" s="553" t="s">
        <v>475</v>
      </c>
      <c r="W38" s="553" t="s">
        <v>475</v>
      </c>
      <c r="X38" s="553" t="s">
        <v>475</v>
      </c>
      <c r="Y38" s="1633" t="s">
        <v>475</v>
      </c>
      <c r="Z38" s="553" t="s">
        <v>475</v>
      </c>
      <c r="AA38" s="553"/>
      <c r="AB38" s="553"/>
      <c r="AC38" s="553">
        <v>1</v>
      </c>
      <c r="AD38" s="1642">
        <v>1</v>
      </c>
      <c r="AE38" s="553">
        <v>1</v>
      </c>
      <c r="AF38" s="553"/>
      <c r="AG38" s="554"/>
      <c r="AH38" s="505">
        <v>75</v>
      </c>
      <c r="AI38" s="506">
        <v>37</v>
      </c>
    </row>
    <row r="39" spans="1:37" ht="21.95" customHeight="1" thickBot="1" x14ac:dyDescent="0.25">
      <c r="A39" s="555">
        <v>11</v>
      </c>
      <c r="B39" s="552" t="s">
        <v>589</v>
      </c>
      <c r="C39" s="557">
        <v>9</v>
      </c>
      <c r="D39" s="557">
        <v>9</v>
      </c>
      <c r="E39" s="557">
        <v>9</v>
      </c>
      <c r="F39" s="557" t="s">
        <v>511</v>
      </c>
      <c r="G39" s="557" t="s">
        <v>507</v>
      </c>
      <c r="H39" s="1629" t="s">
        <v>475</v>
      </c>
      <c r="I39" s="1629" t="s">
        <v>475</v>
      </c>
      <c r="J39" s="1629" t="s">
        <v>475</v>
      </c>
      <c r="K39" s="1629" t="s">
        <v>475</v>
      </c>
      <c r="L39" s="1629" t="s">
        <v>475</v>
      </c>
      <c r="M39" s="557"/>
      <c r="N39" s="557"/>
      <c r="O39" s="557">
        <v>6</v>
      </c>
      <c r="P39" s="557">
        <v>6</v>
      </c>
      <c r="Q39" s="557">
        <v>6</v>
      </c>
      <c r="R39" s="557">
        <v>6</v>
      </c>
      <c r="S39" s="557">
        <v>6</v>
      </c>
      <c r="T39" s="557" t="s">
        <v>508</v>
      </c>
      <c r="U39" s="557" t="s">
        <v>504</v>
      </c>
      <c r="V39" s="557" t="s">
        <v>475</v>
      </c>
      <c r="W39" s="557" t="s">
        <v>475</v>
      </c>
      <c r="X39" s="557" t="s">
        <v>475</v>
      </c>
      <c r="Y39" s="1633" t="s">
        <v>475</v>
      </c>
      <c r="Z39" s="557" t="s">
        <v>475</v>
      </c>
      <c r="AA39" s="557"/>
      <c r="AB39" s="557"/>
      <c r="AC39" s="557">
        <v>5</v>
      </c>
      <c r="AD39" s="1643">
        <v>5</v>
      </c>
      <c r="AE39" s="557">
        <v>5</v>
      </c>
      <c r="AF39" s="557"/>
      <c r="AG39" s="558"/>
      <c r="AH39" s="505">
        <v>68</v>
      </c>
      <c r="AI39" s="506">
        <v>37</v>
      </c>
    </row>
    <row r="40" spans="1:37" ht="21.95" customHeight="1" x14ac:dyDescent="0.2">
      <c r="A40" s="548">
        <v>2</v>
      </c>
      <c r="B40" s="45" t="s">
        <v>510</v>
      </c>
      <c r="C40" s="724" t="s">
        <v>475</v>
      </c>
      <c r="D40" s="724" t="s">
        <v>475</v>
      </c>
      <c r="E40" s="724" t="s">
        <v>475</v>
      </c>
      <c r="F40" s="549" t="s">
        <v>505</v>
      </c>
      <c r="G40" s="559" t="s">
        <v>505</v>
      </c>
      <c r="H40" s="1084">
        <v>7</v>
      </c>
      <c r="I40" s="549">
        <v>7</v>
      </c>
      <c r="J40" s="549">
        <v>7</v>
      </c>
      <c r="K40" s="549">
        <v>7</v>
      </c>
      <c r="L40" s="549">
        <v>7</v>
      </c>
      <c r="M40" s="549"/>
      <c r="N40" s="549"/>
      <c r="O40" s="1084">
        <v>4</v>
      </c>
      <c r="P40" s="549">
        <v>4</v>
      </c>
      <c r="Q40" s="549">
        <v>4</v>
      </c>
      <c r="R40" s="549">
        <v>4</v>
      </c>
      <c r="S40" s="549">
        <v>4</v>
      </c>
      <c r="T40" s="559"/>
      <c r="U40" s="559"/>
      <c r="V40" s="1084">
        <v>3</v>
      </c>
      <c r="W40" s="549">
        <v>3</v>
      </c>
      <c r="X40" s="549">
        <v>3</v>
      </c>
      <c r="Y40" s="549">
        <v>3</v>
      </c>
      <c r="Z40" s="549">
        <v>3</v>
      </c>
      <c r="AA40" s="549"/>
      <c r="AB40" s="549"/>
      <c r="AC40" s="1084">
        <v>11</v>
      </c>
      <c r="AD40" s="559">
        <v>11</v>
      </c>
      <c r="AE40" s="549">
        <v>11</v>
      </c>
      <c r="AF40" s="549"/>
      <c r="AG40" s="550"/>
      <c r="AH40" s="696">
        <v>4</v>
      </c>
      <c r="AI40" s="506">
        <v>37</v>
      </c>
    </row>
    <row r="41" spans="1:37" ht="21.95" customHeight="1" x14ac:dyDescent="0.2">
      <c r="A41" s="551">
        <v>7</v>
      </c>
      <c r="B41" s="152" t="s">
        <v>512</v>
      </c>
      <c r="C41" s="553">
        <v>13</v>
      </c>
      <c r="D41" s="553" t="s">
        <v>475</v>
      </c>
      <c r="E41" s="553" t="s">
        <v>475</v>
      </c>
      <c r="F41" s="553"/>
      <c r="G41" s="553"/>
      <c r="H41" s="553" t="s">
        <v>475</v>
      </c>
      <c r="I41" s="553">
        <v>8</v>
      </c>
      <c r="J41" s="1486">
        <v>8</v>
      </c>
      <c r="K41" s="553">
        <v>8</v>
      </c>
      <c r="L41" s="553">
        <v>8</v>
      </c>
      <c r="M41" s="553" t="s">
        <v>504</v>
      </c>
      <c r="N41" s="553" t="s">
        <v>504</v>
      </c>
      <c r="O41" s="553" t="s">
        <v>475</v>
      </c>
      <c r="P41" s="553" t="s">
        <v>475</v>
      </c>
      <c r="Q41" s="553" t="s">
        <v>475</v>
      </c>
      <c r="R41" s="553" t="s">
        <v>475</v>
      </c>
      <c r="S41" s="553" t="s">
        <v>475</v>
      </c>
      <c r="T41" s="553"/>
      <c r="U41" s="553"/>
      <c r="V41" s="553">
        <v>1</v>
      </c>
      <c r="W41" s="553">
        <v>1</v>
      </c>
      <c r="X41" s="553">
        <v>1</v>
      </c>
      <c r="Y41" s="553">
        <v>1</v>
      </c>
      <c r="Z41" s="553">
        <v>1</v>
      </c>
      <c r="AA41" s="553"/>
      <c r="AB41" s="553"/>
      <c r="AC41" s="553">
        <v>9</v>
      </c>
      <c r="AD41" s="553">
        <v>9</v>
      </c>
      <c r="AE41" s="553">
        <v>9</v>
      </c>
      <c r="AF41" s="553"/>
      <c r="AG41" s="554"/>
      <c r="AH41" s="505">
        <v>16</v>
      </c>
      <c r="AI41" s="506">
        <v>37</v>
      </c>
    </row>
    <row r="42" spans="1:37" ht="21.95" customHeight="1" thickBot="1" x14ac:dyDescent="0.25">
      <c r="A42" s="555">
        <v>12</v>
      </c>
      <c r="B42" s="560" t="s">
        <v>514</v>
      </c>
      <c r="C42" s="1486" t="s">
        <v>475</v>
      </c>
      <c r="D42" s="557" t="s">
        <v>475</v>
      </c>
      <c r="E42" s="557" t="s">
        <v>475</v>
      </c>
      <c r="F42" s="557"/>
      <c r="G42" s="557"/>
      <c r="H42" s="557">
        <v>6</v>
      </c>
      <c r="I42" s="1642">
        <v>6</v>
      </c>
      <c r="J42" s="557">
        <v>6</v>
      </c>
      <c r="K42" s="557">
        <v>6</v>
      </c>
      <c r="L42" s="557">
        <v>6</v>
      </c>
      <c r="M42" s="557" t="s">
        <v>508</v>
      </c>
      <c r="N42" s="557" t="s">
        <v>504</v>
      </c>
      <c r="O42" s="557" t="s">
        <v>475</v>
      </c>
      <c r="P42" s="557" t="s">
        <v>475</v>
      </c>
      <c r="Q42" s="557" t="s">
        <v>475</v>
      </c>
      <c r="R42" s="557" t="s">
        <v>475</v>
      </c>
      <c r="S42" s="557" t="s">
        <v>475</v>
      </c>
      <c r="T42" s="557"/>
      <c r="U42" s="557"/>
      <c r="V42" s="557">
        <v>5</v>
      </c>
      <c r="W42" s="557">
        <v>5</v>
      </c>
      <c r="X42" s="557">
        <v>5</v>
      </c>
      <c r="Y42" s="557">
        <v>5</v>
      </c>
      <c r="Z42" s="557">
        <v>5</v>
      </c>
      <c r="AA42" s="557"/>
      <c r="AB42" s="557"/>
      <c r="AC42" s="557">
        <v>10</v>
      </c>
      <c r="AD42" s="557">
        <v>10</v>
      </c>
      <c r="AE42" s="557">
        <v>10</v>
      </c>
      <c r="AF42" s="557"/>
      <c r="AG42" s="558"/>
      <c r="AH42" s="696">
        <v>0</v>
      </c>
      <c r="AI42" s="506">
        <v>18</v>
      </c>
    </row>
    <row r="43" spans="1:37" ht="21.95" customHeight="1" x14ac:dyDescent="0.2">
      <c r="A43" s="561">
        <v>3</v>
      </c>
      <c r="B43" s="562" t="s">
        <v>515</v>
      </c>
      <c r="C43" s="549">
        <v>7</v>
      </c>
      <c r="D43" s="549">
        <v>7</v>
      </c>
      <c r="E43" s="514">
        <v>7</v>
      </c>
      <c r="F43" s="514"/>
      <c r="G43" s="514"/>
      <c r="H43" s="514">
        <v>4</v>
      </c>
      <c r="I43" s="514">
        <v>4</v>
      </c>
      <c r="J43" s="1486">
        <v>4</v>
      </c>
      <c r="K43" s="514">
        <v>4</v>
      </c>
      <c r="L43" s="514">
        <v>4</v>
      </c>
      <c r="M43" s="514"/>
      <c r="N43" s="514"/>
      <c r="O43" s="514">
        <v>3</v>
      </c>
      <c r="P43" s="514">
        <v>3</v>
      </c>
      <c r="Q43" s="514">
        <v>3</v>
      </c>
      <c r="R43" s="563">
        <v>3</v>
      </c>
      <c r="S43" s="514">
        <v>3</v>
      </c>
      <c r="T43" s="514"/>
      <c r="U43" s="514"/>
      <c r="V43" s="514">
        <v>11</v>
      </c>
      <c r="W43" s="514">
        <v>11</v>
      </c>
      <c r="X43" s="1534" t="s">
        <v>738</v>
      </c>
      <c r="Y43" s="1568">
        <v>11</v>
      </c>
      <c r="Z43" s="1568">
        <v>11</v>
      </c>
      <c r="AA43" s="1568" t="s">
        <v>503</v>
      </c>
      <c r="AB43" s="1568" t="s">
        <v>503</v>
      </c>
      <c r="AC43" s="514" t="s">
        <v>475</v>
      </c>
      <c r="AD43" s="514" t="s">
        <v>475</v>
      </c>
      <c r="AE43" s="514" t="s">
        <v>475</v>
      </c>
      <c r="AF43" s="514"/>
      <c r="AG43" s="564"/>
      <c r="AH43" s="505">
        <v>1</v>
      </c>
      <c r="AI43" s="506">
        <v>37</v>
      </c>
    </row>
    <row r="44" spans="1:37" ht="21.95" customHeight="1" x14ac:dyDescent="0.2">
      <c r="A44" s="551">
        <v>8</v>
      </c>
      <c r="B44" s="318" t="s">
        <v>516</v>
      </c>
      <c r="C44" s="1486">
        <v>8</v>
      </c>
      <c r="D44" s="553">
        <v>8</v>
      </c>
      <c r="E44" s="553">
        <v>8</v>
      </c>
      <c r="F44" s="553" t="s">
        <v>504</v>
      </c>
      <c r="G44" s="553" t="s">
        <v>504</v>
      </c>
      <c r="H44" s="553" t="s">
        <v>475</v>
      </c>
      <c r="I44" s="553" t="s">
        <v>475</v>
      </c>
      <c r="J44" s="553" t="s">
        <v>475</v>
      </c>
      <c r="K44" s="553" t="s">
        <v>475</v>
      </c>
      <c r="L44" s="553" t="s">
        <v>475</v>
      </c>
      <c r="M44" s="553"/>
      <c r="N44" s="553"/>
      <c r="O44" s="553">
        <v>1</v>
      </c>
      <c r="P44" s="553">
        <v>1</v>
      </c>
      <c r="Q44" s="565">
        <v>1</v>
      </c>
      <c r="R44" s="553">
        <v>1</v>
      </c>
      <c r="S44" s="566">
        <v>1</v>
      </c>
      <c r="T44" s="553"/>
      <c r="U44" s="553"/>
      <c r="V44" s="1064">
        <v>9</v>
      </c>
      <c r="W44" s="1064">
        <v>9</v>
      </c>
      <c r="X44" s="1064">
        <v>9</v>
      </c>
      <c r="Y44" s="1064">
        <v>9</v>
      </c>
      <c r="Z44" s="1064">
        <v>9</v>
      </c>
      <c r="AA44" s="1064" t="s">
        <v>511</v>
      </c>
      <c r="AB44" s="1064" t="s">
        <v>511</v>
      </c>
      <c r="AC44" s="553" t="s">
        <v>475</v>
      </c>
      <c r="AD44" s="553" t="s">
        <v>475</v>
      </c>
      <c r="AE44" s="553" t="s">
        <v>475</v>
      </c>
      <c r="AF44" s="553"/>
      <c r="AG44" s="554"/>
      <c r="AH44" s="505">
        <v>0</v>
      </c>
      <c r="AI44" s="506">
        <v>0</v>
      </c>
    </row>
    <row r="45" spans="1:37" ht="21.95" customHeight="1" thickBot="1" x14ac:dyDescent="0.25">
      <c r="A45" s="555">
        <v>13</v>
      </c>
      <c r="B45" s="52" t="s">
        <v>517</v>
      </c>
      <c r="C45" s="1486">
        <v>6</v>
      </c>
      <c r="D45" s="557">
        <v>6</v>
      </c>
      <c r="E45" s="557">
        <v>6</v>
      </c>
      <c r="F45" s="557" t="s">
        <v>508</v>
      </c>
      <c r="G45" s="1522" t="s">
        <v>504</v>
      </c>
      <c r="H45" s="557" t="s">
        <v>475</v>
      </c>
      <c r="I45" s="557" t="s">
        <v>475</v>
      </c>
      <c r="J45" s="557" t="s">
        <v>475</v>
      </c>
      <c r="K45" s="557" t="s">
        <v>475</v>
      </c>
      <c r="L45" s="557" t="s">
        <v>475</v>
      </c>
      <c r="M45" s="557"/>
      <c r="N45" s="557"/>
      <c r="O45" s="1522">
        <v>5</v>
      </c>
      <c r="P45" s="1522">
        <v>5</v>
      </c>
      <c r="Q45" s="1522">
        <v>5</v>
      </c>
      <c r="R45" s="1647">
        <v>5</v>
      </c>
      <c r="S45" s="1522">
        <v>5</v>
      </c>
      <c r="T45" s="557"/>
      <c r="U45" s="557"/>
      <c r="V45" s="557">
        <v>10</v>
      </c>
      <c r="W45" s="1662">
        <v>10</v>
      </c>
      <c r="X45" s="557">
        <v>10</v>
      </c>
      <c r="Y45" s="557">
        <v>10</v>
      </c>
      <c r="Z45" s="557">
        <v>10</v>
      </c>
      <c r="AA45" s="557" t="s">
        <v>507</v>
      </c>
      <c r="AB45" s="557" t="s">
        <v>507</v>
      </c>
      <c r="AC45" s="557" t="s">
        <v>475</v>
      </c>
      <c r="AD45" s="557" t="s">
        <v>475</v>
      </c>
      <c r="AE45" s="557" t="s">
        <v>475</v>
      </c>
      <c r="AF45" s="557"/>
      <c r="AG45" s="558"/>
      <c r="AH45" s="505">
        <v>56</v>
      </c>
      <c r="AI45" s="506">
        <v>37</v>
      </c>
    </row>
    <row r="46" spans="1:37" ht="21.95" customHeight="1" x14ac:dyDescent="0.2">
      <c r="A46" s="561">
        <v>4</v>
      </c>
      <c r="B46" s="318" t="s">
        <v>518</v>
      </c>
      <c r="C46" s="1486">
        <v>4</v>
      </c>
      <c r="D46" s="514">
        <v>4</v>
      </c>
      <c r="E46" s="1551">
        <v>4</v>
      </c>
      <c r="F46" s="1551" t="s">
        <v>513</v>
      </c>
      <c r="G46" s="1551" t="s">
        <v>513</v>
      </c>
      <c r="H46" s="514">
        <v>3</v>
      </c>
      <c r="I46" s="514">
        <v>3</v>
      </c>
      <c r="J46" s="514">
        <v>3</v>
      </c>
      <c r="K46" s="514">
        <v>3</v>
      </c>
      <c r="L46" s="514">
        <v>3</v>
      </c>
      <c r="M46" s="514"/>
      <c r="N46" s="514"/>
      <c r="O46" s="1066">
        <v>11</v>
      </c>
      <c r="P46" s="1066">
        <v>11</v>
      </c>
      <c r="Q46" s="1066">
        <v>11</v>
      </c>
      <c r="R46" s="1066">
        <v>11</v>
      </c>
      <c r="S46" s="1066">
        <v>11</v>
      </c>
      <c r="T46" s="1066" t="s">
        <v>503</v>
      </c>
      <c r="U46" s="1066" t="s">
        <v>503</v>
      </c>
      <c r="V46" s="514" t="s">
        <v>475</v>
      </c>
      <c r="W46" s="514" t="s">
        <v>475</v>
      </c>
      <c r="X46" s="514" t="s">
        <v>475</v>
      </c>
      <c r="Y46" s="514" t="s">
        <v>475</v>
      </c>
      <c r="Z46" s="514" t="s">
        <v>475</v>
      </c>
      <c r="AA46" s="514"/>
      <c r="AB46" s="514"/>
      <c r="AC46" s="514">
        <v>8</v>
      </c>
      <c r="AD46" s="514">
        <v>8</v>
      </c>
      <c r="AE46" s="514">
        <v>8</v>
      </c>
      <c r="AF46" s="514"/>
      <c r="AG46" s="515"/>
      <c r="AH46" s="505">
        <v>75</v>
      </c>
      <c r="AI46" s="506">
        <v>0</v>
      </c>
    </row>
    <row r="47" spans="1:37" ht="21.95" customHeight="1" x14ac:dyDescent="0.2">
      <c r="A47" s="551">
        <v>9</v>
      </c>
      <c r="B47" s="318" t="s">
        <v>519</v>
      </c>
      <c r="C47" s="553" t="s">
        <v>475</v>
      </c>
      <c r="D47" s="553" t="s">
        <v>475</v>
      </c>
      <c r="E47" s="553" t="s">
        <v>475</v>
      </c>
      <c r="F47" s="553"/>
      <c r="G47" s="553"/>
      <c r="H47" s="553">
        <v>1</v>
      </c>
      <c r="I47" s="553">
        <v>1</v>
      </c>
      <c r="J47" s="1486">
        <v>1</v>
      </c>
      <c r="K47" s="553">
        <v>1</v>
      </c>
      <c r="L47" s="553">
        <v>1</v>
      </c>
      <c r="M47" s="553"/>
      <c r="N47" s="553"/>
      <c r="O47" s="553">
        <v>9</v>
      </c>
      <c r="P47" s="553">
        <v>9</v>
      </c>
      <c r="Q47" s="553">
        <v>9</v>
      </c>
      <c r="R47" s="553">
        <v>9</v>
      </c>
      <c r="S47" s="553">
        <v>9</v>
      </c>
      <c r="T47" s="553" t="s">
        <v>511</v>
      </c>
      <c r="U47" s="553" t="s">
        <v>507</v>
      </c>
      <c r="V47" s="553" t="s">
        <v>475</v>
      </c>
      <c r="W47" s="553" t="s">
        <v>475</v>
      </c>
      <c r="X47" s="553" t="s">
        <v>475</v>
      </c>
      <c r="Y47" s="1633" t="s">
        <v>475</v>
      </c>
      <c r="Z47" s="553" t="s">
        <v>475</v>
      </c>
      <c r="AA47" s="553"/>
      <c r="AB47" s="553"/>
      <c r="AC47" s="553">
        <v>6</v>
      </c>
      <c r="AD47" s="1642">
        <v>6</v>
      </c>
      <c r="AE47" s="553">
        <v>6</v>
      </c>
      <c r="AF47" s="553"/>
      <c r="AG47" s="565"/>
      <c r="AH47" s="505">
        <v>1</v>
      </c>
      <c r="AI47" s="506">
        <v>37</v>
      </c>
    </row>
    <row r="48" spans="1:37" ht="21.95" customHeight="1" thickBot="1" x14ac:dyDescent="0.25">
      <c r="A48" s="555">
        <v>14</v>
      </c>
      <c r="B48" s="560" t="s">
        <v>520</v>
      </c>
      <c r="C48" s="1486" t="s">
        <v>475</v>
      </c>
      <c r="D48" s="557" t="s">
        <v>475</v>
      </c>
      <c r="E48" s="557" t="s">
        <v>475</v>
      </c>
      <c r="F48" s="557"/>
      <c r="G48" s="557"/>
      <c r="H48" s="1061">
        <v>5</v>
      </c>
      <c r="I48" s="1061">
        <v>5</v>
      </c>
      <c r="J48" s="1061">
        <v>5</v>
      </c>
      <c r="K48" s="1061">
        <v>5</v>
      </c>
      <c r="L48" s="1061">
        <v>5</v>
      </c>
      <c r="M48" s="1061"/>
      <c r="N48" s="1061"/>
      <c r="O48" s="557">
        <v>10</v>
      </c>
      <c r="P48" s="557">
        <v>10</v>
      </c>
      <c r="Q48" s="557">
        <v>10</v>
      </c>
      <c r="R48" s="557">
        <v>10</v>
      </c>
      <c r="S48" s="557">
        <v>10</v>
      </c>
      <c r="T48" s="557" t="s">
        <v>507</v>
      </c>
      <c r="U48" s="557" t="s">
        <v>507</v>
      </c>
      <c r="V48" s="557" t="s">
        <v>475</v>
      </c>
      <c r="W48" s="557" t="s">
        <v>475</v>
      </c>
      <c r="X48" s="557" t="s">
        <v>475</v>
      </c>
      <c r="Y48" s="557" t="s">
        <v>475</v>
      </c>
      <c r="Z48" s="557" t="s">
        <v>475</v>
      </c>
      <c r="AA48" s="557" t="s">
        <v>505</v>
      </c>
      <c r="AB48" s="557" t="s">
        <v>505</v>
      </c>
      <c r="AC48" s="557">
        <v>7</v>
      </c>
      <c r="AD48" s="557">
        <v>7</v>
      </c>
      <c r="AE48" s="557">
        <v>7</v>
      </c>
      <c r="AF48" s="557"/>
      <c r="AG48" s="568"/>
      <c r="AH48" s="505">
        <v>48</v>
      </c>
      <c r="AI48" s="506">
        <v>37</v>
      </c>
    </row>
    <row r="49" spans="1:35" ht="21.95" customHeight="1" x14ac:dyDescent="0.2">
      <c r="A49" s="548">
        <v>5</v>
      </c>
      <c r="B49" s="552" t="s">
        <v>521</v>
      </c>
      <c r="C49" s="549">
        <v>3</v>
      </c>
      <c r="D49" s="549" t="s">
        <v>552</v>
      </c>
      <c r="E49" s="549">
        <v>3</v>
      </c>
      <c r="F49" s="549"/>
      <c r="G49" s="549"/>
      <c r="H49" s="549">
        <v>11</v>
      </c>
      <c r="I49" s="549">
        <v>11</v>
      </c>
      <c r="J49" s="549">
        <v>11</v>
      </c>
      <c r="K49" s="549">
        <v>11</v>
      </c>
      <c r="L49" s="1666">
        <v>11</v>
      </c>
      <c r="M49" s="549" t="s">
        <v>503</v>
      </c>
      <c r="N49" s="549" t="s">
        <v>503</v>
      </c>
      <c r="O49" s="549" t="s">
        <v>475</v>
      </c>
      <c r="P49" s="549" t="s">
        <v>475</v>
      </c>
      <c r="Q49" s="549" t="s">
        <v>475</v>
      </c>
      <c r="R49" s="549" t="s">
        <v>475</v>
      </c>
      <c r="S49" s="549" t="s">
        <v>475</v>
      </c>
      <c r="T49" s="549"/>
      <c r="U49" s="549"/>
      <c r="V49" s="549">
        <v>8</v>
      </c>
      <c r="W49" s="549">
        <v>8</v>
      </c>
      <c r="X49" s="1686">
        <v>8</v>
      </c>
      <c r="Y49" s="549">
        <v>8</v>
      </c>
      <c r="Z49" s="549">
        <v>8</v>
      </c>
      <c r="AA49" s="549" t="s">
        <v>504</v>
      </c>
      <c r="AB49" s="549" t="s">
        <v>504</v>
      </c>
      <c r="AC49" s="549" t="s">
        <v>475</v>
      </c>
      <c r="AD49" s="549" t="s">
        <v>475</v>
      </c>
      <c r="AE49" s="569" t="s">
        <v>475</v>
      </c>
      <c r="AF49" s="549"/>
      <c r="AG49" s="569"/>
      <c r="AH49" s="505">
        <v>40</v>
      </c>
      <c r="AI49" s="506">
        <v>0</v>
      </c>
    </row>
    <row r="50" spans="1:35" ht="21.95" customHeight="1" x14ac:dyDescent="0.2">
      <c r="A50" s="551">
        <v>10</v>
      </c>
      <c r="B50" s="318" t="s">
        <v>523</v>
      </c>
      <c r="C50" s="1486">
        <v>1</v>
      </c>
      <c r="D50" s="553">
        <v>1</v>
      </c>
      <c r="E50" s="553">
        <v>1</v>
      </c>
      <c r="F50" s="553"/>
      <c r="G50" s="553"/>
      <c r="H50" s="553">
        <v>9</v>
      </c>
      <c r="I50" s="553">
        <v>9</v>
      </c>
      <c r="J50" s="553">
        <v>9</v>
      </c>
      <c r="K50" s="553">
        <v>9</v>
      </c>
      <c r="L50" s="553">
        <v>9</v>
      </c>
      <c r="M50" s="553" t="s">
        <v>511</v>
      </c>
      <c r="N50" s="553" t="s">
        <v>507</v>
      </c>
      <c r="O50" s="553" t="s">
        <v>475</v>
      </c>
      <c r="P50" s="553" t="s">
        <v>475</v>
      </c>
      <c r="Q50" s="553" t="s">
        <v>475</v>
      </c>
      <c r="R50" s="553" t="s">
        <v>475</v>
      </c>
      <c r="S50" s="553" t="s">
        <v>475</v>
      </c>
      <c r="T50" s="553"/>
      <c r="U50" s="553"/>
      <c r="V50" s="553">
        <v>6</v>
      </c>
      <c r="W50" s="553">
        <v>6</v>
      </c>
      <c r="X50" s="553">
        <v>6</v>
      </c>
      <c r="Y50" s="553">
        <v>6</v>
      </c>
      <c r="Z50" s="553">
        <v>6</v>
      </c>
      <c r="AA50" s="553" t="s">
        <v>508</v>
      </c>
      <c r="AB50" s="553" t="s">
        <v>504</v>
      </c>
      <c r="AC50" s="553" t="s">
        <v>475</v>
      </c>
      <c r="AD50" s="553" t="s">
        <v>475</v>
      </c>
      <c r="AE50" s="565" t="s">
        <v>475</v>
      </c>
      <c r="AF50" s="553"/>
      <c r="AG50" s="565"/>
      <c r="AH50" s="505">
        <v>23</v>
      </c>
      <c r="AI50" s="506">
        <v>37</v>
      </c>
    </row>
    <row r="51" spans="1:35" ht="21.95" customHeight="1" thickBot="1" x14ac:dyDescent="0.25">
      <c r="A51" s="555">
        <v>15</v>
      </c>
      <c r="B51" s="52" t="s">
        <v>524</v>
      </c>
      <c r="C51" s="1061">
        <v>5</v>
      </c>
      <c r="D51" s="1061">
        <v>5</v>
      </c>
      <c r="E51" s="1061">
        <v>5</v>
      </c>
      <c r="F51" s="1061"/>
      <c r="G51" s="1061"/>
      <c r="H51" s="557">
        <v>10</v>
      </c>
      <c r="I51" s="1642" t="s">
        <v>552</v>
      </c>
      <c r="J51" s="557">
        <v>10</v>
      </c>
      <c r="K51" s="557">
        <v>10</v>
      </c>
      <c r="L51" s="557">
        <v>10</v>
      </c>
      <c r="M51" s="557" t="s">
        <v>507</v>
      </c>
      <c r="N51" s="557" t="s">
        <v>507</v>
      </c>
      <c r="O51" s="557" t="s">
        <v>475</v>
      </c>
      <c r="P51" s="557" t="s">
        <v>475</v>
      </c>
      <c r="Q51" s="557" t="s">
        <v>475</v>
      </c>
      <c r="R51" s="557" t="s">
        <v>475</v>
      </c>
      <c r="S51" s="557" t="s">
        <v>475</v>
      </c>
      <c r="T51" s="557" t="s">
        <v>505</v>
      </c>
      <c r="U51" s="557" t="s">
        <v>505</v>
      </c>
      <c r="V51" s="557">
        <v>7</v>
      </c>
      <c r="W51" s="557">
        <v>7</v>
      </c>
      <c r="X51" s="557">
        <v>7</v>
      </c>
      <c r="Y51" s="557">
        <v>7</v>
      </c>
      <c r="Z51" s="557">
        <v>7</v>
      </c>
      <c r="AA51" s="557"/>
      <c r="AB51" s="557"/>
      <c r="AC51" s="557">
        <v>4</v>
      </c>
      <c r="AD51" s="557">
        <v>4</v>
      </c>
      <c r="AE51" s="568">
        <v>4</v>
      </c>
      <c r="AF51" s="557"/>
      <c r="AG51" s="568"/>
      <c r="AH51" s="651">
        <v>0</v>
      </c>
      <c r="AI51" s="523">
        <v>27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AE53" s="546"/>
      <c r="AF53" s="546"/>
      <c r="AG53" s="546"/>
      <c r="AH53" s="1"/>
    </row>
    <row r="54" spans="1:35" ht="21.95" customHeight="1" x14ac:dyDescent="0.2">
      <c r="A54" s="524"/>
      <c r="AE54" s="546"/>
      <c r="AF54" s="546"/>
      <c r="AG54" s="546"/>
      <c r="AH54" s="1"/>
    </row>
    <row r="55" spans="1:35" ht="21.95" customHeight="1" x14ac:dyDescent="0.2">
      <c r="A55" s="524"/>
      <c r="AE55" s="360"/>
      <c r="AF55" s="360"/>
      <c r="AG55" s="360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170" t="s">
        <v>106</v>
      </c>
      <c r="C58" s="318" t="s">
        <v>295</v>
      </c>
      <c r="D58" s="152"/>
      <c r="E58" s="152"/>
      <c r="F58" s="318" t="s">
        <v>295</v>
      </c>
      <c r="G58" s="714"/>
      <c r="H58" s="152"/>
      <c r="I58" s="318" t="s">
        <v>295</v>
      </c>
      <c r="J58" s="152"/>
      <c r="K58" s="152"/>
      <c r="L58" s="318" t="s">
        <v>295</v>
      </c>
      <c r="M58" s="152"/>
      <c r="N58" s="152"/>
      <c r="O58" s="318" t="s">
        <v>67</v>
      </c>
      <c r="P58" s="152"/>
      <c r="Q58" s="152"/>
      <c r="R58" s="154"/>
      <c r="S58" s="156"/>
      <c r="T58" s="488"/>
      <c r="U58" s="154"/>
      <c r="V58" s="156"/>
      <c r="W58" s="488"/>
      <c r="X58" s="154"/>
      <c r="Y58" s="156">
        <v>37</v>
      </c>
      <c r="Z58" s="700"/>
      <c r="AA58" s="489"/>
      <c r="AE58" s="360"/>
      <c r="AF58" s="360"/>
      <c r="AG58" s="360"/>
    </row>
    <row r="59" spans="1:35" ht="21.95" customHeight="1" x14ac:dyDescent="0.2">
      <c r="A59" s="1"/>
      <c r="B59" s="47"/>
      <c r="C59" s="57"/>
      <c r="D59" s="53"/>
      <c r="E59" s="541"/>
      <c r="F59" s="57"/>
      <c r="G59" s="583"/>
      <c r="H59" s="53"/>
      <c r="I59" s="57"/>
      <c r="J59" s="53"/>
      <c r="K59" s="541"/>
      <c r="L59" s="57"/>
      <c r="M59" s="53"/>
      <c r="N59" s="541"/>
      <c r="O59" s="57"/>
      <c r="P59" s="53"/>
      <c r="Q59" s="541"/>
      <c r="R59" s="581"/>
      <c r="S59" s="53"/>
      <c r="T59" s="541"/>
      <c r="U59" s="581"/>
      <c r="V59" s="53"/>
      <c r="W59" s="541"/>
      <c r="X59" s="581"/>
      <c r="Y59" s="53"/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177">
        <v>1</v>
      </c>
      <c r="D61" s="177">
        <v>2</v>
      </c>
      <c r="E61" s="177">
        <v>3</v>
      </c>
      <c r="F61" s="497">
        <v>4</v>
      </c>
      <c r="G61" s="497">
        <v>5</v>
      </c>
      <c r="H61" s="177">
        <v>6</v>
      </c>
      <c r="I61" s="177">
        <v>7</v>
      </c>
      <c r="J61" s="177">
        <v>8</v>
      </c>
      <c r="K61" s="177">
        <v>9</v>
      </c>
      <c r="L61" s="177">
        <v>10</v>
      </c>
      <c r="M61" s="497">
        <v>11</v>
      </c>
      <c r="N61" s="497">
        <v>12</v>
      </c>
      <c r="O61" s="177">
        <v>13</v>
      </c>
      <c r="P61" s="177">
        <v>14</v>
      </c>
      <c r="Q61" s="177">
        <v>15</v>
      </c>
      <c r="R61" s="177">
        <v>16</v>
      </c>
      <c r="S61" s="177">
        <v>17</v>
      </c>
      <c r="T61" s="497">
        <v>18</v>
      </c>
      <c r="U61" s="497">
        <v>19</v>
      </c>
      <c r="V61" s="177">
        <v>20</v>
      </c>
      <c r="W61" s="177">
        <v>21</v>
      </c>
      <c r="X61" s="177">
        <v>22</v>
      </c>
      <c r="Y61" s="177">
        <v>23</v>
      </c>
      <c r="Z61" s="177">
        <v>24</v>
      </c>
      <c r="AA61" s="497">
        <v>25</v>
      </c>
      <c r="AB61" s="497">
        <v>26</v>
      </c>
      <c r="AC61" s="177">
        <v>27</v>
      </c>
      <c r="AD61" s="177">
        <v>28</v>
      </c>
      <c r="AE61" s="177">
        <v>29</v>
      </c>
      <c r="AF61" s="177"/>
      <c r="AG61" s="177"/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 t="s">
        <v>529</v>
      </c>
      <c r="D62" s="587" t="s">
        <v>529</v>
      </c>
      <c r="E62" s="587" t="s">
        <v>529</v>
      </c>
      <c r="F62" s="587"/>
      <c r="G62" s="587"/>
      <c r="H62" s="587" t="s">
        <v>529</v>
      </c>
      <c r="I62" s="587" t="s">
        <v>529</v>
      </c>
      <c r="J62" s="587" t="s">
        <v>529</v>
      </c>
      <c r="K62" s="587" t="s">
        <v>529</v>
      </c>
      <c r="L62" s="587" t="s">
        <v>529</v>
      </c>
      <c r="M62" s="587"/>
      <c r="N62" s="587"/>
      <c r="O62" s="587" t="s">
        <v>529</v>
      </c>
      <c r="P62" s="587" t="s">
        <v>529</v>
      </c>
      <c r="Q62" s="587" t="s">
        <v>529</v>
      </c>
      <c r="R62" s="587" t="s">
        <v>529</v>
      </c>
      <c r="S62" s="587" t="s">
        <v>529</v>
      </c>
      <c r="T62" s="587"/>
      <c r="U62" s="587"/>
      <c r="V62" s="587" t="s">
        <v>529</v>
      </c>
      <c r="W62" s="587" t="s">
        <v>529</v>
      </c>
      <c r="X62" s="587" t="s">
        <v>529</v>
      </c>
      <c r="Y62" s="587" t="s">
        <v>529</v>
      </c>
      <c r="Z62" s="587" t="s">
        <v>529</v>
      </c>
      <c r="AA62" s="587"/>
      <c r="AB62" s="587"/>
      <c r="AC62" s="587" t="s">
        <v>529</v>
      </c>
      <c r="AD62" s="587" t="s">
        <v>529</v>
      </c>
      <c r="AE62" s="587" t="s">
        <v>529</v>
      </c>
      <c r="AF62" s="587"/>
      <c r="AG62" s="588"/>
      <c r="AH62" s="505">
        <v>185</v>
      </c>
      <c r="AI62" s="506">
        <v>37</v>
      </c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>
        <v>185</v>
      </c>
      <c r="AI63" s="506">
        <v>37</v>
      </c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thickBot="1" x14ac:dyDescent="0.25">
      <c r="A65" s="589"/>
      <c r="C65" s="590"/>
      <c r="D65" s="590"/>
      <c r="E65" s="590"/>
      <c r="F65" s="590"/>
      <c r="G65" s="590"/>
      <c r="H65" s="590"/>
      <c r="I65" s="590"/>
      <c r="J65" s="590"/>
      <c r="K65" s="590"/>
      <c r="L65" s="590"/>
      <c r="M65" s="590"/>
      <c r="N65" s="590"/>
      <c r="O65" s="590"/>
      <c r="P65" s="590"/>
      <c r="Q65" s="590"/>
      <c r="R65" s="590"/>
      <c r="S65" s="590"/>
      <c r="T65" s="590"/>
      <c r="U65" s="590"/>
      <c r="V65" s="590"/>
      <c r="W65" s="590"/>
      <c r="X65" s="590"/>
      <c r="Y65" s="590"/>
      <c r="Z65" s="590"/>
      <c r="AA65" s="590"/>
      <c r="AB65" s="590"/>
      <c r="AC65" s="590"/>
      <c r="AD65" s="590"/>
      <c r="AE65" s="590"/>
      <c r="AF65" s="590"/>
      <c r="AG65" s="590"/>
      <c r="AH65" s="591"/>
      <c r="AI65" s="591"/>
    </row>
    <row r="66" spans="1:35" ht="21.95" customHeight="1" x14ac:dyDescent="0.2">
      <c r="A66" s="360"/>
      <c r="B66" s="23" t="s">
        <v>532</v>
      </c>
      <c r="C66" s="7"/>
      <c r="D66" s="413" t="s">
        <v>2</v>
      </c>
      <c r="E66" s="572"/>
      <c r="F66" s="7"/>
      <c r="G66" s="6" t="s">
        <v>3</v>
      </c>
      <c r="H66" s="573"/>
      <c r="I66" s="118"/>
      <c r="J66" s="6" t="s">
        <v>4</v>
      </c>
      <c r="K66" s="412"/>
      <c r="L66" s="118"/>
      <c r="M66" s="119" t="s">
        <v>5</v>
      </c>
      <c r="N66" s="412"/>
      <c r="O66" s="118"/>
      <c r="P66" s="6" t="s">
        <v>6</v>
      </c>
      <c r="Q66" s="574"/>
      <c r="R66" s="118"/>
      <c r="S66" s="6" t="s">
        <v>7</v>
      </c>
      <c r="T66" s="575"/>
      <c r="U66" s="118"/>
      <c r="V66" s="6" t="s">
        <v>8</v>
      </c>
      <c r="W66" s="574"/>
      <c r="X66" s="348" t="s">
        <v>9</v>
      </c>
      <c r="Y66" s="593"/>
      <c r="Z66" s="593"/>
      <c r="AA66" s="594"/>
      <c r="AB66" s="27" t="s">
        <v>10</v>
      </c>
      <c r="AC66" s="576"/>
      <c r="AD66" s="576"/>
      <c r="AE66" s="595"/>
      <c r="AF66" s="595"/>
      <c r="AG66" s="596"/>
    </row>
    <row r="67" spans="1:35" ht="21.95" customHeight="1" x14ac:dyDescent="0.2">
      <c r="A67" s="360"/>
      <c r="B67" s="305" t="s">
        <v>533</v>
      </c>
      <c r="C67" s="598" t="s">
        <v>534</v>
      </c>
      <c r="D67" s="482"/>
      <c r="E67" s="483"/>
      <c r="F67" s="598" t="s">
        <v>534</v>
      </c>
      <c r="G67" s="482"/>
      <c r="H67" s="483"/>
      <c r="I67" s="598" t="s">
        <v>534</v>
      </c>
      <c r="J67" s="482"/>
      <c r="K67" s="483"/>
      <c r="L67" s="598" t="s">
        <v>534</v>
      </c>
      <c r="M67" s="482"/>
      <c r="N67" s="483"/>
      <c r="O67" s="598" t="s">
        <v>116</v>
      </c>
      <c r="P67" s="482"/>
      <c r="Q67" s="483"/>
      <c r="R67" s="598"/>
      <c r="S67" s="482"/>
      <c r="T67" s="483"/>
      <c r="U67" s="598"/>
      <c r="V67" s="482"/>
      <c r="W67" s="483"/>
      <c r="X67" s="598"/>
      <c r="Y67" s="482"/>
      <c r="Z67" s="482"/>
      <c r="AA67" s="482"/>
      <c r="AB67" s="475"/>
      <c r="AC67" s="482"/>
      <c r="AD67" s="482"/>
      <c r="AE67" s="482"/>
      <c r="AF67" s="482"/>
      <c r="AG67" s="599"/>
    </row>
    <row r="68" spans="1:35" ht="21.95" customHeight="1" x14ac:dyDescent="0.2">
      <c r="A68" s="360"/>
      <c r="B68" s="305" t="s">
        <v>535</v>
      </c>
      <c r="C68" s="598" t="s">
        <v>147</v>
      </c>
      <c r="D68" s="482"/>
      <c r="E68" s="483"/>
      <c r="F68" s="598" t="s">
        <v>147</v>
      </c>
      <c r="G68" s="482"/>
      <c r="H68" s="483"/>
      <c r="I68" s="598" t="s">
        <v>147</v>
      </c>
      <c r="J68" s="482"/>
      <c r="K68" s="483"/>
      <c r="L68" s="598" t="s">
        <v>147</v>
      </c>
      <c r="M68" s="482"/>
      <c r="N68" s="483"/>
      <c r="O68" s="598" t="s">
        <v>536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x14ac:dyDescent="0.2">
      <c r="A69" s="360"/>
      <c r="B69" s="69"/>
      <c r="C69" s="360"/>
      <c r="D69" s="360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</row>
    <row r="70" spans="1:35" ht="21.95" customHeight="1" x14ac:dyDescent="0.2">
      <c r="A70" s="585" t="s">
        <v>468</v>
      </c>
      <c r="B70" s="296" t="s">
        <v>469</v>
      </c>
      <c r="C70" s="177">
        <v>1</v>
      </c>
      <c r="D70" s="177">
        <v>2</v>
      </c>
      <c r="E70" s="177">
        <v>3</v>
      </c>
      <c r="F70" s="497">
        <v>4</v>
      </c>
      <c r="G70" s="497">
        <v>5</v>
      </c>
      <c r="H70" s="177">
        <v>6</v>
      </c>
      <c r="I70" s="177">
        <v>7</v>
      </c>
      <c r="J70" s="177">
        <v>8</v>
      </c>
      <c r="K70" s="177">
        <v>9</v>
      </c>
      <c r="L70" s="177">
        <v>10</v>
      </c>
      <c r="M70" s="497">
        <v>11</v>
      </c>
      <c r="N70" s="497">
        <v>12</v>
      </c>
      <c r="O70" s="177">
        <v>13</v>
      </c>
      <c r="P70" s="177">
        <v>14</v>
      </c>
      <c r="Q70" s="177">
        <v>15</v>
      </c>
      <c r="R70" s="177">
        <v>16</v>
      </c>
      <c r="S70" s="177">
        <v>17</v>
      </c>
      <c r="T70" s="497">
        <v>18</v>
      </c>
      <c r="U70" s="497">
        <v>19</v>
      </c>
      <c r="V70" s="177">
        <v>20</v>
      </c>
      <c r="W70" s="177">
        <v>21</v>
      </c>
      <c r="X70" s="177">
        <v>22</v>
      </c>
      <c r="Y70" s="177">
        <v>23</v>
      </c>
      <c r="Z70" s="177">
        <v>24</v>
      </c>
      <c r="AA70" s="497">
        <v>25</v>
      </c>
      <c r="AB70" s="497">
        <v>26</v>
      </c>
      <c r="AC70" s="177">
        <v>27</v>
      </c>
      <c r="AD70" s="177">
        <v>28</v>
      </c>
      <c r="AE70" s="177">
        <v>29</v>
      </c>
      <c r="AF70" s="177"/>
      <c r="AG70" s="177"/>
      <c r="AH70" s="499" t="s">
        <v>470</v>
      </c>
      <c r="AI70" s="500" t="s">
        <v>471</v>
      </c>
    </row>
    <row r="71" spans="1:35" ht="21.95" customHeight="1" x14ac:dyDescent="0.2">
      <c r="A71" s="185">
        <v>8520</v>
      </c>
      <c r="B71" s="185" t="s">
        <v>537</v>
      </c>
      <c r="C71" s="514" t="s">
        <v>538</v>
      </c>
      <c r="D71" s="521" t="s">
        <v>538</v>
      </c>
      <c r="E71" s="521" t="s">
        <v>538</v>
      </c>
      <c r="F71" s="521"/>
      <c r="G71" s="521"/>
      <c r="H71" s="521" t="s">
        <v>538</v>
      </c>
      <c r="I71" s="521" t="s">
        <v>538</v>
      </c>
      <c r="J71" s="514" t="s">
        <v>538</v>
      </c>
      <c r="K71" s="521" t="s">
        <v>538</v>
      </c>
      <c r="L71" s="521" t="s">
        <v>538</v>
      </c>
      <c r="M71" s="521"/>
      <c r="N71" s="521"/>
      <c r="O71" s="1645" t="s">
        <v>538</v>
      </c>
      <c r="P71" s="1645" t="s">
        <v>538</v>
      </c>
      <c r="Q71" s="521" t="s">
        <v>538</v>
      </c>
      <c r="R71" s="521" t="s">
        <v>538</v>
      </c>
      <c r="S71" s="521" t="s">
        <v>538</v>
      </c>
      <c r="T71" s="521"/>
      <c r="U71" s="521"/>
      <c r="V71" s="521" t="s">
        <v>538</v>
      </c>
      <c r="W71" s="521" t="s">
        <v>538</v>
      </c>
      <c r="X71" s="521" t="s">
        <v>538</v>
      </c>
      <c r="Y71" s="521" t="s">
        <v>538</v>
      </c>
      <c r="Z71" s="521" t="s">
        <v>538</v>
      </c>
      <c r="AA71" s="521"/>
      <c r="AB71" s="521"/>
      <c r="AC71" s="521" t="s">
        <v>538</v>
      </c>
      <c r="AD71" s="521" t="s">
        <v>538</v>
      </c>
      <c r="AE71" s="1555" t="s">
        <v>538</v>
      </c>
      <c r="AF71" s="553"/>
      <c r="AG71" s="565"/>
      <c r="AH71" s="505">
        <v>13</v>
      </c>
      <c r="AI71" s="506">
        <v>31</v>
      </c>
    </row>
    <row r="72" spans="1:35" ht="21.95" customHeight="1" x14ac:dyDescent="0.2">
      <c r="A72" s="185">
        <v>8521</v>
      </c>
      <c r="B72" s="185" t="s">
        <v>539</v>
      </c>
      <c r="C72" s="553" t="s">
        <v>540</v>
      </c>
      <c r="D72" s="553" t="s">
        <v>540</v>
      </c>
      <c r="E72" s="553" t="s">
        <v>540</v>
      </c>
      <c r="F72" s="553"/>
      <c r="G72" s="553"/>
      <c r="H72" s="553" t="s">
        <v>540</v>
      </c>
      <c r="I72" s="553" t="s">
        <v>540</v>
      </c>
      <c r="J72" s="1486" t="s">
        <v>540</v>
      </c>
      <c r="K72" s="553" t="s">
        <v>540</v>
      </c>
      <c r="L72" s="553" t="s">
        <v>540</v>
      </c>
      <c r="M72" s="553"/>
      <c r="N72" s="553"/>
      <c r="O72" s="1515" t="s">
        <v>540</v>
      </c>
      <c r="P72" s="1515" t="s">
        <v>540</v>
      </c>
      <c r="Q72" s="1515" t="s">
        <v>540</v>
      </c>
      <c r="R72" s="1515" t="s">
        <v>540</v>
      </c>
      <c r="S72" s="1515" t="s">
        <v>708</v>
      </c>
      <c r="T72" s="553"/>
      <c r="U72" s="553"/>
      <c r="V72" s="553" t="s">
        <v>540</v>
      </c>
      <c r="W72" s="553" t="s">
        <v>540</v>
      </c>
      <c r="X72" s="553" t="s">
        <v>540</v>
      </c>
      <c r="Y72" s="1642" t="s">
        <v>540</v>
      </c>
      <c r="Z72" s="553" t="s">
        <v>540</v>
      </c>
      <c r="AA72" s="553"/>
      <c r="AB72" s="553"/>
      <c r="AC72" s="553" t="s">
        <v>540</v>
      </c>
      <c r="AD72" s="1642" t="s">
        <v>540</v>
      </c>
      <c r="AE72" s="553" t="s">
        <v>540</v>
      </c>
      <c r="AF72" s="503"/>
      <c r="AG72" s="503"/>
      <c r="AH72" s="505">
        <v>29</v>
      </c>
      <c r="AI72" s="506">
        <v>37</v>
      </c>
    </row>
    <row r="73" spans="1:35" ht="21.95" customHeight="1" x14ac:dyDescent="0.2">
      <c r="A73" s="360"/>
      <c r="B73" s="360"/>
      <c r="C73" s="546"/>
      <c r="D73" s="525"/>
      <c r="E73" s="525"/>
      <c r="F73" s="525"/>
      <c r="G73" s="525"/>
      <c r="H73" s="525"/>
      <c r="I73" s="525"/>
      <c r="J73" s="525"/>
      <c r="K73" s="525"/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X73" s="525"/>
      <c r="Y73" s="525"/>
      <c r="Z73" s="525"/>
      <c r="AA73" s="525"/>
      <c r="AB73" s="525"/>
      <c r="AC73" s="525"/>
      <c r="AD73" s="525"/>
      <c r="AE73" s="525"/>
      <c r="AF73" s="525"/>
      <c r="AG73" s="525"/>
      <c r="AH73" s="591"/>
      <c r="AI73" s="591"/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x14ac:dyDescent="0.2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x14ac:dyDescent="0.2">
      <c r="A76" s="1" t="s">
        <v>541</v>
      </c>
      <c r="D76" s="360"/>
      <c r="E76" s="360"/>
      <c r="F76" s="360"/>
      <c r="G76" s="570"/>
      <c r="H76" s="360"/>
      <c r="I76" s="360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</row>
    <row r="77" spans="1:35" ht="21.95" customHeight="1" x14ac:dyDescent="0.2">
      <c r="A77" s="1"/>
      <c r="B77" s="23" t="s">
        <v>542</v>
      </c>
      <c r="C77" s="7"/>
      <c r="D77" s="530" t="s">
        <v>2</v>
      </c>
      <c r="E77" s="51"/>
      <c r="F77" s="573"/>
      <c r="G77" s="7"/>
      <c r="H77" s="530" t="s">
        <v>3</v>
      </c>
      <c r="I77" s="51"/>
      <c r="J77" s="573"/>
      <c r="K77" s="7"/>
      <c r="L77" s="530" t="s">
        <v>4</v>
      </c>
      <c r="M77" s="51"/>
      <c r="N77" s="573"/>
      <c r="O77" s="7"/>
      <c r="P77" s="530" t="s">
        <v>5</v>
      </c>
      <c r="Q77" s="51"/>
      <c r="R77" s="573"/>
      <c r="S77" s="7"/>
      <c r="T77" s="530" t="s">
        <v>6</v>
      </c>
      <c r="U77" s="51"/>
      <c r="V77" s="573"/>
      <c r="W77" s="7"/>
      <c r="X77" s="530" t="s">
        <v>7</v>
      </c>
      <c r="Y77" s="51"/>
      <c r="Z77" s="573"/>
      <c r="AA77" s="7"/>
      <c r="AB77" s="530" t="s">
        <v>8</v>
      </c>
      <c r="AC77" s="51"/>
      <c r="AD77" s="51"/>
      <c r="AE77" s="348" t="s">
        <v>9</v>
      </c>
      <c r="AF77" s="51"/>
      <c r="AG77" s="51"/>
      <c r="AH77" s="51"/>
      <c r="AI77" s="531"/>
    </row>
    <row r="78" spans="1:35" ht="21.95" customHeight="1" x14ac:dyDescent="0.2">
      <c r="A78" s="1"/>
      <c r="B78" s="129" t="s">
        <v>324</v>
      </c>
      <c r="C78" s="611" t="s">
        <v>543</v>
      </c>
      <c r="E78" s="156"/>
      <c r="F78" s="612"/>
      <c r="G78" s="611" t="s">
        <v>543</v>
      </c>
      <c r="H78" s="156"/>
      <c r="I78" s="156"/>
      <c r="J78" s="612"/>
      <c r="K78" s="611" t="s">
        <v>543</v>
      </c>
      <c r="L78" s="156"/>
      <c r="M78" s="156"/>
      <c r="N78" s="612"/>
      <c r="O78" s="611" t="s">
        <v>543</v>
      </c>
      <c r="P78" s="156"/>
      <c r="Q78" s="156"/>
      <c r="R78" s="612"/>
      <c r="S78" s="611" t="s">
        <v>544</v>
      </c>
      <c r="T78" s="156"/>
      <c r="U78" s="156"/>
      <c r="V78" s="613"/>
      <c r="W78" s="1055"/>
      <c r="X78" s="1056"/>
      <c r="Y78" s="1056"/>
      <c r="Z78" s="1057"/>
      <c r="AA78" s="613"/>
      <c r="AB78" s="156"/>
      <c r="AC78" s="156"/>
      <c r="AD78" s="613"/>
      <c r="AE78" s="121">
        <v>37</v>
      </c>
      <c r="AG78" s="156"/>
      <c r="AH78" s="613"/>
      <c r="AI78" s="489"/>
    </row>
    <row r="79" spans="1:35" ht="21.95" customHeight="1" x14ac:dyDescent="0.2">
      <c r="A79" s="1"/>
      <c r="B79" s="129" t="s">
        <v>325</v>
      </c>
      <c r="C79" s="611" t="s">
        <v>545</v>
      </c>
      <c r="D79" s="156"/>
      <c r="E79" s="156"/>
      <c r="F79" s="612"/>
      <c r="G79" s="611" t="s">
        <v>545</v>
      </c>
      <c r="H79" s="156"/>
      <c r="I79" s="156"/>
      <c r="J79" s="612"/>
      <c r="K79" s="611" t="s">
        <v>545</v>
      </c>
      <c r="L79" s="156"/>
      <c r="M79" s="156"/>
      <c r="N79" s="612"/>
      <c r="O79" s="611" t="s">
        <v>545</v>
      </c>
      <c r="P79" s="156"/>
      <c r="Q79" s="156"/>
      <c r="R79" s="612"/>
      <c r="S79" s="611" t="s">
        <v>546</v>
      </c>
      <c r="T79" s="156"/>
      <c r="U79" s="156"/>
      <c r="V79" s="612"/>
      <c r="W79" s="660" t="s">
        <v>547</v>
      </c>
      <c r="X79" s="55"/>
      <c r="Y79" s="55"/>
      <c r="Z79" s="55"/>
      <c r="AA79" s="611" t="s">
        <v>548</v>
      </c>
      <c r="AB79" s="611"/>
      <c r="AC79" s="611"/>
      <c r="AD79" s="611"/>
      <c r="AE79" s="154">
        <v>68.25</v>
      </c>
      <c r="AF79" s="156"/>
      <c r="AG79" s="615"/>
      <c r="AH79" s="616"/>
      <c r="AI79" s="617"/>
    </row>
    <row r="80" spans="1:35" ht="21.95" customHeight="1" x14ac:dyDescent="0.2">
      <c r="A80" s="1"/>
      <c r="B80" s="129" t="s">
        <v>326</v>
      </c>
      <c r="C80" s="1053" t="s">
        <v>167</v>
      </c>
      <c r="D80" s="156"/>
      <c r="E80" s="156"/>
      <c r="F80" s="612"/>
      <c r="G80" s="156" t="s">
        <v>167</v>
      </c>
      <c r="H80" s="156"/>
      <c r="I80" s="156"/>
      <c r="J80" s="612"/>
      <c r="K80" s="156" t="s">
        <v>167</v>
      </c>
      <c r="L80" s="156"/>
      <c r="M80" s="156"/>
      <c r="N80" s="612"/>
      <c r="O80" s="156" t="s">
        <v>167</v>
      </c>
      <c r="P80" s="156"/>
      <c r="Q80" s="156"/>
      <c r="R80" s="612"/>
      <c r="S80" s="156" t="s">
        <v>167</v>
      </c>
      <c r="T80" s="156"/>
      <c r="U80" s="156"/>
      <c r="V80" s="612"/>
      <c r="W80" s="611"/>
      <c r="X80" s="156"/>
      <c r="Y80" s="156"/>
      <c r="Z80" s="612"/>
      <c r="AA80" s="611"/>
      <c r="AB80" s="156"/>
      <c r="AC80" s="156"/>
      <c r="AD80" s="613"/>
      <c r="AE80" s="614">
        <v>0</v>
      </c>
      <c r="AF80" s="615"/>
      <c r="AG80" s="156"/>
      <c r="AH80" s="613"/>
      <c r="AI80" s="489"/>
    </row>
    <row r="81" spans="1:37" ht="21.95" customHeight="1" x14ac:dyDescent="0.2">
      <c r="A81" s="1"/>
      <c r="B81" s="47"/>
      <c r="C81" s="618"/>
      <c r="D81" s="53"/>
      <c r="E81" s="53"/>
      <c r="F81" s="619"/>
      <c r="G81" s="618"/>
      <c r="H81" s="53"/>
      <c r="I81" s="53"/>
      <c r="J81" s="619"/>
      <c r="K81" s="618"/>
      <c r="L81" s="53"/>
      <c r="M81" s="53"/>
      <c r="N81" s="619"/>
      <c r="O81" s="618"/>
      <c r="P81" s="53"/>
      <c r="Q81" s="53"/>
      <c r="R81" s="619"/>
      <c r="S81" s="618"/>
      <c r="T81" s="53"/>
      <c r="U81" s="53"/>
      <c r="V81" s="619"/>
      <c r="W81" s="53"/>
      <c r="X81" s="53"/>
      <c r="Y81" s="53"/>
      <c r="Z81" s="53"/>
      <c r="AA81" s="53"/>
      <c r="AB81" s="53"/>
      <c r="AC81" s="53"/>
      <c r="AD81" s="53"/>
      <c r="AE81" s="581"/>
      <c r="AF81" s="53"/>
      <c r="AG81" s="53"/>
      <c r="AH81" s="620"/>
      <c r="AI81" s="544"/>
    </row>
    <row r="82" spans="1:37" ht="21.95" customHeight="1" x14ac:dyDescent="0.2">
      <c r="A82" s="621"/>
      <c r="B82" s="1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7" ht="21.95" customHeight="1" x14ac:dyDescent="0.2">
      <c r="A83" s="585"/>
      <c r="B83" s="296" t="s">
        <v>469</v>
      </c>
      <c r="C83" s="177">
        <v>1</v>
      </c>
      <c r="D83" s="177">
        <v>2</v>
      </c>
      <c r="E83" s="177">
        <v>3</v>
      </c>
      <c r="F83" s="497">
        <v>4</v>
      </c>
      <c r="G83" s="497">
        <v>5</v>
      </c>
      <c r="H83" s="177">
        <v>6</v>
      </c>
      <c r="I83" s="177">
        <v>7</v>
      </c>
      <c r="J83" s="177">
        <v>8</v>
      </c>
      <c r="K83" s="177">
        <v>9</v>
      </c>
      <c r="L83" s="177">
        <v>10</v>
      </c>
      <c r="M83" s="497">
        <v>11</v>
      </c>
      <c r="N83" s="497">
        <v>12</v>
      </c>
      <c r="O83" s="177">
        <v>13</v>
      </c>
      <c r="P83" s="177">
        <v>14</v>
      </c>
      <c r="Q83" s="177">
        <v>15</v>
      </c>
      <c r="R83" s="177">
        <v>16</v>
      </c>
      <c r="S83" s="177">
        <v>17</v>
      </c>
      <c r="T83" s="497">
        <v>18</v>
      </c>
      <c r="U83" s="497">
        <v>19</v>
      </c>
      <c r="V83" s="177">
        <v>20</v>
      </c>
      <c r="W83" s="177">
        <v>21</v>
      </c>
      <c r="X83" s="177">
        <v>22</v>
      </c>
      <c r="Y83" s="177">
        <v>23</v>
      </c>
      <c r="Z83" s="177">
        <v>24</v>
      </c>
      <c r="AA83" s="497">
        <v>25</v>
      </c>
      <c r="AB83" s="497">
        <v>26</v>
      </c>
      <c r="AC83" s="177">
        <v>27</v>
      </c>
      <c r="AD83" s="177">
        <v>28</v>
      </c>
      <c r="AE83" s="177">
        <v>29</v>
      </c>
      <c r="AF83" s="177"/>
      <c r="AG83" s="177"/>
      <c r="AH83" s="499" t="s">
        <v>470</v>
      </c>
      <c r="AI83" s="500" t="s">
        <v>471</v>
      </c>
    </row>
    <row r="84" spans="1:37" ht="21.95" customHeight="1" thickBot="1" x14ac:dyDescent="0.25">
      <c r="A84" s="622">
        <v>1</v>
      </c>
      <c r="B84" s="152" t="s">
        <v>549</v>
      </c>
      <c r="C84" s="587" t="s">
        <v>475</v>
      </c>
      <c r="D84" s="587" t="s">
        <v>475</v>
      </c>
      <c r="E84" s="587" t="s">
        <v>475</v>
      </c>
      <c r="F84" s="587"/>
      <c r="G84" s="587"/>
      <c r="H84" s="1482" t="s">
        <v>551</v>
      </c>
      <c r="I84" s="557" t="s">
        <v>551</v>
      </c>
      <c r="J84" s="514" t="s">
        <v>551</v>
      </c>
      <c r="K84" s="587" t="s">
        <v>551</v>
      </c>
      <c r="L84" s="587" t="s">
        <v>551</v>
      </c>
      <c r="M84" s="587"/>
      <c r="N84" s="587"/>
      <c r="O84" s="1482" t="s">
        <v>513</v>
      </c>
      <c r="P84" s="1627" t="s">
        <v>513</v>
      </c>
      <c r="Q84" s="1627" t="s">
        <v>513</v>
      </c>
      <c r="R84" s="1524" t="s">
        <v>513</v>
      </c>
      <c r="S84" s="1524" t="s">
        <v>513</v>
      </c>
      <c r="T84" s="1524" t="s">
        <v>550</v>
      </c>
      <c r="U84" s="1524" t="s">
        <v>550</v>
      </c>
      <c r="V84" s="1482" t="s">
        <v>475</v>
      </c>
      <c r="W84" s="587" t="s">
        <v>475</v>
      </c>
      <c r="X84" s="587" t="s">
        <v>475</v>
      </c>
      <c r="Y84" s="587" t="s">
        <v>475</v>
      </c>
      <c r="Z84" s="587" t="s">
        <v>475</v>
      </c>
      <c r="AA84" s="587"/>
      <c r="AB84" s="587"/>
      <c r="AC84" s="1482" t="s">
        <v>551</v>
      </c>
      <c r="AD84" s="1524" t="s">
        <v>551</v>
      </c>
      <c r="AE84" s="1524" t="s">
        <v>551</v>
      </c>
      <c r="AF84" s="587"/>
      <c r="AG84" s="587"/>
      <c r="AH84" s="505">
        <v>0</v>
      </c>
      <c r="AI84" s="506">
        <v>19</v>
      </c>
    </row>
    <row r="85" spans="1:37" ht="21.95" customHeight="1" x14ac:dyDescent="0.2">
      <c r="A85" s="622">
        <v>2</v>
      </c>
      <c r="B85" s="318" t="s">
        <v>553</v>
      </c>
      <c r="C85" s="1630" t="s">
        <v>551</v>
      </c>
      <c r="D85" s="1630" t="s">
        <v>551</v>
      </c>
      <c r="E85" s="1630" t="s">
        <v>551</v>
      </c>
      <c r="F85" s="1630"/>
      <c r="G85" s="1630"/>
      <c r="H85" s="1630" t="s">
        <v>513</v>
      </c>
      <c r="I85" s="1630" t="s">
        <v>513</v>
      </c>
      <c r="J85" s="1630" t="s">
        <v>513</v>
      </c>
      <c r="K85" s="1630" t="s">
        <v>513</v>
      </c>
      <c r="L85" s="1630" t="s">
        <v>513</v>
      </c>
      <c r="M85" s="1630" t="s">
        <v>550</v>
      </c>
      <c r="N85" s="1630" t="s">
        <v>550</v>
      </c>
      <c r="O85" s="1630" t="s">
        <v>475</v>
      </c>
      <c r="P85" s="1630" t="s">
        <v>475</v>
      </c>
      <c r="Q85" s="1630" t="s">
        <v>475</v>
      </c>
      <c r="R85" s="1630" t="s">
        <v>475</v>
      </c>
      <c r="S85" s="1630" t="s">
        <v>475</v>
      </c>
      <c r="T85" s="1630"/>
      <c r="U85" s="1630"/>
      <c r="V85" s="1630" t="s">
        <v>551</v>
      </c>
      <c r="W85" s="1630" t="s">
        <v>551</v>
      </c>
      <c r="X85" s="1630" t="s">
        <v>551</v>
      </c>
      <c r="Y85" s="1630" t="s">
        <v>551</v>
      </c>
      <c r="Z85" s="1630" t="s">
        <v>551</v>
      </c>
      <c r="AA85" s="1630"/>
      <c r="AB85" s="1630"/>
      <c r="AC85" s="1630" t="s">
        <v>513</v>
      </c>
      <c r="AD85" s="1630" t="s">
        <v>513</v>
      </c>
      <c r="AE85" s="1630" t="s">
        <v>513</v>
      </c>
      <c r="AF85" s="1630"/>
      <c r="AG85" s="587"/>
      <c r="AH85" s="505">
        <v>42</v>
      </c>
      <c r="AI85" s="506">
        <v>37</v>
      </c>
    </row>
    <row r="86" spans="1:37" ht="21.95" customHeight="1" x14ac:dyDescent="0.2">
      <c r="A86" s="622">
        <v>3</v>
      </c>
      <c r="B86" s="552" t="s">
        <v>554</v>
      </c>
      <c r="C86" s="1524" t="s">
        <v>513</v>
      </c>
      <c r="D86" s="1524" t="s">
        <v>513</v>
      </c>
      <c r="E86" s="1524" t="s">
        <v>513</v>
      </c>
      <c r="F86" s="1060" t="s">
        <v>550</v>
      </c>
      <c r="G86" s="1524" t="s">
        <v>550</v>
      </c>
      <c r="H86" s="587" t="s">
        <v>475</v>
      </c>
      <c r="I86" s="1642" t="s">
        <v>552</v>
      </c>
      <c r="J86" s="587" t="s">
        <v>475</v>
      </c>
      <c r="K86" s="587" t="s">
        <v>475</v>
      </c>
      <c r="L86" s="587" t="s">
        <v>475</v>
      </c>
      <c r="M86" s="587"/>
      <c r="N86" s="587"/>
      <c r="O86" s="587" t="s">
        <v>739</v>
      </c>
      <c r="P86" s="587" t="s">
        <v>739</v>
      </c>
      <c r="Q86" s="587" t="s">
        <v>644</v>
      </c>
      <c r="R86" s="587" t="s">
        <v>644</v>
      </c>
      <c r="S86" s="587" t="s">
        <v>681</v>
      </c>
      <c r="T86" s="587"/>
      <c r="U86" s="587"/>
      <c r="V86" s="587" t="s">
        <v>513</v>
      </c>
      <c r="W86" s="587" t="s">
        <v>513</v>
      </c>
      <c r="X86" s="587" t="s">
        <v>513</v>
      </c>
      <c r="Y86" s="587" t="s">
        <v>513</v>
      </c>
      <c r="Z86" s="587" t="s">
        <v>513</v>
      </c>
      <c r="AA86" s="587" t="s">
        <v>550</v>
      </c>
      <c r="AB86" s="587" t="s">
        <v>550</v>
      </c>
      <c r="AC86" s="587" t="s">
        <v>475</v>
      </c>
      <c r="AD86" s="587" t="s">
        <v>475</v>
      </c>
      <c r="AE86" s="587" t="s">
        <v>475</v>
      </c>
      <c r="AF86" s="587"/>
      <c r="AG86" s="587"/>
      <c r="AH86" s="505">
        <v>0</v>
      </c>
      <c r="AI86" s="506">
        <v>0</v>
      </c>
    </row>
    <row r="87" spans="1:37" ht="21.95" customHeight="1" x14ac:dyDescent="0.2"/>
    <row r="88" spans="1:37" ht="21.95" customHeight="1" x14ac:dyDescent="0.2">
      <c r="A88" s="623"/>
      <c r="B88" s="353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590"/>
      <c r="N88" s="590"/>
      <c r="O88" s="590"/>
      <c r="P88" s="590"/>
      <c r="Q88" s="590"/>
      <c r="R88" s="590"/>
      <c r="S88" s="590"/>
      <c r="T88" s="590"/>
      <c r="U88" s="590"/>
      <c r="V88" s="590"/>
      <c r="W88" s="590"/>
      <c r="X88" s="590"/>
      <c r="Y88" s="590"/>
      <c r="Z88" s="590"/>
      <c r="AA88" s="590"/>
      <c r="AB88" s="590"/>
      <c r="AC88" s="590"/>
      <c r="AD88" s="590"/>
      <c r="AE88" s="590"/>
      <c r="AF88" s="590"/>
      <c r="AH88" s="591"/>
      <c r="AI88" s="591"/>
    </row>
    <row r="89" spans="1:37" ht="21.95" customHeight="1" x14ac:dyDescent="0.2">
      <c r="A89" s="1" t="s">
        <v>555</v>
      </c>
      <c r="D89" s="360"/>
      <c r="E89" s="360"/>
      <c r="F89" s="360"/>
      <c r="G89" s="57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</row>
    <row r="90" spans="1:37" ht="21.95" customHeight="1" x14ac:dyDescent="0.2">
      <c r="A90" s="1"/>
      <c r="B90" s="23" t="s">
        <v>556</v>
      </c>
      <c r="C90" s="7"/>
      <c r="D90" s="530" t="s">
        <v>2</v>
      </c>
      <c r="E90" s="51"/>
      <c r="F90" s="573"/>
      <c r="G90" s="7"/>
      <c r="H90" s="530" t="s">
        <v>3</v>
      </c>
      <c r="I90" s="51"/>
      <c r="J90" s="573"/>
      <c r="K90" s="7"/>
      <c r="L90" s="530" t="s">
        <v>4</v>
      </c>
      <c r="M90" s="51"/>
      <c r="N90" s="573"/>
      <c r="O90" s="7"/>
      <c r="P90" s="530" t="s">
        <v>5</v>
      </c>
      <c r="Q90" s="51"/>
      <c r="R90" s="573"/>
      <c r="S90" s="7"/>
      <c r="T90" s="530" t="s">
        <v>6</v>
      </c>
      <c r="U90" s="51"/>
      <c r="V90" s="573"/>
      <c r="W90" s="7"/>
      <c r="X90" s="530" t="s">
        <v>7</v>
      </c>
      <c r="Y90" s="51"/>
      <c r="Z90" s="573"/>
      <c r="AA90" s="7"/>
      <c r="AB90" s="530" t="s">
        <v>8</v>
      </c>
      <c r="AC90" s="51"/>
      <c r="AD90" s="51"/>
      <c r="AE90" s="424" t="s">
        <v>10</v>
      </c>
      <c r="AF90" s="51"/>
      <c r="AG90" s="51"/>
      <c r="AH90" s="51"/>
      <c r="AI90" s="531"/>
    </row>
    <row r="91" spans="1:37" ht="21.95" customHeight="1" x14ac:dyDescent="0.2">
      <c r="A91" s="1"/>
      <c r="B91" s="129" t="s">
        <v>324</v>
      </c>
      <c r="C91" s="611"/>
      <c r="D91" s="156" t="s">
        <v>167</v>
      </c>
      <c r="E91" s="156"/>
      <c r="F91" s="612"/>
      <c r="G91" s="611"/>
      <c r="H91" s="156" t="s">
        <v>167</v>
      </c>
      <c r="I91" s="156"/>
      <c r="J91" s="612"/>
      <c r="K91" s="611" t="s">
        <v>557</v>
      </c>
      <c r="L91" s="156"/>
      <c r="M91" s="156"/>
      <c r="N91" s="612"/>
      <c r="O91" s="611" t="s">
        <v>557</v>
      </c>
      <c r="P91" s="156"/>
      <c r="Q91" s="156"/>
      <c r="R91" s="612"/>
      <c r="S91" s="611" t="s">
        <v>557</v>
      </c>
      <c r="T91" s="156"/>
      <c r="U91" s="156"/>
      <c r="V91" s="612"/>
      <c r="W91" s="611" t="s">
        <v>558</v>
      </c>
      <c r="X91" s="624"/>
      <c r="Y91" s="624"/>
      <c r="Z91" s="625"/>
      <c r="AA91" s="611" t="s">
        <v>559</v>
      </c>
      <c r="AB91" s="156"/>
      <c r="AC91" s="156"/>
      <c r="AD91" s="613"/>
      <c r="AE91" s="128">
        <v>56</v>
      </c>
      <c r="AF91" s="156"/>
      <c r="AG91" s="156" t="s">
        <v>28</v>
      </c>
      <c r="AH91" s="613"/>
      <c r="AI91" s="489"/>
    </row>
    <row r="92" spans="1:37" ht="21.95" customHeight="1" x14ac:dyDescent="0.2">
      <c r="A92" s="1"/>
      <c r="B92" s="129" t="s">
        <v>325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/>
      <c r="L92" s="156" t="s">
        <v>167</v>
      </c>
      <c r="M92" s="156"/>
      <c r="N92" s="612"/>
      <c r="O92" s="611"/>
      <c r="P92" s="156" t="s">
        <v>167</v>
      </c>
      <c r="Q92" s="156"/>
      <c r="R92" s="612"/>
      <c r="S92" s="611"/>
      <c r="T92" s="156" t="s">
        <v>167</v>
      </c>
      <c r="U92" s="156"/>
      <c r="V92" s="612"/>
      <c r="W92" s="611"/>
      <c r="X92" s="156" t="s">
        <v>167</v>
      </c>
      <c r="Y92" s="156"/>
      <c r="Z92" s="612"/>
      <c r="AA92" s="156" t="s">
        <v>167</v>
      </c>
      <c r="AB92" s="156"/>
      <c r="AC92" s="156"/>
      <c r="AD92" s="613"/>
      <c r="AE92" s="128">
        <v>0</v>
      </c>
      <c r="AF92" s="156"/>
      <c r="AG92" s="156"/>
      <c r="AH92" s="613"/>
      <c r="AI92" s="489"/>
    </row>
    <row r="93" spans="1:37" ht="21.95" customHeight="1" x14ac:dyDescent="0.2">
      <c r="A93" s="1"/>
      <c r="B93" s="129" t="s">
        <v>326</v>
      </c>
      <c r="C93" s="611" t="s">
        <v>557</v>
      </c>
      <c r="D93" s="156"/>
      <c r="E93" s="156"/>
      <c r="F93" s="612"/>
      <c r="G93" s="611" t="s">
        <v>557</v>
      </c>
      <c r="H93" s="156"/>
      <c r="I93" s="156"/>
      <c r="J93" s="612"/>
      <c r="K93" s="121"/>
      <c r="L93" s="156" t="s">
        <v>167</v>
      </c>
      <c r="M93" s="156"/>
      <c r="N93" s="612"/>
      <c r="O93" s="121"/>
      <c r="P93" s="156" t="s">
        <v>167</v>
      </c>
      <c r="Q93" s="156"/>
      <c r="R93" s="612"/>
      <c r="S93" s="121"/>
      <c r="T93" s="156" t="s">
        <v>167</v>
      </c>
      <c r="U93" s="156"/>
      <c r="V93" s="612"/>
      <c r="W93" s="626" t="s">
        <v>560</v>
      </c>
      <c r="X93" s="134"/>
      <c r="Y93" s="134"/>
      <c r="Z93" s="627"/>
      <c r="AA93" s="626" t="s">
        <v>561</v>
      </c>
      <c r="AB93" s="134"/>
      <c r="AC93" s="134"/>
      <c r="AD93" s="628"/>
      <c r="AE93" s="128">
        <v>46</v>
      </c>
      <c r="AF93" s="156"/>
      <c r="AG93" s="156"/>
      <c r="AH93" s="613"/>
      <c r="AI93" s="489"/>
      <c r="AK93" s="1"/>
    </row>
    <row r="94" spans="1:37" ht="21.95" customHeight="1" x14ac:dyDescent="0.2">
      <c r="A94" s="1"/>
      <c r="B94" s="16" t="s">
        <v>236</v>
      </c>
      <c r="C94" s="618" t="s">
        <v>420</v>
      </c>
      <c r="D94" s="53"/>
      <c r="E94" s="53"/>
      <c r="F94" s="619"/>
      <c r="G94" s="618" t="s">
        <v>421</v>
      </c>
      <c r="H94" s="53"/>
      <c r="I94" s="53"/>
      <c r="J94" s="619"/>
      <c r="K94" s="618" t="s">
        <v>421</v>
      </c>
      <c r="L94" s="53"/>
      <c r="M94" s="53"/>
      <c r="N94" s="619"/>
      <c r="O94" s="618" t="s">
        <v>421</v>
      </c>
      <c r="P94" s="53"/>
      <c r="Q94" s="53"/>
      <c r="R94" s="619"/>
      <c r="S94" s="618" t="s">
        <v>422</v>
      </c>
      <c r="T94" s="53"/>
      <c r="U94" s="53"/>
      <c r="V94" s="620"/>
      <c r="W94" s="57"/>
      <c r="X94" s="620" t="s">
        <v>167</v>
      </c>
      <c r="Y94" s="53"/>
      <c r="Z94" s="619"/>
      <c r="AA94" s="57"/>
      <c r="AB94" s="620" t="s">
        <v>167</v>
      </c>
      <c r="AC94" s="53"/>
      <c r="AD94" s="619"/>
      <c r="AE94" s="629">
        <v>37.5</v>
      </c>
      <c r="AF94" s="53"/>
      <c r="AG94" s="53"/>
      <c r="AH94" s="620"/>
      <c r="AI94" s="544"/>
    </row>
    <row r="95" spans="1:37" ht="21.95" customHeight="1" x14ac:dyDescent="0.2">
      <c r="A95" s="621"/>
      <c r="B95" s="1"/>
      <c r="C95" s="360"/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7" ht="21.95" customHeight="1" x14ac:dyDescent="0.2">
      <c r="A96" s="585"/>
      <c r="B96" s="296" t="s">
        <v>469</v>
      </c>
      <c r="C96" s="177">
        <v>1</v>
      </c>
      <c r="D96" s="177">
        <v>2</v>
      </c>
      <c r="E96" s="177">
        <v>3</v>
      </c>
      <c r="F96" s="497">
        <v>4</v>
      </c>
      <c r="G96" s="497">
        <v>5</v>
      </c>
      <c r="H96" s="177">
        <v>6</v>
      </c>
      <c r="I96" s="177">
        <v>7</v>
      </c>
      <c r="J96" s="177">
        <v>8</v>
      </c>
      <c r="K96" s="177">
        <v>9</v>
      </c>
      <c r="L96" s="177">
        <v>10</v>
      </c>
      <c r="M96" s="497">
        <v>11</v>
      </c>
      <c r="N96" s="497">
        <v>12</v>
      </c>
      <c r="O96" s="177">
        <v>13</v>
      </c>
      <c r="P96" s="177">
        <v>14</v>
      </c>
      <c r="Q96" s="177">
        <v>15</v>
      </c>
      <c r="R96" s="177">
        <v>16</v>
      </c>
      <c r="S96" s="177">
        <v>17</v>
      </c>
      <c r="T96" s="497">
        <v>18</v>
      </c>
      <c r="U96" s="497">
        <v>19</v>
      </c>
      <c r="V96" s="177">
        <v>20</v>
      </c>
      <c r="W96" s="177">
        <v>21</v>
      </c>
      <c r="X96" s="177">
        <v>22</v>
      </c>
      <c r="Y96" s="177">
        <v>23</v>
      </c>
      <c r="Z96" s="177">
        <v>24</v>
      </c>
      <c r="AA96" s="497">
        <v>25</v>
      </c>
      <c r="AB96" s="497">
        <v>26</v>
      </c>
      <c r="AC96" s="177">
        <v>27</v>
      </c>
      <c r="AD96" s="177">
        <v>28</v>
      </c>
      <c r="AE96" s="177">
        <v>29</v>
      </c>
      <c r="AF96" s="177"/>
      <c r="AG96" s="177"/>
      <c r="AH96" s="499" t="s">
        <v>470</v>
      </c>
      <c r="AI96" s="500" t="s">
        <v>471</v>
      </c>
    </row>
    <row r="97" spans="1:35" ht="21.95" customHeight="1" x14ac:dyDescent="0.2">
      <c r="A97" s="622">
        <v>1</v>
      </c>
      <c r="B97" s="318" t="s">
        <v>562</v>
      </c>
      <c r="C97" s="1486" t="s">
        <v>475</v>
      </c>
      <c r="D97" s="587" t="s">
        <v>475</v>
      </c>
      <c r="E97" s="587" t="s">
        <v>475</v>
      </c>
      <c r="F97" s="587" t="s">
        <v>475</v>
      </c>
      <c r="G97" s="587" t="s">
        <v>475</v>
      </c>
      <c r="H97" s="1060" t="s">
        <v>522</v>
      </c>
      <c r="I97" s="1060" t="s">
        <v>522</v>
      </c>
      <c r="J97" s="1060" t="s">
        <v>475</v>
      </c>
      <c r="K97" s="1060" t="s">
        <v>475</v>
      </c>
      <c r="L97" s="1060" t="s">
        <v>475</v>
      </c>
      <c r="M97" s="1060" t="s">
        <v>563</v>
      </c>
      <c r="N97" s="1060" t="s">
        <v>564</v>
      </c>
      <c r="O97" s="1627" t="s">
        <v>565</v>
      </c>
      <c r="P97" s="1627" t="s">
        <v>566</v>
      </c>
      <c r="Q97" s="1627" t="s">
        <v>566</v>
      </c>
      <c r="R97" s="1627" t="s">
        <v>566</v>
      </c>
      <c r="S97" s="1627" t="s">
        <v>567</v>
      </c>
      <c r="T97" s="1060" t="s">
        <v>475</v>
      </c>
      <c r="U97" s="1060" t="s">
        <v>475</v>
      </c>
      <c r="V97" s="587" t="s">
        <v>475</v>
      </c>
      <c r="W97" s="587" t="s">
        <v>475</v>
      </c>
      <c r="X97" s="587" t="s">
        <v>522</v>
      </c>
      <c r="Y97" s="587" t="s">
        <v>522</v>
      </c>
      <c r="Z97" s="587" t="s">
        <v>522</v>
      </c>
      <c r="AA97" s="587" t="s">
        <v>568</v>
      </c>
      <c r="AB97" s="587" t="s">
        <v>569</v>
      </c>
      <c r="AC97" s="587" t="s">
        <v>475</v>
      </c>
      <c r="AD97" s="587" t="s">
        <v>475</v>
      </c>
      <c r="AE97" s="587" t="s">
        <v>475</v>
      </c>
      <c r="AF97" s="587"/>
      <c r="AG97" s="587"/>
      <c r="AH97" s="505">
        <v>0</v>
      </c>
      <c r="AI97" s="506">
        <v>0</v>
      </c>
    </row>
    <row r="98" spans="1:35" ht="21.95" customHeight="1" x14ac:dyDescent="0.2">
      <c r="A98" s="622">
        <v>2</v>
      </c>
      <c r="B98" s="318" t="s">
        <v>570</v>
      </c>
      <c r="C98" s="553" t="s">
        <v>475</v>
      </c>
      <c r="D98" s="553" t="s">
        <v>475</v>
      </c>
      <c r="E98" s="587" t="s">
        <v>475</v>
      </c>
      <c r="F98" s="588" t="s">
        <v>563</v>
      </c>
      <c r="G98" s="587" t="s">
        <v>564</v>
      </c>
      <c r="H98" s="587" t="s">
        <v>522</v>
      </c>
      <c r="I98" s="587" t="s">
        <v>522</v>
      </c>
      <c r="J98" s="587" t="s">
        <v>475</v>
      </c>
      <c r="K98" s="588" t="s">
        <v>475</v>
      </c>
      <c r="L98" s="587" t="s">
        <v>475</v>
      </c>
      <c r="M98" s="587" t="s">
        <v>563</v>
      </c>
      <c r="N98" s="588" t="s">
        <v>564</v>
      </c>
      <c r="O98" s="587" t="s">
        <v>475</v>
      </c>
      <c r="P98" s="587" t="s">
        <v>475</v>
      </c>
      <c r="Q98" s="587" t="s">
        <v>522</v>
      </c>
      <c r="R98" s="587" t="s">
        <v>522</v>
      </c>
      <c r="S98" s="587" t="s">
        <v>522</v>
      </c>
      <c r="T98" s="587" t="s">
        <v>568</v>
      </c>
      <c r="U98" s="587" t="s">
        <v>569</v>
      </c>
      <c r="V98" s="587" t="s">
        <v>475</v>
      </c>
      <c r="W98" s="587" t="s">
        <v>475</v>
      </c>
      <c r="X98" s="587" t="s">
        <v>475</v>
      </c>
      <c r="Y98" s="587" t="s">
        <v>475</v>
      </c>
      <c r="Z98" s="587" t="s">
        <v>475</v>
      </c>
      <c r="AA98" s="587" t="s">
        <v>475</v>
      </c>
      <c r="AB98" s="553" t="s">
        <v>475</v>
      </c>
      <c r="AC98" s="1064" t="s">
        <v>522</v>
      </c>
      <c r="AD98" s="1064" t="s">
        <v>522</v>
      </c>
      <c r="AE98" s="1064" t="s">
        <v>475</v>
      </c>
      <c r="AF98" s="587"/>
      <c r="AG98" s="588"/>
      <c r="AH98" s="505">
        <v>52</v>
      </c>
      <c r="AI98" s="506">
        <v>37</v>
      </c>
    </row>
    <row r="99" spans="1:35" ht="21.95" customHeight="1" x14ac:dyDescent="0.2">
      <c r="A99" s="622">
        <v>3</v>
      </c>
      <c r="B99" s="552" t="s">
        <v>572</v>
      </c>
      <c r="C99" s="587" t="s">
        <v>522</v>
      </c>
      <c r="D99" s="588" t="s">
        <v>522</v>
      </c>
      <c r="E99" s="587" t="s">
        <v>522</v>
      </c>
      <c r="F99" s="587" t="s">
        <v>568</v>
      </c>
      <c r="G99" s="588" t="s">
        <v>569</v>
      </c>
      <c r="H99" s="587" t="s">
        <v>475</v>
      </c>
      <c r="I99" s="587" t="s">
        <v>475</v>
      </c>
      <c r="J99" s="587" t="s">
        <v>475</v>
      </c>
      <c r="K99" s="587" t="s">
        <v>475</v>
      </c>
      <c r="L99" s="587" t="s">
        <v>475</v>
      </c>
      <c r="M99" s="587" t="s">
        <v>475</v>
      </c>
      <c r="N99" s="588" t="s">
        <v>475</v>
      </c>
      <c r="O99" s="587" t="s">
        <v>522</v>
      </c>
      <c r="P99" s="587" t="s">
        <v>522</v>
      </c>
      <c r="Q99" s="587" t="s">
        <v>475</v>
      </c>
      <c r="R99" s="587" t="s">
        <v>475</v>
      </c>
      <c r="S99" s="587" t="s">
        <v>475</v>
      </c>
      <c r="T99" s="588" t="s">
        <v>563</v>
      </c>
      <c r="U99" s="587" t="s">
        <v>564</v>
      </c>
      <c r="V99" s="1627" t="s">
        <v>565</v>
      </c>
      <c r="W99" s="1627" t="s">
        <v>566</v>
      </c>
      <c r="X99" s="1627" t="s">
        <v>566</v>
      </c>
      <c r="Y99" s="1661" t="s">
        <v>566</v>
      </c>
      <c r="Z99" s="1627" t="s">
        <v>567</v>
      </c>
      <c r="AA99" s="587" t="s">
        <v>475</v>
      </c>
      <c r="AB99" s="587" t="s">
        <v>475</v>
      </c>
      <c r="AC99" s="587" t="s">
        <v>475</v>
      </c>
      <c r="AD99" s="587" t="s">
        <v>475</v>
      </c>
      <c r="AE99" s="587" t="s">
        <v>522</v>
      </c>
      <c r="AF99" s="587"/>
      <c r="AG99" s="588"/>
      <c r="AH99" s="651">
        <v>43</v>
      </c>
      <c r="AI99" s="523">
        <v>0</v>
      </c>
    </row>
    <row r="100" spans="1:35" ht="21.95" customHeight="1" x14ac:dyDescent="0.2">
      <c r="A100" s="622">
        <v>4</v>
      </c>
      <c r="B100" s="552" t="s">
        <v>573</v>
      </c>
      <c r="C100" s="1486" t="s">
        <v>566</v>
      </c>
      <c r="D100" s="587" t="s">
        <v>644</v>
      </c>
      <c r="E100" s="587" t="s">
        <v>644</v>
      </c>
      <c r="F100" s="587" t="s">
        <v>475</v>
      </c>
      <c r="G100" s="587" t="s">
        <v>475</v>
      </c>
      <c r="H100" s="587" t="s">
        <v>475</v>
      </c>
      <c r="I100" s="587" t="s">
        <v>475</v>
      </c>
      <c r="J100" s="587" t="s">
        <v>522</v>
      </c>
      <c r="K100" s="588" t="s">
        <v>522</v>
      </c>
      <c r="L100" s="587" t="s">
        <v>522</v>
      </c>
      <c r="M100" s="587" t="s">
        <v>568</v>
      </c>
      <c r="N100" s="588" t="s">
        <v>569</v>
      </c>
      <c r="O100" s="587" t="s">
        <v>475</v>
      </c>
      <c r="P100" s="587" t="s">
        <v>475</v>
      </c>
      <c r="Q100" s="587" t="s">
        <v>475</v>
      </c>
      <c r="R100" s="587" t="s">
        <v>475</v>
      </c>
      <c r="S100" s="587" t="s">
        <v>475</v>
      </c>
      <c r="T100" s="587" t="s">
        <v>475</v>
      </c>
      <c r="U100" s="587" t="s">
        <v>475</v>
      </c>
      <c r="V100" s="587" t="s">
        <v>522</v>
      </c>
      <c r="W100" s="587" t="s">
        <v>522</v>
      </c>
      <c r="X100" s="587" t="s">
        <v>475</v>
      </c>
      <c r="Y100" s="587" t="s">
        <v>475</v>
      </c>
      <c r="Z100" s="587" t="s">
        <v>475</v>
      </c>
      <c r="AA100" s="588" t="s">
        <v>563</v>
      </c>
      <c r="AB100" s="587" t="s">
        <v>564</v>
      </c>
      <c r="AC100" s="587" t="s">
        <v>522</v>
      </c>
      <c r="AD100" s="588" t="s">
        <v>522</v>
      </c>
      <c r="AE100" s="588" t="s">
        <v>475</v>
      </c>
      <c r="AF100" s="587"/>
      <c r="AG100" s="588"/>
      <c r="AH100" s="651">
        <v>52</v>
      </c>
      <c r="AI100" s="523">
        <v>37</v>
      </c>
    </row>
    <row r="101" spans="1:35" ht="21.95" customHeight="1" x14ac:dyDescent="0.2">
      <c r="A101" s="623"/>
      <c r="B101" s="630"/>
      <c r="C101" s="590"/>
      <c r="D101" s="590"/>
      <c r="E101" s="590"/>
      <c r="F101" s="590"/>
      <c r="G101" s="590"/>
      <c r="H101" s="590"/>
      <c r="I101" s="590"/>
      <c r="J101" s="590"/>
      <c r="K101" s="590"/>
      <c r="L101" s="590"/>
      <c r="M101" s="590"/>
      <c r="N101" s="590"/>
      <c r="O101" s="590"/>
      <c r="P101" s="590"/>
      <c r="Q101" s="590"/>
      <c r="R101" s="590"/>
      <c r="S101" s="590"/>
      <c r="T101" s="590"/>
      <c r="U101" s="590"/>
      <c r="V101" s="590"/>
      <c r="W101" s="590"/>
      <c r="X101" s="590"/>
      <c r="Y101" s="590"/>
      <c r="Z101" s="590"/>
      <c r="AA101" s="590"/>
      <c r="AB101" s="590"/>
      <c r="AC101" s="590"/>
      <c r="AD101" s="590"/>
      <c r="AE101" s="590"/>
      <c r="AF101" s="590"/>
      <c r="AG101" s="590"/>
      <c r="AH101" s="591"/>
      <c r="AI101" s="591"/>
    </row>
    <row r="102" spans="1:35" ht="21.95" customHeight="1" x14ac:dyDescent="0.2">
      <c r="A102" s="1" t="s">
        <v>574</v>
      </c>
      <c r="D102" s="360"/>
      <c r="E102" s="360"/>
      <c r="F102" s="360"/>
      <c r="G102" s="57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</row>
    <row r="103" spans="1:35" ht="21.95" customHeight="1" x14ac:dyDescent="0.2">
      <c r="A103" s="1"/>
      <c r="B103" s="23" t="s">
        <v>556</v>
      </c>
      <c r="C103" s="7"/>
      <c r="D103" s="530" t="s">
        <v>2</v>
      </c>
      <c r="E103" s="51"/>
      <c r="F103" s="573"/>
      <c r="G103" s="7"/>
      <c r="H103" s="530" t="s">
        <v>3</v>
      </c>
      <c r="I103" s="51"/>
      <c r="J103" s="573"/>
      <c r="K103" s="7"/>
      <c r="L103" s="530" t="s">
        <v>4</v>
      </c>
      <c r="M103" s="51"/>
      <c r="N103" s="573"/>
      <c r="O103" s="7"/>
      <c r="P103" s="530" t="s">
        <v>5</v>
      </c>
      <c r="Q103" s="51"/>
      <c r="R103" s="573"/>
      <c r="S103" s="7"/>
      <c r="T103" s="530" t="s">
        <v>6</v>
      </c>
      <c r="U103" s="51"/>
      <c r="V103" s="573"/>
      <c r="W103" s="7"/>
      <c r="X103" s="530" t="s">
        <v>7</v>
      </c>
      <c r="Y103" s="51"/>
      <c r="Z103" s="573"/>
      <c r="AA103" s="7"/>
      <c r="AB103" s="530" t="s">
        <v>8</v>
      </c>
      <c r="AC103" s="51"/>
      <c r="AD103" s="51"/>
      <c r="AE103" s="424" t="s">
        <v>10</v>
      </c>
      <c r="AF103" s="51"/>
      <c r="AG103" s="51"/>
      <c r="AH103" s="51"/>
      <c r="AI103" s="531"/>
    </row>
    <row r="104" spans="1:35" ht="21.95" customHeight="1" x14ac:dyDescent="0.2">
      <c r="A104" s="1"/>
      <c r="B104" s="129" t="s">
        <v>324</v>
      </c>
      <c r="C104" s="121" t="s">
        <v>167</v>
      </c>
      <c r="D104" s="156"/>
      <c r="E104" s="156"/>
      <c r="F104" s="612"/>
      <c r="G104" s="121" t="s">
        <v>709</v>
      </c>
      <c r="H104" s="156"/>
      <c r="I104" s="156"/>
      <c r="J104" s="612"/>
      <c r="K104" s="121" t="s">
        <v>709</v>
      </c>
      <c r="L104" s="156"/>
      <c r="M104" s="156"/>
      <c r="N104" s="612"/>
      <c r="O104" s="121" t="s">
        <v>709</v>
      </c>
      <c r="P104" s="156"/>
      <c r="Q104" s="156"/>
      <c r="R104" s="612"/>
      <c r="S104" s="121" t="s">
        <v>697</v>
      </c>
      <c r="T104" s="156"/>
      <c r="U104" s="156"/>
      <c r="V104" s="612"/>
      <c r="W104" s="1724" t="s">
        <v>579</v>
      </c>
      <c r="X104" s="624"/>
      <c r="Y104" s="624"/>
      <c r="Z104" s="625"/>
      <c r="AA104" s="611"/>
      <c r="AB104" s="156"/>
      <c r="AC104" s="156"/>
      <c r="AD104" s="613"/>
      <c r="AE104" s="128"/>
      <c r="AF104" s="156"/>
      <c r="AG104" s="156" t="s">
        <v>28</v>
      </c>
      <c r="AH104" s="613"/>
      <c r="AI104" s="489"/>
    </row>
    <row r="105" spans="1:35" ht="21.95" customHeight="1" x14ac:dyDescent="0.2">
      <c r="A105" s="1"/>
      <c r="B105" s="129" t="s">
        <v>325</v>
      </c>
      <c r="C105" s="121" t="s">
        <v>711</v>
      </c>
      <c r="D105" s="156"/>
      <c r="E105" s="156"/>
      <c r="F105" s="612"/>
      <c r="G105" s="121" t="s">
        <v>711</v>
      </c>
      <c r="H105" s="156"/>
      <c r="I105" s="156"/>
      <c r="J105" s="612"/>
      <c r="K105" s="121" t="s">
        <v>711</v>
      </c>
      <c r="L105" s="156"/>
      <c r="M105" s="156"/>
      <c r="N105" s="612"/>
      <c r="O105" s="121" t="s">
        <v>711</v>
      </c>
      <c r="P105" s="156"/>
      <c r="Q105" s="156"/>
      <c r="R105" s="612"/>
      <c r="S105" s="121" t="s">
        <v>167</v>
      </c>
      <c r="T105" s="156"/>
      <c r="U105" s="156"/>
      <c r="V105" s="612"/>
      <c r="W105" s="121"/>
      <c r="X105" s="156"/>
      <c r="Y105" s="156"/>
      <c r="Z105" s="612"/>
      <c r="AA105" s="156"/>
      <c r="AB105" s="156"/>
      <c r="AC105" s="156"/>
      <c r="AD105" s="613"/>
      <c r="AE105" s="128"/>
      <c r="AF105" s="156"/>
      <c r="AG105" s="156"/>
      <c r="AH105" s="613"/>
      <c r="AI105" s="489"/>
    </row>
    <row r="106" spans="1:35" ht="21.95" customHeight="1" x14ac:dyDescent="0.2">
      <c r="A106" s="1"/>
      <c r="B106" s="129" t="s">
        <v>326</v>
      </c>
      <c r="C106" s="121" t="s">
        <v>575</v>
      </c>
      <c r="D106" s="156"/>
      <c r="E106" s="156"/>
      <c r="F106" s="612"/>
      <c r="G106" s="121" t="s">
        <v>712</v>
      </c>
      <c r="H106" s="156"/>
      <c r="I106" s="156"/>
      <c r="J106" s="612"/>
      <c r="K106" s="121" t="s">
        <v>712</v>
      </c>
      <c r="L106" s="156"/>
      <c r="M106" s="156"/>
      <c r="N106" s="612"/>
      <c r="O106" s="121" t="s">
        <v>712</v>
      </c>
      <c r="P106" s="156"/>
      <c r="Q106" s="156"/>
      <c r="R106" s="612"/>
      <c r="S106" s="121" t="s">
        <v>713</v>
      </c>
      <c r="T106" s="156"/>
      <c r="U106" s="156"/>
      <c r="V106" s="612"/>
      <c r="W106" s="631" t="s">
        <v>579</v>
      </c>
      <c r="X106" s="134"/>
      <c r="Y106" s="134"/>
      <c r="Z106" s="627"/>
      <c r="AA106" s="626"/>
      <c r="AB106" s="134"/>
      <c r="AC106" s="134"/>
      <c r="AD106" s="628"/>
      <c r="AE106" s="128"/>
      <c r="AF106" s="156"/>
      <c r="AG106" s="156"/>
      <c r="AH106" s="613"/>
      <c r="AI106" s="489"/>
    </row>
    <row r="107" spans="1:35" ht="21.95" customHeight="1" thickBot="1" x14ac:dyDescent="0.25">
      <c r="A107" s="1"/>
      <c r="B107" s="16" t="s">
        <v>236</v>
      </c>
      <c r="C107" s="57" t="s">
        <v>762</v>
      </c>
      <c r="D107" s="53"/>
      <c r="E107" s="53"/>
      <c r="F107" s="619"/>
      <c r="G107" s="57" t="s">
        <v>714</v>
      </c>
      <c r="H107" s="53"/>
      <c r="I107" s="53"/>
      <c r="J107" s="619"/>
      <c r="K107" s="57" t="s">
        <v>714</v>
      </c>
      <c r="L107" s="53"/>
      <c r="M107" s="53"/>
      <c r="N107" s="619"/>
      <c r="O107" s="57" t="s">
        <v>714</v>
      </c>
      <c r="P107" s="53"/>
      <c r="Q107" s="53"/>
      <c r="R107" s="619"/>
      <c r="S107" s="57" t="s">
        <v>715</v>
      </c>
      <c r="T107" s="53"/>
      <c r="U107" s="53"/>
      <c r="V107" s="620"/>
      <c r="W107" s="57"/>
      <c r="X107" s="620"/>
      <c r="Y107" s="53"/>
      <c r="Z107" s="619"/>
      <c r="AA107" s="57"/>
      <c r="AB107" s="620"/>
      <c r="AC107" s="53"/>
      <c r="AD107" s="619"/>
      <c r="AE107" s="629"/>
      <c r="AF107" s="53"/>
      <c r="AG107" s="53"/>
      <c r="AH107" s="620"/>
      <c r="AI107" s="544"/>
    </row>
    <row r="108" spans="1:35" ht="21.95" customHeight="1" x14ac:dyDescent="0.2">
      <c r="A108" s="621"/>
      <c r="B108" s="1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585"/>
      <c r="B109" s="296" t="s">
        <v>469</v>
      </c>
      <c r="C109" s="177">
        <v>1</v>
      </c>
      <c r="D109" s="177">
        <v>2</v>
      </c>
      <c r="E109" s="177">
        <v>3</v>
      </c>
      <c r="F109" s="497">
        <v>4</v>
      </c>
      <c r="G109" s="497">
        <v>5</v>
      </c>
      <c r="H109" s="177">
        <v>6</v>
      </c>
      <c r="I109" s="177">
        <v>7</v>
      </c>
      <c r="J109" s="177">
        <v>8</v>
      </c>
      <c r="K109" s="177">
        <v>9</v>
      </c>
      <c r="L109" s="177">
        <v>10</v>
      </c>
      <c r="M109" s="497">
        <v>11</v>
      </c>
      <c r="N109" s="497">
        <v>12</v>
      </c>
      <c r="O109" s="177">
        <v>13</v>
      </c>
      <c r="P109" s="177">
        <v>14</v>
      </c>
      <c r="Q109" s="177">
        <v>15</v>
      </c>
      <c r="R109" s="177">
        <v>16</v>
      </c>
      <c r="S109" s="177">
        <v>17</v>
      </c>
      <c r="T109" s="497">
        <v>18</v>
      </c>
      <c r="U109" s="497">
        <v>19</v>
      </c>
      <c r="V109" s="177">
        <v>20</v>
      </c>
      <c r="W109" s="177">
        <v>21</v>
      </c>
      <c r="X109" s="177">
        <v>22</v>
      </c>
      <c r="Y109" s="177">
        <v>23</v>
      </c>
      <c r="Z109" s="177">
        <v>24</v>
      </c>
      <c r="AA109" s="497">
        <v>25</v>
      </c>
      <c r="AB109" s="497">
        <v>26</v>
      </c>
      <c r="AC109" s="177">
        <v>27</v>
      </c>
      <c r="AD109" s="177">
        <v>28</v>
      </c>
      <c r="AE109" s="177">
        <v>29</v>
      </c>
      <c r="AF109" s="177"/>
      <c r="AG109" s="177"/>
      <c r="AH109" s="499" t="s">
        <v>470</v>
      </c>
      <c r="AI109" s="500" t="s">
        <v>471</v>
      </c>
    </row>
    <row r="110" spans="1:35" ht="21.95" customHeight="1" x14ac:dyDescent="0.2">
      <c r="A110" s="622">
        <v>1</v>
      </c>
      <c r="B110" s="552" t="s">
        <v>530</v>
      </c>
      <c r="C110" s="514">
        <v>2</v>
      </c>
      <c r="D110" s="1523">
        <v>2</v>
      </c>
      <c r="E110" s="553" t="s">
        <v>475</v>
      </c>
      <c r="F110" s="553"/>
      <c r="G110" s="587"/>
      <c r="H110" s="553">
        <v>3</v>
      </c>
      <c r="I110" s="553">
        <v>3</v>
      </c>
      <c r="J110" s="514">
        <v>3</v>
      </c>
      <c r="K110" s="553">
        <v>3</v>
      </c>
      <c r="L110" s="553">
        <v>3</v>
      </c>
      <c r="M110" s="553">
        <v>3</v>
      </c>
      <c r="N110" s="553"/>
      <c r="O110" s="553">
        <v>4</v>
      </c>
      <c r="P110" s="553">
        <v>4</v>
      </c>
      <c r="Q110" s="553">
        <v>4</v>
      </c>
      <c r="R110" s="553">
        <v>4</v>
      </c>
      <c r="S110" s="553">
        <v>4</v>
      </c>
      <c r="T110" s="553"/>
      <c r="U110" s="587"/>
      <c r="V110" s="587" t="s">
        <v>475</v>
      </c>
      <c r="W110" s="553">
        <v>1</v>
      </c>
      <c r="X110" s="553">
        <v>1</v>
      </c>
      <c r="Y110" s="1642">
        <v>1</v>
      </c>
      <c r="Z110" s="553">
        <v>1</v>
      </c>
      <c r="AA110" s="553">
        <v>1</v>
      </c>
      <c r="AB110" s="553"/>
      <c r="AC110" s="553">
        <v>2</v>
      </c>
      <c r="AD110" s="1087" t="s">
        <v>531</v>
      </c>
      <c r="AE110" s="1087" t="s">
        <v>531</v>
      </c>
      <c r="AF110" s="587"/>
      <c r="AG110" s="587"/>
      <c r="AH110" s="505">
        <v>63</v>
      </c>
      <c r="AI110" s="506">
        <v>16</v>
      </c>
    </row>
    <row r="111" spans="1:35" ht="21.95" customHeight="1" x14ac:dyDescent="0.2">
      <c r="A111" s="622">
        <v>2</v>
      </c>
      <c r="B111" s="318" t="s">
        <v>583</v>
      </c>
      <c r="C111" s="1064">
        <v>3</v>
      </c>
      <c r="D111" s="1064">
        <v>3</v>
      </c>
      <c r="E111" s="1064">
        <v>3</v>
      </c>
      <c r="F111" s="1064">
        <v>3</v>
      </c>
      <c r="G111" s="1064"/>
      <c r="H111" s="553">
        <v>4</v>
      </c>
      <c r="I111" s="553">
        <v>4</v>
      </c>
      <c r="J111" s="553">
        <v>4</v>
      </c>
      <c r="K111" s="553">
        <v>4</v>
      </c>
      <c r="L111" s="553">
        <v>4</v>
      </c>
      <c r="M111" s="553"/>
      <c r="N111" s="587"/>
      <c r="O111" s="587" t="s">
        <v>475</v>
      </c>
      <c r="P111" s="553">
        <v>1</v>
      </c>
      <c r="Q111" s="553">
        <v>1</v>
      </c>
      <c r="R111" s="553">
        <v>1</v>
      </c>
      <c r="S111" s="553">
        <v>1</v>
      </c>
      <c r="T111" s="553">
        <v>1</v>
      </c>
      <c r="U111" s="553"/>
      <c r="V111" s="1515">
        <v>2</v>
      </c>
      <c r="W111" s="1515">
        <v>2</v>
      </c>
      <c r="X111" s="1515">
        <v>2</v>
      </c>
      <c r="Y111" s="1515" t="s">
        <v>703</v>
      </c>
      <c r="Z111" s="553" t="s">
        <v>475</v>
      </c>
      <c r="AA111" s="553"/>
      <c r="AB111" s="587"/>
      <c r="AC111" s="553">
        <v>3</v>
      </c>
      <c r="AD111" s="1642">
        <v>3</v>
      </c>
      <c r="AE111" s="553">
        <v>3</v>
      </c>
      <c r="AF111" s="587"/>
      <c r="AG111" s="587"/>
      <c r="AH111" s="505">
        <v>21</v>
      </c>
      <c r="AI111" s="506">
        <v>14</v>
      </c>
    </row>
    <row r="112" spans="1:35" ht="21.95" customHeight="1" x14ac:dyDescent="0.2">
      <c r="A112" s="622">
        <v>3</v>
      </c>
      <c r="B112" s="552" t="s">
        <v>584</v>
      </c>
      <c r="C112" s="553">
        <v>4</v>
      </c>
      <c r="D112" s="553">
        <v>4</v>
      </c>
      <c r="E112" s="553">
        <v>4</v>
      </c>
      <c r="F112" s="587"/>
      <c r="G112" s="587"/>
      <c r="H112" s="587" t="s">
        <v>475</v>
      </c>
      <c r="I112" s="1642" t="s">
        <v>552</v>
      </c>
      <c r="J112" s="1486">
        <v>1</v>
      </c>
      <c r="K112" s="553">
        <v>1</v>
      </c>
      <c r="L112" s="553">
        <v>1</v>
      </c>
      <c r="M112" s="553">
        <v>1</v>
      </c>
      <c r="N112" s="587"/>
      <c r="O112" s="1064">
        <v>2</v>
      </c>
      <c r="P112" s="1064">
        <v>2</v>
      </c>
      <c r="Q112" s="1064">
        <v>2</v>
      </c>
      <c r="R112" s="1064">
        <v>2</v>
      </c>
      <c r="S112" s="1060" t="s">
        <v>475</v>
      </c>
      <c r="T112" s="1060"/>
      <c r="U112" s="1060"/>
      <c r="V112" s="553">
        <v>3</v>
      </c>
      <c r="W112" s="553">
        <v>3</v>
      </c>
      <c r="X112" s="553">
        <v>3</v>
      </c>
      <c r="Y112" s="1642">
        <v>3</v>
      </c>
      <c r="Z112" s="553">
        <v>3</v>
      </c>
      <c r="AA112" s="553">
        <v>3</v>
      </c>
      <c r="AB112" s="587"/>
      <c r="AC112" s="553">
        <v>4</v>
      </c>
      <c r="AD112" s="1515">
        <v>4</v>
      </c>
      <c r="AE112" s="1515">
        <v>4</v>
      </c>
      <c r="AF112" s="587"/>
      <c r="AG112" s="587"/>
      <c r="AH112" s="505">
        <v>3</v>
      </c>
      <c r="AI112" s="506">
        <v>10</v>
      </c>
    </row>
    <row r="113" spans="1:36" ht="21.95" customHeight="1" thickBot="1" x14ac:dyDescent="0.25">
      <c r="A113" s="622">
        <v>4</v>
      </c>
      <c r="B113" s="552" t="s">
        <v>289</v>
      </c>
      <c r="C113" s="1486">
        <v>1</v>
      </c>
      <c r="D113" s="553">
        <v>1</v>
      </c>
      <c r="E113" s="553">
        <v>1</v>
      </c>
      <c r="F113" s="553">
        <v>1</v>
      </c>
      <c r="G113" s="587"/>
      <c r="H113" s="553">
        <v>2</v>
      </c>
      <c r="I113" s="553">
        <v>2</v>
      </c>
      <c r="J113" s="553">
        <v>2</v>
      </c>
      <c r="K113" s="553">
        <v>2</v>
      </c>
      <c r="L113" s="587" t="s">
        <v>475</v>
      </c>
      <c r="M113" s="587"/>
      <c r="N113" s="553"/>
      <c r="O113" s="553">
        <v>3</v>
      </c>
      <c r="P113" s="553">
        <v>3</v>
      </c>
      <c r="Q113" s="553">
        <v>3</v>
      </c>
      <c r="R113" s="553">
        <v>3</v>
      </c>
      <c r="S113" s="553">
        <v>3</v>
      </c>
      <c r="T113" s="553">
        <v>3</v>
      </c>
      <c r="U113" s="587"/>
      <c r="V113" s="553">
        <v>4</v>
      </c>
      <c r="W113" s="553">
        <v>4</v>
      </c>
      <c r="X113" s="553">
        <v>4</v>
      </c>
      <c r="Y113" s="1515">
        <v>4</v>
      </c>
      <c r="Z113" s="1515">
        <v>4</v>
      </c>
      <c r="AA113" s="1515"/>
      <c r="AB113" s="1516"/>
      <c r="AC113" s="1516" t="s">
        <v>475</v>
      </c>
      <c r="AD113" s="1515">
        <v>1</v>
      </c>
      <c r="AE113" s="1515">
        <v>1</v>
      </c>
      <c r="AF113" s="587"/>
      <c r="AG113" s="587"/>
      <c r="AH113" s="717">
        <v>63</v>
      </c>
      <c r="AI113" s="718">
        <v>4</v>
      </c>
    </row>
    <row r="114" spans="1:36" ht="21.95" customHeight="1" x14ac:dyDescent="0.2">
      <c r="A114" s="623"/>
      <c r="B114" s="630"/>
      <c r="C114" s="590"/>
      <c r="D114" s="590"/>
      <c r="E114" s="590"/>
      <c r="F114" s="590"/>
      <c r="G114" s="590"/>
      <c r="H114" s="590"/>
      <c r="I114" s="590"/>
      <c r="J114" s="590"/>
      <c r="K114" s="590"/>
      <c r="L114" s="590"/>
      <c r="M114" s="590"/>
      <c r="N114" s="590"/>
      <c r="O114" s="590"/>
      <c r="P114" s="590"/>
      <c r="Q114" s="590"/>
      <c r="R114" s="590"/>
      <c r="S114" s="590"/>
      <c r="T114" s="590"/>
      <c r="U114" s="590"/>
      <c r="V114" s="590"/>
      <c r="W114" s="590"/>
      <c r="X114" s="590"/>
      <c r="Y114" s="590"/>
      <c r="Z114" s="590"/>
      <c r="AA114" s="590"/>
      <c r="AB114" s="590"/>
      <c r="AC114" s="590"/>
      <c r="AD114" s="590"/>
      <c r="AE114" s="590"/>
      <c r="AF114" s="590"/>
      <c r="AG114" s="590"/>
      <c r="AH114" s="591"/>
      <c r="AI114" s="591"/>
    </row>
    <row r="115" spans="1:36" ht="21.95" customHeight="1" x14ac:dyDescent="0.2">
      <c r="A115" s="311" t="s">
        <v>585</v>
      </c>
      <c r="C115" s="590"/>
      <c r="D115" s="590"/>
      <c r="E115" s="590"/>
      <c r="F115" s="590"/>
      <c r="G115" s="590"/>
      <c r="H115" s="590"/>
      <c r="I115" s="590"/>
      <c r="J115" s="590"/>
      <c r="K115" s="590"/>
      <c r="L115" s="590"/>
      <c r="M115" s="590"/>
      <c r="N115" s="590"/>
      <c r="O115" s="590"/>
      <c r="P115" s="590"/>
      <c r="Q115" s="590"/>
      <c r="R115" s="590"/>
      <c r="S115" s="590"/>
      <c r="T115" s="590"/>
      <c r="U115" s="590"/>
      <c r="V115" s="590"/>
      <c r="W115" s="590"/>
      <c r="X115" s="590"/>
      <c r="Y115" s="590"/>
      <c r="Z115" s="590"/>
      <c r="AA115" s="590"/>
      <c r="AB115" s="590"/>
      <c r="AC115" s="590"/>
      <c r="AD115" s="590"/>
      <c r="AE115" s="590"/>
      <c r="AF115" s="590"/>
      <c r="AG115" s="590"/>
      <c r="AH115" s="591"/>
      <c r="AI115" s="591"/>
      <c r="AJ115" s="360"/>
    </row>
    <row r="116" spans="1:36" ht="21.95" customHeight="1" x14ac:dyDescent="0.2">
      <c r="A116" s="298" t="s">
        <v>468</v>
      </c>
      <c r="B116" s="298"/>
      <c r="C116" s="152"/>
      <c r="D116" s="298" t="s">
        <v>2</v>
      </c>
      <c r="E116" s="185"/>
      <c r="F116" s="152"/>
      <c r="G116" s="298" t="s">
        <v>3</v>
      </c>
      <c r="H116" s="185"/>
      <c r="I116" s="152"/>
      <c r="J116" s="298" t="s">
        <v>4</v>
      </c>
      <c r="K116" s="185"/>
      <c r="L116" s="152"/>
      <c r="M116" s="298" t="s">
        <v>5</v>
      </c>
      <c r="N116" s="185"/>
      <c r="O116" s="152"/>
      <c r="P116" s="298" t="s">
        <v>6</v>
      </c>
      <c r="Q116" s="185"/>
      <c r="R116" s="133"/>
      <c r="S116" s="198" t="s">
        <v>7</v>
      </c>
      <c r="T116" s="185"/>
      <c r="U116" s="152"/>
      <c r="V116" s="298" t="s">
        <v>8</v>
      </c>
      <c r="W116" s="185"/>
      <c r="X116" s="632" t="s">
        <v>10</v>
      </c>
      <c r="Y116" s="185"/>
      <c r="Z116" s="185"/>
      <c r="AA116" s="598"/>
      <c r="AB116" s="482"/>
      <c r="AC116" s="482"/>
      <c r="AD116" s="482"/>
      <c r="AE116" s="482"/>
      <c r="AF116" s="482"/>
      <c r="AG116" s="483"/>
      <c r="AH116" s="360"/>
      <c r="AI116" s="360"/>
      <c r="AJ116" s="360"/>
    </row>
    <row r="117" spans="1:36" ht="21.95" customHeight="1" x14ac:dyDescent="0.2">
      <c r="A117" s="1786">
        <v>8517</v>
      </c>
      <c r="B117" s="501" t="s">
        <v>586</v>
      </c>
      <c r="C117" s="631" t="s">
        <v>124</v>
      </c>
      <c r="D117" s="628"/>
      <c r="E117" s="633"/>
      <c r="F117" s="631" t="s">
        <v>124</v>
      </c>
      <c r="G117" s="634"/>
      <c r="H117" s="633"/>
      <c r="I117" s="121" t="s">
        <v>124</v>
      </c>
      <c r="J117" s="613"/>
      <c r="K117" s="635"/>
      <c r="L117" s="121" t="s">
        <v>124</v>
      </c>
      <c r="M117" s="613"/>
      <c r="N117" s="635"/>
      <c r="O117" s="121" t="s">
        <v>125</v>
      </c>
      <c r="P117" s="613"/>
      <c r="Q117" s="476"/>
      <c r="R117" s="636" t="s">
        <v>28</v>
      </c>
      <c r="S117" s="613"/>
      <c r="T117" s="635"/>
      <c r="U117" s="613" t="s">
        <v>28</v>
      </c>
      <c r="V117" s="613"/>
      <c r="W117" s="476"/>
      <c r="X117" s="144" t="s">
        <v>28</v>
      </c>
      <c r="Y117" s="360"/>
      <c r="Z117" s="360"/>
      <c r="AA117" s="360"/>
      <c r="AB117" s="360"/>
      <c r="AC117" s="360"/>
      <c r="AD117" s="360"/>
      <c r="AE117" s="360"/>
      <c r="AF117" s="360"/>
      <c r="AG117" s="637"/>
      <c r="AH117" s="360"/>
      <c r="AI117" s="360"/>
      <c r="AJ117" s="360"/>
    </row>
    <row r="118" spans="1:36" ht="21.95" customHeight="1" x14ac:dyDescent="0.2">
      <c r="A118" s="638">
        <v>8502</v>
      </c>
      <c r="B118" s="639" t="s">
        <v>587</v>
      </c>
      <c r="C118" s="121" t="s">
        <v>11</v>
      </c>
      <c r="D118" s="613"/>
      <c r="E118" s="476"/>
      <c r="F118" s="121" t="s">
        <v>11</v>
      </c>
      <c r="G118" s="613"/>
      <c r="H118" s="635"/>
      <c r="I118" s="121" t="s">
        <v>11</v>
      </c>
      <c r="J118" s="613"/>
      <c r="K118" s="635"/>
      <c r="L118" s="121" t="s">
        <v>11</v>
      </c>
      <c r="M118" s="613"/>
      <c r="N118" s="635"/>
      <c r="O118" s="121" t="s">
        <v>12</v>
      </c>
      <c r="P118" s="613"/>
      <c r="Q118" s="476"/>
      <c r="R118" s="640"/>
      <c r="S118" s="641"/>
      <c r="T118" s="635"/>
      <c r="U118" s="613"/>
      <c r="V118" s="613"/>
      <c r="W118" s="476"/>
      <c r="X118" s="475"/>
      <c r="Y118" s="482"/>
      <c r="Z118" s="482"/>
      <c r="AA118" s="482"/>
      <c r="AB118" s="482"/>
      <c r="AC118" s="482"/>
      <c r="AD118" s="482"/>
      <c r="AE118" s="482"/>
      <c r="AF118" s="482"/>
      <c r="AG118" s="483"/>
      <c r="AH118" s="360"/>
      <c r="AI118" s="360"/>
      <c r="AJ118" s="360"/>
    </row>
    <row r="119" spans="1:36" ht="21.95" customHeight="1" x14ac:dyDescent="0.2">
      <c r="A119" s="273"/>
      <c r="B119" s="524"/>
      <c r="C119" s="353"/>
      <c r="D119" s="353"/>
      <c r="E119" s="73"/>
      <c r="F119" s="353"/>
      <c r="G119" s="353"/>
      <c r="H119" s="73"/>
      <c r="I119" s="353"/>
      <c r="J119" s="353"/>
      <c r="K119" s="73"/>
      <c r="L119" s="353"/>
      <c r="M119" s="353"/>
      <c r="N119" s="73"/>
      <c r="O119" s="353"/>
      <c r="P119" s="353"/>
      <c r="Q119" s="73"/>
      <c r="R119" s="167"/>
      <c r="S119" s="353"/>
      <c r="T119" s="73"/>
      <c r="U119" s="353"/>
      <c r="V119" s="353"/>
      <c r="W119" s="73"/>
      <c r="X119" s="73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</row>
    <row r="120" spans="1:36" ht="21.95" customHeight="1" x14ac:dyDescent="0.2">
      <c r="A120" s="642"/>
      <c r="B120" s="181" t="s">
        <v>469</v>
      </c>
      <c r="C120" s="177">
        <v>1</v>
      </c>
      <c r="D120" s="177">
        <v>2</v>
      </c>
      <c r="E120" s="177">
        <v>3</v>
      </c>
      <c r="F120" s="497">
        <v>4</v>
      </c>
      <c r="G120" s="497">
        <v>5</v>
      </c>
      <c r="H120" s="177">
        <v>6</v>
      </c>
      <c r="I120" s="177">
        <v>7</v>
      </c>
      <c r="J120" s="177">
        <v>8</v>
      </c>
      <c r="K120" s="177">
        <v>9</v>
      </c>
      <c r="L120" s="177">
        <v>10</v>
      </c>
      <c r="M120" s="497">
        <v>11</v>
      </c>
      <c r="N120" s="497">
        <v>12</v>
      </c>
      <c r="O120" s="177">
        <v>13</v>
      </c>
      <c r="P120" s="177">
        <v>14</v>
      </c>
      <c r="Q120" s="177">
        <v>15</v>
      </c>
      <c r="R120" s="177">
        <v>16</v>
      </c>
      <c r="S120" s="177">
        <v>17</v>
      </c>
      <c r="T120" s="497">
        <v>18</v>
      </c>
      <c r="U120" s="497">
        <v>19</v>
      </c>
      <c r="V120" s="177">
        <v>20</v>
      </c>
      <c r="W120" s="177">
        <v>21</v>
      </c>
      <c r="X120" s="177">
        <v>22</v>
      </c>
      <c r="Y120" s="177">
        <v>23</v>
      </c>
      <c r="Z120" s="177">
        <v>24</v>
      </c>
      <c r="AA120" s="497">
        <v>25</v>
      </c>
      <c r="AB120" s="497">
        <v>26</v>
      </c>
      <c r="AC120" s="177">
        <v>27</v>
      </c>
      <c r="AD120" s="177">
        <v>28</v>
      </c>
      <c r="AE120" s="177">
        <v>29</v>
      </c>
      <c r="AF120" s="177"/>
      <c r="AG120" s="177"/>
      <c r="AH120" s="643" t="s">
        <v>470</v>
      </c>
      <c r="AI120" s="644" t="s">
        <v>471</v>
      </c>
    </row>
    <row r="121" spans="1:36" ht="21.95" customHeight="1" x14ac:dyDescent="0.2">
      <c r="A121" s="645">
        <v>1</v>
      </c>
      <c r="B121" s="552" t="s">
        <v>588</v>
      </c>
      <c r="C121" s="1515" t="s">
        <v>552</v>
      </c>
      <c r="D121" s="1515" t="s">
        <v>552</v>
      </c>
      <c r="E121" s="1515" t="s">
        <v>552</v>
      </c>
      <c r="F121" s="1515"/>
      <c r="G121" s="1515"/>
      <c r="H121" s="1515" t="s">
        <v>552</v>
      </c>
      <c r="I121" s="1515" t="s">
        <v>552</v>
      </c>
      <c r="J121" s="1515" t="s">
        <v>552</v>
      </c>
      <c r="K121" s="1515" t="s">
        <v>552</v>
      </c>
      <c r="L121" s="1515" t="s">
        <v>552</v>
      </c>
      <c r="M121" s="1515"/>
      <c r="N121" s="1515"/>
      <c r="O121" s="1515" t="s">
        <v>552</v>
      </c>
      <c r="P121" s="1515" t="s">
        <v>552</v>
      </c>
      <c r="Q121" s="1515" t="s">
        <v>552</v>
      </c>
      <c r="R121" s="1515" t="s">
        <v>552</v>
      </c>
      <c r="S121" s="1515" t="s">
        <v>552</v>
      </c>
      <c r="T121" s="1515"/>
      <c r="U121" s="1515"/>
      <c r="V121" s="1515" t="s">
        <v>552</v>
      </c>
      <c r="W121" s="1515" t="s">
        <v>552</v>
      </c>
      <c r="X121" s="1515" t="s">
        <v>552</v>
      </c>
      <c r="Y121" s="1515" t="s">
        <v>552</v>
      </c>
      <c r="Z121" s="1515" t="s">
        <v>552</v>
      </c>
      <c r="AA121" s="1515"/>
      <c r="AB121" s="1515"/>
      <c r="AC121" s="1515" t="s">
        <v>552</v>
      </c>
      <c r="AD121" s="1515" t="s">
        <v>552</v>
      </c>
      <c r="AE121" s="1515" t="s">
        <v>552</v>
      </c>
      <c r="AF121" s="553"/>
      <c r="AG121" s="503"/>
      <c r="AH121" s="646">
        <v>37</v>
      </c>
      <c r="AI121" s="647">
        <v>37</v>
      </c>
    </row>
    <row r="122" spans="1:36" ht="21.95" customHeight="1" thickBot="1" x14ac:dyDescent="0.25">
      <c r="A122" s="645">
        <v>2</v>
      </c>
      <c r="B122" s="552" t="s">
        <v>590</v>
      </c>
      <c r="C122" s="557" t="s">
        <v>644</v>
      </c>
      <c r="D122" s="557" t="s">
        <v>513</v>
      </c>
      <c r="E122" s="1514" t="s">
        <v>513</v>
      </c>
      <c r="F122" s="1514" t="s">
        <v>550</v>
      </c>
      <c r="G122" s="1514" t="s">
        <v>550</v>
      </c>
      <c r="H122" s="1514" t="s">
        <v>475</v>
      </c>
      <c r="I122" s="1515" t="s">
        <v>475</v>
      </c>
      <c r="J122" s="1486" t="s">
        <v>552</v>
      </c>
      <c r="K122" s="1514" t="s">
        <v>475</v>
      </c>
      <c r="L122" s="1514" t="s">
        <v>475</v>
      </c>
      <c r="M122" s="1514"/>
      <c r="N122" s="1514"/>
      <c r="O122" s="1514" t="s">
        <v>763</v>
      </c>
      <c r="P122" s="557" t="s">
        <v>513</v>
      </c>
      <c r="Q122" s="557" t="s">
        <v>513</v>
      </c>
      <c r="R122" s="557" t="s">
        <v>513</v>
      </c>
      <c r="S122" s="557" t="s">
        <v>513</v>
      </c>
      <c r="T122" s="557" t="s">
        <v>550</v>
      </c>
      <c r="U122" s="557" t="s">
        <v>550</v>
      </c>
      <c r="V122" s="557" t="s">
        <v>475</v>
      </c>
      <c r="W122" s="557" t="s">
        <v>475</v>
      </c>
      <c r="X122" s="557" t="s">
        <v>475</v>
      </c>
      <c r="Y122" s="1633" t="s">
        <v>475</v>
      </c>
      <c r="Z122" s="557" t="s">
        <v>475</v>
      </c>
      <c r="AA122" s="557"/>
      <c r="AB122" s="557"/>
      <c r="AC122" s="557" t="s">
        <v>552</v>
      </c>
      <c r="AD122" s="1643" t="s">
        <v>552</v>
      </c>
      <c r="AE122" s="557" t="s">
        <v>552</v>
      </c>
      <c r="AF122" s="553"/>
      <c r="AG122" s="503"/>
      <c r="AH122" s="505">
        <v>3</v>
      </c>
      <c r="AI122" s="506">
        <v>37</v>
      </c>
    </row>
    <row r="123" spans="1:36" ht="21.95" customHeight="1" thickBot="1" x14ac:dyDescent="0.25">
      <c r="A123" s="645">
        <v>3</v>
      </c>
      <c r="B123" s="152" t="s">
        <v>591</v>
      </c>
      <c r="C123" s="1095" t="s">
        <v>552</v>
      </c>
      <c r="D123" s="1095" t="s">
        <v>552</v>
      </c>
      <c r="E123" s="1095" t="s">
        <v>552</v>
      </c>
      <c r="F123" s="1095"/>
      <c r="G123" s="1095"/>
      <c r="H123" s="1657" t="s">
        <v>552</v>
      </c>
      <c r="I123" s="1095" t="s">
        <v>552</v>
      </c>
      <c r="J123" s="1486" t="s">
        <v>552</v>
      </c>
      <c r="K123" s="1095" t="s">
        <v>552</v>
      </c>
      <c r="L123" s="1095" t="s">
        <v>552</v>
      </c>
      <c r="M123" s="1095"/>
      <c r="N123" s="1095"/>
      <c r="O123" s="1095" t="s">
        <v>552</v>
      </c>
      <c r="P123" s="1095" t="s">
        <v>552</v>
      </c>
      <c r="Q123" s="1515" t="s">
        <v>552</v>
      </c>
      <c r="R123" s="1515" t="s">
        <v>617</v>
      </c>
      <c r="S123" s="553" t="s">
        <v>552</v>
      </c>
      <c r="T123" s="1095"/>
      <c r="U123" s="1095"/>
      <c r="V123" s="1095" t="s">
        <v>552</v>
      </c>
      <c r="W123" s="1095" t="s">
        <v>552</v>
      </c>
      <c r="X123" s="1095" t="s">
        <v>552</v>
      </c>
      <c r="Y123" s="1095" t="s">
        <v>552</v>
      </c>
      <c r="Z123" s="1095" t="s">
        <v>552</v>
      </c>
      <c r="AA123" s="1095"/>
      <c r="AB123" s="1095"/>
      <c r="AC123" s="1095" t="s">
        <v>552</v>
      </c>
      <c r="AD123" s="1095" t="s">
        <v>552</v>
      </c>
      <c r="AE123" s="1095" t="s">
        <v>552</v>
      </c>
      <c r="AF123" s="557"/>
      <c r="AG123" s="558"/>
      <c r="AH123" s="505">
        <v>40</v>
      </c>
      <c r="AI123" s="506">
        <v>37</v>
      </c>
    </row>
    <row r="124" spans="1:36" ht="21.95" customHeight="1" x14ac:dyDescent="0.2">
      <c r="A124" s="645">
        <v>4</v>
      </c>
      <c r="B124" s="152" t="s">
        <v>592</v>
      </c>
      <c r="C124" s="1064" t="s">
        <v>552</v>
      </c>
      <c r="D124" s="1064" t="s">
        <v>552</v>
      </c>
      <c r="E124" s="1064" t="s">
        <v>552</v>
      </c>
      <c r="F124" s="1064"/>
      <c r="G124" s="1064"/>
      <c r="H124" s="1654">
        <v>5</v>
      </c>
      <c r="I124" s="1654">
        <v>5</v>
      </c>
      <c r="J124" s="1486" t="s">
        <v>552</v>
      </c>
      <c r="K124" s="1654">
        <v>5</v>
      </c>
      <c r="L124" s="1654">
        <v>5</v>
      </c>
      <c r="M124" s="553"/>
      <c r="N124" s="553"/>
      <c r="O124" s="553" t="s">
        <v>644</v>
      </c>
      <c r="P124" s="553" t="s">
        <v>644</v>
      </c>
      <c r="Q124" s="553" t="s">
        <v>644</v>
      </c>
      <c r="R124" s="553" t="s">
        <v>644</v>
      </c>
      <c r="S124" s="553" t="s">
        <v>644</v>
      </c>
      <c r="T124" s="553"/>
      <c r="U124" s="553"/>
      <c r="V124" s="553" t="s">
        <v>552</v>
      </c>
      <c r="W124" s="553">
        <v>3</v>
      </c>
      <c r="X124" s="553">
        <v>3</v>
      </c>
      <c r="Y124" s="553">
        <v>3</v>
      </c>
      <c r="Z124" s="553">
        <v>3</v>
      </c>
      <c r="AA124" s="553"/>
      <c r="AB124" s="553"/>
      <c r="AC124" s="553" t="s">
        <v>513</v>
      </c>
      <c r="AD124" s="553" t="s">
        <v>513</v>
      </c>
      <c r="AE124" s="553" t="s">
        <v>513</v>
      </c>
      <c r="AF124" s="553"/>
      <c r="AG124" s="503"/>
      <c r="AH124" s="505">
        <v>6</v>
      </c>
      <c r="AI124" s="506">
        <v>37</v>
      </c>
    </row>
    <row r="125" spans="1:36" ht="21.95" customHeight="1" x14ac:dyDescent="0.2">
      <c r="A125" s="645">
        <v>5</v>
      </c>
      <c r="B125" s="552" t="s">
        <v>690</v>
      </c>
      <c r="C125" s="553" t="s">
        <v>513</v>
      </c>
      <c r="D125" s="553" t="s">
        <v>475</v>
      </c>
      <c r="E125" s="553" t="s">
        <v>475</v>
      </c>
      <c r="F125" s="553"/>
      <c r="G125" s="553"/>
      <c r="H125" s="553">
        <v>8</v>
      </c>
      <c r="I125" s="553" t="s">
        <v>552</v>
      </c>
      <c r="J125" s="553">
        <v>4</v>
      </c>
      <c r="K125" s="553" t="s">
        <v>475</v>
      </c>
      <c r="L125" s="553">
        <v>11</v>
      </c>
      <c r="M125" s="553"/>
      <c r="N125" s="553"/>
      <c r="O125" s="1654" t="s">
        <v>763</v>
      </c>
      <c r="P125" s="1654">
        <v>5</v>
      </c>
      <c r="Q125" s="1654">
        <v>5</v>
      </c>
      <c r="R125" s="1654">
        <v>5</v>
      </c>
      <c r="S125" s="1654">
        <v>8</v>
      </c>
      <c r="T125" s="553"/>
      <c r="U125" s="553"/>
      <c r="V125" s="553" t="s">
        <v>552</v>
      </c>
      <c r="W125" s="553" t="s">
        <v>552</v>
      </c>
      <c r="X125" s="553" t="s">
        <v>552</v>
      </c>
      <c r="Y125" s="553" t="s">
        <v>552</v>
      </c>
      <c r="Z125" s="553" t="s">
        <v>552</v>
      </c>
      <c r="AA125" s="553"/>
      <c r="AB125" s="553"/>
      <c r="AC125" s="1565" t="s">
        <v>540</v>
      </c>
      <c r="AD125" s="553">
        <v>5</v>
      </c>
      <c r="AE125" s="1565" t="s">
        <v>540</v>
      </c>
      <c r="AF125" s="553"/>
      <c r="AG125" s="503"/>
      <c r="AH125" s="505">
        <v>43</v>
      </c>
      <c r="AI125" s="506">
        <v>37</v>
      </c>
    </row>
    <row r="126" spans="1:36" ht="21.95" customHeight="1" x14ac:dyDescent="0.2">
      <c r="A126" s="645">
        <v>6</v>
      </c>
      <c r="B126" s="152" t="s">
        <v>692</v>
      </c>
      <c r="C126" s="553">
        <v>8</v>
      </c>
      <c r="D126" s="553" t="s">
        <v>552</v>
      </c>
      <c r="E126" s="553" t="s">
        <v>552</v>
      </c>
      <c r="F126" s="553"/>
      <c r="G126" s="553"/>
      <c r="H126" s="553" t="s">
        <v>513</v>
      </c>
      <c r="I126" s="553" t="s">
        <v>513</v>
      </c>
      <c r="J126" s="1486" t="s">
        <v>513</v>
      </c>
      <c r="K126" s="553" t="s">
        <v>513</v>
      </c>
      <c r="L126" s="553" t="s">
        <v>513</v>
      </c>
      <c r="M126" s="553" t="s">
        <v>550</v>
      </c>
      <c r="N126" s="553" t="s">
        <v>550</v>
      </c>
      <c r="O126" s="553" t="s">
        <v>475</v>
      </c>
      <c r="P126" s="553" t="s">
        <v>475</v>
      </c>
      <c r="Q126" s="553" t="s">
        <v>475</v>
      </c>
      <c r="R126" s="553" t="s">
        <v>475</v>
      </c>
      <c r="S126" s="553" t="s">
        <v>475</v>
      </c>
      <c r="T126" s="553"/>
      <c r="U126" s="553"/>
      <c r="V126" s="553">
        <v>3</v>
      </c>
      <c r="W126" s="1633" t="s">
        <v>551</v>
      </c>
      <c r="X126" s="553" t="s">
        <v>551</v>
      </c>
      <c r="Y126" s="553" t="s">
        <v>551</v>
      </c>
      <c r="Z126" s="1654" t="s">
        <v>551</v>
      </c>
      <c r="AA126" s="553"/>
      <c r="AB126" s="553"/>
      <c r="AC126" s="1523" t="s">
        <v>552</v>
      </c>
      <c r="AD126" s="1523" t="s">
        <v>552</v>
      </c>
      <c r="AE126" s="1523" t="s">
        <v>552</v>
      </c>
      <c r="AF126" s="553"/>
      <c r="AG126" s="503"/>
      <c r="AH126" s="505">
        <v>0</v>
      </c>
      <c r="AI126" s="506">
        <v>0</v>
      </c>
    </row>
    <row r="127" spans="1:36" ht="21.95" customHeight="1" thickBot="1" x14ac:dyDescent="0.25">
      <c r="A127" s="645">
        <v>7</v>
      </c>
      <c r="B127" s="152" t="s">
        <v>594</v>
      </c>
      <c r="C127" s="553">
        <v>1</v>
      </c>
      <c r="D127" s="553" t="s">
        <v>644</v>
      </c>
      <c r="E127" s="553" t="s">
        <v>644</v>
      </c>
      <c r="F127" s="553" t="s">
        <v>484</v>
      </c>
      <c r="G127" s="553" t="s">
        <v>504</v>
      </c>
      <c r="H127" s="553" t="s">
        <v>475</v>
      </c>
      <c r="I127" s="553" t="s">
        <v>475</v>
      </c>
      <c r="J127" s="553">
        <v>5</v>
      </c>
      <c r="K127" s="553" t="s">
        <v>644</v>
      </c>
      <c r="L127" s="553" t="s">
        <v>644</v>
      </c>
      <c r="M127" s="553" t="s">
        <v>484</v>
      </c>
      <c r="N127" s="553" t="s">
        <v>484</v>
      </c>
      <c r="O127" s="553">
        <v>11</v>
      </c>
      <c r="P127" s="553">
        <v>11</v>
      </c>
      <c r="Q127" s="553">
        <v>11</v>
      </c>
      <c r="R127" s="553">
        <v>11</v>
      </c>
      <c r="S127" s="553">
        <v>11</v>
      </c>
      <c r="T127" s="553" t="s">
        <v>503</v>
      </c>
      <c r="U127" s="553" t="s">
        <v>503</v>
      </c>
      <c r="V127" s="553" t="s">
        <v>475</v>
      </c>
      <c r="W127" s="553" t="s">
        <v>475</v>
      </c>
      <c r="X127" s="553" t="s">
        <v>475</v>
      </c>
      <c r="Y127" s="553" t="s">
        <v>475</v>
      </c>
      <c r="Z127" s="553" t="s">
        <v>475</v>
      </c>
      <c r="AA127" s="553"/>
      <c r="AB127" s="553"/>
      <c r="AC127" s="553" t="s">
        <v>552</v>
      </c>
      <c r="AD127" s="553">
        <v>6</v>
      </c>
      <c r="AE127" s="553" t="s">
        <v>552</v>
      </c>
      <c r="AF127" s="553"/>
      <c r="AG127" s="503"/>
      <c r="AH127" s="505">
        <v>0</v>
      </c>
      <c r="AI127" s="506">
        <v>0</v>
      </c>
    </row>
    <row r="128" spans="1:36" ht="21.95" customHeight="1" x14ac:dyDescent="0.2">
      <c r="A128" s="645">
        <v>8</v>
      </c>
      <c r="B128" s="1111" t="s">
        <v>735</v>
      </c>
      <c r="C128" s="1486" t="s">
        <v>552</v>
      </c>
      <c r="D128" s="549" t="s">
        <v>552</v>
      </c>
      <c r="E128" s="549" t="s">
        <v>552</v>
      </c>
      <c r="F128" s="1603" t="s">
        <v>28</v>
      </c>
      <c r="G128" s="1603" t="s">
        <v>503</v>
      </c>
      <c r="H128" s="1603" t="s">
        <v>475</v>
      </c>
      <c r="I128" s="1112" t="s">
        <v>475</v>
      </c>
      <c r="J128" s="1112">
        <v>3</v>
      </c>
      <c r="K128" s="1112" t="s">
        <v>540</v>
      </c>
      <c r="L128" s="1112" t="s">
        <v>540</v>
      </c>
      <c r="M128" s="1716" t="s">
        <v>28</v>
      </c>
      <c r="N128" s="1114" t="s">
        <v>28</v>
      </c>
      <c r="O128" s="1112" t="s">
        <v>540</v>
      </c>
      <c r="P128" s="1112" t="s">
        <v>540</v>
      </c>
      <c r="Q128" s="1112" t="s">
        <v>475</v>
      </c>
      <c r="R128" s="1112" t="s">
        <v>675</v>
      </c>
      <c r="S128" s="1112"/>
      <c r="T128" s="1716"/>
      <c r="U128" s="1112" t="s">
        <v>28</v>
      </c>
      <c r="V128" s="1654"/>
      <c r="W128" s="1654"/>
      <c r="X128" s="1654"/>
      <c r="Y128" s="1654"/>
      <c r="Z128" s="553"/>
      <c r="AA128" s="1112"/>
      <c r="AB128" s="1716"/>
      <c r="AC128" s="1112"/>
      <c r="AD128" s="1112"/>
      <c r="AE128" s="1112"/>
      <c r="AF128" s="553"/>
      <c r="AG128" s="503"/>
      <c r="AH128" s="648">
        <v>30</v>
      </c>
      <c r="AI128" s="649">
        <v>6</v>
      </c>
    </row>
    <row r="129" spans="1:35" ht="21.95" customHeight="1" x14ac:dyDescent="0.2">
      <c r="A129" s="1598">
        <v>9</v>
      </c>
      <c r="B129" s="657" t="s">
        <v>718</v>
      </c>
      <c r="C129" s="1654">
        <v>5</v>
      </c>
      <c r="D129" s="1654">
        <v>5</v>
      </c>
      <c r="E129" s="1654">
        <v>5</v>
      </c>
      <c r="F129" s="1654" t="s">
        <v>484</v>
      </c>
      <c r="G129" s="1654" t="s">
        <v>484</v>
      </c>
      <c r="H129" s="1654">
        <v>3</v>
      </c>
      <c r="I129" s="1654">
        <v>3</v>
      </c>
      <c r="J129" s="1486" t="s">
        <v>552</v>
      </c>
      <c r="K129" s="1654">
        <v>3</v>
      </c>
      <c r="L129" s="1654">
        <v>3</v>
      </c>
      <c r="M129" s="1654"/>
      <c r="N129" s="1654"/>
      <c r="O129" s="1654">
        <v>4</v>
      </c>
      <c r="P129" s="1654">
        <v>2</v>
      </c>
      <c r="Q129" s="1654">
        <v>2</v>
      </c>
      <c r="R129" s="1654">
        <v>2</v>
      </c>
      <c r="S129" s="1654" t="s">
        <v>475</v>
      </c>
      <c r="T129" s="1654"/>
      <c r="U129" s="553"/>
      <c r="V129" s="553">
        <v>9</v>
      </c>
      <c r="W129" s="553">
        <v>9</v>
      </c>
      <c r="X129" s="553">
        <v>9</v>
      </c>
      <c r="Y129" s="553">
        <v>9</v>
      </c>
      <c r="Z129" s="553">
        <v>9</v>
      </c>
      <c r="AA129" s="553" t="s">
        <v>511</v>
      </c>
      <c r="AB129" s="553" t="s">
        <v>511</v>
      </c>
      <c r="AC129" s="553" t="s">
        <v>475</v>
      </c>
      <c r="AD129" s="553" t="s">
        <v>475</v>
      </c>
      <c r="AE129" s="553" t="s">
        <v>475</v>
      </c>
      <c r="AF129" s="1716"/>
      <c r="AG129" s="1716"/>
      <c r="AH129" s="1719"/>
      <c r="AI129" s="1719"/>
    </row>
    <row r="130" spans="1:35" ht="21.95" customHeight="1" x14ac:dyDescent="0.2">
      <c r="A130" s="585">
        <v>10</v>
      </c>
      <c r="B130" s="657"/>
      <c r="C130" s="1597"/>
      <c r="D130" s="1597"/>
      <c r="E130" s="1597"/>
      <c r="F130" s="1597"/>
      <c r="G130" s="1597"/>
      <c r="H130" s="1597"/>
      <c r="I130" s="1597"/>
      <c r="J130" s="1597"/>
      <c r="K130" s="1597"/>
      <c r="L130" s="1597"/>
      <c r="M130" s="1597"/>
      <c r="N130" s="1597"/>
      <c r="O130" s="1597"/>
      <c r="P130" s="1597"/>
      <c r="Q130" s="1597"/>
      <c r="R130" s="1597"/>
      <c r="S130" s="1597"/>
      <c r="T130" s="1597"/>
      <c r="U130" s="171"/>
      <c r="V130" s="171"/>
      <c r="W130" s="171"/>
      <c r="X130" s="171"/>
      <c r="Y130" s="171"/>
      <c r="Z130" s="171"/>
      <c r="AA130" s="171" t="s">
        <v>28</v>
      </c>
      <c r="AB130" s="171"/>
      <c r="AC130" s="171"/>
      <c r="AD130" s="171"/>
      <c r="AE130" s="171"/>
      <c r="AF130" s="171"/>
      <c r="AG130" s="171"/>
      <c r="AH130" s="1719"/>
      <c r="AI130" s="1719"/>
    </row>
    <row r="131" spans="1:35" ht="21" customHeight="1" x14ac:dyDescent="0.2"/>
    <row r="132" spans="1:35" ht="21" customHeight="1" x14ac:dyDescent="0.25">
      <c r="A132" s="654"/>
    </row>
    <row r="133" spans="1:35" ht="21" customHeight="1" x14ac:dyDescent="0.25">
      <c r="A133" s="653" t="s">
        <v>695</v>
      </c>
    </row>
    <row r="134" spans="1:35" ht="21" customHeight="1" x14ac:dyDescent="0.2">
      <c r="A134" s="585"/>
      <c r="B134" s="296" t="s">
        <v>469</v>
      </c>
      <c r="C134" s="177">
        <v>1</v>
      </c>
      <c r="D134" s="177">
        <v>2</v>
      </c>
      <c r="E134" s="177">
        <v>3</v>
      </c>
      <c r="F134" s="497">
        <v>4</v>
      </c>
      <c r="G134" s="497">
        <v>5</v>
      </c>
      <c r="H134" s="177">
        <v>6</v>
      </c>
      <c r="I134" s="177">
        <v>7</v>
      </c>
      <c r="J134" s="177">
        <v>8</v>
      </c>
      <c r="K134" s="177">
        <v>9</v>
      </c>
      <c r="L134" s="177">
        <v>10</v>
      </c>
      <c r="M134" s="497">
        <v>11</v>
      </c>
      <c r="N134" s="497">
        <v>12</v>
      </c>
      <c r="O134" s="177">
        <v>13</v>
      </c>
      <c r="P134" s="177">
        <v>14</v>
      </c>
      <c r="Q134" s="177">
        <v>15</v>
      </c>
      <c r="R134" s="177">
        <v>16</v>
      </c>
      <c r="S134" s="177">
        <v>17</v>
      </c>
      <c r="T134" s="497">
        <v>18</v>
      </c>
      <c r="U134" s="497">
        <v>19</v>
      </c>
      <c r="V134" s="177">
        <v>20</v>
      </c>
      <c r="W134" s="177">
        <v>21</v>
      </c>
      <c r="X134" s="177">
        <v>22</v>
      </c>
      <c r="Y134" s="177">
        <v>23</v>
      </c>
      <c r="Z134" s="177">
        <v>24</v>
      </c>
      <c r="AA134" s="497">
        <v>25</v>
      </c>
      <c r="AB134" s="497">
        <v>26</v>
      </c>
      <c r="AC134" s="177">
        <v>27</v>
      </c>
      <c r="AD134" s="177">
        <v>28</v>
      </c>
      <c r="AE134" s="177">
        <v>29</v>
      </c>
      <c r="AF134" s="177"/>
      <c r="AG134" s="177"/>
      <c r="AH134" s="655"/>
    </row>
    <row r="135" spans="1:35" ht="21" customHeight="1" x14ac:dyDescent="0.2">
      <c r="A135" s="585">
        <v>1</v>
      </c>
      <c r="B135" s="1623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656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655"/>
    </row>
    <row r="136" spans="1:35" ht="21" customHeight="1" x14ac:dyDescent="0.2">
      <c r="A136" s="585">
        <v>2</v>
      </c>
      <c r="B136" s="657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655"/>
    </row>
    <row r="137" spans="1:35" ht="21" customHeight="1" x14ac:dyDescent="0.2">
      <c r="A137" s="585">
        <v>3</v>
      </c>
      <c r="B137" s="552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656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655"/>
    </row>
    <row r="138" spans="1:35" ht="21" customHeight="1" x14ac:dyDescent="0.2">
      <c r="A138" s="585">
        <v>4</v>
      </c>
      <c r="B138" s="552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656"/>
      <c r="AC138" s="171"/>
      <c r="AD138" s="171"/>
      <c r="AE138" s="171"/>
      <c r="AF138" s="171"/>
      <c r="AG138" s="171"/>
      <c r="AH138" s="655"/>
    </row>
    <row r="139" spans="1:35" ht="21" customHeight="1" x14ac:dyDescent="0.2">
      <c r="A139" s="585">
        <v>5</v>
      </c>
      <c r="B139" s="552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655"/>
    </row>
    <row r="140" spans="1:35" ht="21" customHeight="1" x14ac:dyDescent="0.2">
      <c r="A140" s="585"/>
      <c r="B140" s="318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656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655"/>
    </row>
    <row r="141" spans="1:35" ht="21.95" customHeight="1" x14ac:dyDescent="0.2">
      <c r="A141" s="1" t="s">
        <v>603</v>
      </c>
      <c r="B141" s="273"/>
      <c r="C141" s="138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  <c r="AA141" s="138"/>
      <c r="AB141" s="138"/>
      <c r="AC141" s="138"/>
      <c r="AD141" s="138"/>
      <c r="AE141" s="138"/>
      <c r="AF141" s="138"/>
      <c r="AG141" s="138"/>
    </row>
    <row r="142" spans="1:35" ht="21.95" customHeight="1" x14ac:dyDescent="0.2">
      <c r="A142" s="1"/>
      <c r="B142" s="200" t="s">
        <v>604</v>
      </c>
      <c r="C142" s="7"/>
      <c r="D142" s="530" t="s">
        <v>2</v>
      </c>
      <c r="E142" s="51"/>
      <c r="F142" s="573"/>
      <c r="G142" s="7"/>
      <c r="H142" s="530" t="s">
        <v>3</v>
      </c>
      <c r="I142" s="51"/>
      <c r="J142" s="573"/>
      <c r="K142" s="7"/>
      <c r="L142" s="530" t="s">
        <v>4</v>
      </c>
      <c r="M142" s="51"/>
      <c r="N142" s="573"/>
      <c r="O142" s="7"/>
      <c r="P142" s="530" t="s">
        <v>5</v>
      </c>
      <c r="Q142" s="51"/>
      <c r="R142" s="573"/>
      <c r="S142" s="7"/>
      <c r="T142" s="530" t="s">
        <v>6</v>
      </c>
      <c r="U142" s="51"/>
      <c r="V142" s="573"/>
      <c r="W142" s="7"/>
      <c r="X142" s="530" t="s">
        <v>7</v>
      </c>
      <c r="Y142" s="51"/>
      <c r="Z142" s="573"/>
      <c r="AA142" s="7"/>
      <c r="AB142" s="530" t="s">
        <v>8</v>
      </c>
      <c r="AC142" s="51"/>
      <c r="AD142" s="51"/>
      <c r="AE142" s="424" t="s">
        <v>10</v>
      </c>
      <c r="AF142" s="51"/>
      <c r="AG142" s="51"/>
      <c r="AH142" s="51"/>
      <c r="AI142" s="531"/>
    </row>
    <row r="143" spans="1:35" ht="21.95" customHeight="1" x14ac:dyDescent="0.2">
      <c r="A143" s="1"/>
      <c r="B143" s="305">
        <v>3701</v>
      </c>
      <c r="C143" s="641" t="s">
        <v>124</v>
      </c>
      <c r="D143" s="658"/>
      <c r="E143" s="55"/>
      <c r="F143" s="580"/>
      <c r="G143" s="641" t="s">
        <v>124</v>
      </c>
      <c r="H143" s="659"/>
      <c r="I143" s="55"/>
      <c r="J143" s="580"/>
      <c r="K143" s="641" t="s">
        <v>124</v>
      </c>
      <c r="L143" s="659"/>
      <c r="M143" s="55"/>
      <c r="N143" s="580"/>
      <c r="O143" s="641" t="s">
        <v>124</v>
      </c>
      <c r="P143" s="659"/>
      <c r="Q143" s="55"/>
      <c r="R143" s="580"/>
      <c r="S143" s="14" t="s">
        <v>125</v>
      </c>
      <c r="T143" s="659"/>
      <c r="U143" s="55"/>
      <c r="V143" s="580"/>
      <c r="W143" s="14"/>
      <c r="X143" s="659"/>
      <c r="Y143" s="55"/>
      <c r="Z143" s="580"/>
      <c r="AA143" s="14"/>
      <c r="AB143" s="659"/>
      <c r="AC143" s="55"/>
      <c r="AD143" s="55"/>
      <c r="AE143" s="660"/>
      <c r="AF143" s="55"/>
      <c r="AG143" s="55"/>
      <c r="AH143" s="55"/>
      <c r="AI143" s="661"/>
    </row>
    <row r="144" spans="1:35" ht="21.95" customHeight="1" x14ac:dyDescent="0.2">
      <c r="B144" s="662">
        <v>3700</v>
      </c>
      <c r="C144" s="121" t="s">
        <v>534</v>
      </c>
      <c r="D144" s="156"/>
      <c r="E144" s="156"/>
      <c r="F144" s="612"/>
      <c r="G144" s="121" t="s">
        <v>534</v>
      </c>
      <c r="H144" s="156"/>
      <c r="I144" s="156"/>
      <c r="J144" s="612"/>
      <c r="K144" s="121" t="s">
        <v>534</v>
      </c>
      <c r="L144" s="156"/>
      <c r="M144" s="156"/>
      <c r="N144" s="612"/>
      <c r="O144" s="121" t="s">
        <v>534</v>
      </c>
      <c r="P144" s="156"/>
      <c r="Q144" s="156"/>
      <c r="R144" s="612"/>
      <c r="S144" s="121" t="s">
        <v>116</v>
      </c>
      <c r="T144" s="156"/>
      <c r="U144" s="156"/>
      <c r="V144" s="612"/>
      <c r="W144" s="121"/>
      <c r="X144" s="156"/>
      <c r="Y144" s="156"/>
      <c r="Z144" s="612"/>
      <c r="AA144" s="611"/>
      <c r="AB144" s="156"/>
      <c r="AC144" s="156"/>
      <c r="AD144" s="613"/>
      <c r="AE144" s="663"/>
      <c r="AF144" s="156"/>
      <c r="AG144" s="156" t="s">
        <v>28</v>
      </c>
      <c r="AH144" s="613"/>
      <c r="AI144" s="489"/>
    </row>
    <row r="145" spans="1:35" ht="21.95" customHeight="1" x14ac:dyDescent="0.2">
      <c r="A145" s="1"/>
      <c r="B145" s="129" t="s">
        <v>605</v>
      </c>
      <c r="C145" s="611" t="s">
        <v>606</v>
      </c>
      <c r="D145" s="156"/>
      <c r="E145" s="156"/>
      <c r="F145" s="612"/>
      <c r="G145" s="611" t="s">
        <v>606</v>
      </c>
      <c r="H145" s="156"/>
      <c r="I145" s="156"/>
      <c r="J145" s="612"/>
      <c r="K145" s="611" t="s">
        <v>606</v>
      </c>
      <c r="L145" s="156"/>
      <c r="M145" s="156"/>
      <c r="N145" s="612"/>
      <c r="O145" s="611" t="s">
        <v>606</v>
      </c>
      <c r="P145" s="156"/>
      <c r="Q145" s="156"/>
      <c r="R145" s="612"/>
      <c r="S145" s="611" t="s">
        <v>607</v>
      </c>
      <c r="T145" s="156"/>
      <c r="U145" s="156"/>
      <c r="V145" s="612"/>
      <c r="W145" s="121"/>
      <c r="X145" s="156"/>
      <c r="Y145" s="156"/>
      <c r="Z145" s="612"/>
      <c r="AA145" s="121"/>
      <c r="AB145" s="156"/>
      <c r="AC145" s="156"/>
      <c r="AD145" s="613"/>
      <c r="AE145" s="121"/>
      <c r="AF145" s="156"/>
      <c r="AG145" s="156"/>
      <c r="AH145" s="613"/>
      <c r="AI145" s="489"/>
    </row>
    <row r="146" spans="1:35" ht="21.95" customHeight="1" x14ac:dyDescent="0.2">
      <c r="A146" s="1"/>
      <c r="B146" s="664">
        <v>8500</v>
      </c>
      <c r="C146" s="665" t="s">
        <v>264</v>
      </c>
      <c r="D146" s="55"/>
      <c r="E146" s="55"/>
      <c r="F146" s="666"/>
      <c r="G146" s="665" t="s">
        <v>264</v>
      </c>
      <c r="H146" s="55"/>
      <c r="I146" s="55"/>
      <c r="J146" s="666"/>
      <c r="K146" s="665" t="s">
        <v>264</v>
      </c>
      <c r="L146" s="55"/>
      <c r="M146" s="55"/>
      <c r="N146" s="666"/>
      <c r="O146" s="665" t="s">
        <v>264</v>
      </c>
      <c r="P146" s="55"/>
      <c r="Q146" s="55"/>
      <c r="R146" s="666"/>
      <c r="S146" s="665" t="s">
        <v>265</v>
      </c>
      <c r="T146" s="55"/>
      <c r="U146" s="55"/>
      <c r="V146" s="666"/>
      <c r="W146" s="665"/>
      <c r="X146" s="55"/>
      <c r="Y146" s="55"/>
      <c r="Z146" s="666"/>
      <c r="AA146" s="665"/>
      <c r="AB146" s="55"/>
      <c r="AC146" s="55"/>
      <c r="AD146" s="666"/>
      <c r="AE146" s="665"/>
      <c r="AF146" s="55"/>
      <c r="AG146" s="55"/>
      <c r="AH146" s="641"/>
      <c r="AI146" s="661"/>
    </row>
    <row r="147" spans="1:35" ht="21.95" customHeight="1" x14ac:dyDescent="0.2">
      <c r="A147" s="1"/>
      <c r="B147" s="9">
        <v>8514</v>
      </c>
      <c r="C147" s="667" t="s">
        <v>264</v>
      </c>
      <c r="D147" s="668"/>
      <c r="E147" s="669"/>
      <c r="F147" s="670"/>
      <c r="G147" s="667" t="s">
        <v>264</v>
      </c>
      <c r="H147" s="668"/>
      <c r="I147" s="669"/>
      <c r="J147" s="670"/>
      <c r="K147" s="667" t="s">
        <v>264</v>
      </c>
      <c r="L147" s="668"/>
      <c r="M147" s="669"/>
      <c r="N147" s="670"/>
      <c r="O147" s="667" t="s">
        <v>682</v>
      </c>
      <c r="P147" s="668"/>
      <c r="Q147" s="669"/>
      <c r="R147" s="670"/>
      <c r="S147" s="667" t="s">
        <v>265</v>
      </c>
      <c r="T147" s="668"/>
      <c r="U147" s="669"/>
      <c r="V147" s="670"/>
      <c r="W147" s="14"/>
      <c r="X147" s="659"/>
      <c r="Y147" s="55"/>
      <c r="Z147" s="580"/>
      <c r="AA147" s="14"/>
      <c r="AB147" s="659"/>
      <c r="AC147" s="55"/>
      <c r="AD147" s="55"/>
      <c r="AE147" s="660"/>
      <c r="AF147" s="55"/>
      <c r="AG147" s="55"/>
      <c r="AH147" s="55"/>
      <c r="AI147" s="661"/>
    </row>
    <row r="148" spans="1:35" ht="21.95" customHeight="1" x14ac:dyDescent="0.2">
      <c r="A148" s="1"/>
      <c r="B148" s="671">
        <v>8521</v>
      </c>
      <c r="C148" s="57" t="s">
        <v>534</v>
      </c>
      <c r="D148" s="53"/>
      <c r="E148" s="53"/>
      <c r="F148" s="619"/>
      <c r="G148" s="57" t="s">
        <v>764</v>
      </c>
      <c r="H148" s="53"/>
      <c r="I148" s="53"/>
      <c r="J148" s="619"/>
      <c r="K148" s="57" t="s">
        <v>534</v>
      </c>
      <c r="L148" s="53"/>
      <c r="M148" s="53"/>
      <c r="N148" s="619"/>
      <c r="O148" s="57" t="s">
        <v>534</v>
      </c>
      <c r="P148" s="53"/>
      <c r="Q148" s="53"/>
      <c r="R148" s="619"/>
      <c r="S148" s="57" t="s">
        <v>116</v>
      </c>
      <c r="T148" s="53"/>
      <c r="U148" s="53"/>
      <c r="V148" s="619"/>
      <c r="W148" s="57"/>
      <c r="X148" s="53"/>
      <c r="Y148" s="53"/>
      <c r="Z148" s="619"/>
      <c r="AA148" s="618"/>
      <c r="AB148" s="53"/>
      <c r="AC148" s="53"/>
      <c r="AD148" s="620"/>
      <c r="AE148" s="672"/>
      <c r="AF148" s="53"/>
      <c r="AG148" s="53" t="s">
        <v>28</v>
      </c>
      <c r="AH148" s="620"/>
      <c r="AI148" s="544"/>
    </row>
    <row r="149" spans="1:35" ht="21.95" customHeight="1" x14ac:dyDescent="0.2">
      <c r="A149" s="1"/>
      <c r="B149" s="72"/>
      <c r="C149" s="311"/>
      <c r="F149" s="353"/>
      <c r="G149" s="311"/>
      <c r="J149" s="353"/>
      <c r="K149" s="311"/>
      <c r="N149" s="353"/>
      <c r="O149" s="311"/>
      <c r="R149" s="353"/>
      <c r="S149" s="311"/>
      <c r="V149" s="353"/>
      <c r="W149" s="353"/>
      <c r="Z149" s="353"/>
      <c r="AA149" s="353"/>
      <c r="AD149" s="353"/>
      <c r="AE149" s="353"/>
      <c r="AH149" s="353"/>
    </row>
    <row r="150" spans="1:35" ht="21.95" customHeight="1" x14ac:dyDescent="0.2">
      <c r="A150" s="1" t="s">
        <v>659</v>
      </c>
      <c r="B150" s="72"/>
      <c r="C150" s="311"/>
      <c r="F150" s="353"/>
      <c r="G150" s="311"/>
      <c r="J150" s="353"/>
      <c r="K150" s="311"/>
      <c r="N150" s="353"/>
      <c r="O150" s="311"/>
      <c r="R150" s="353"/>
      <c r="S150" s="311"/>
      <c r="V150" s="353"/>
      <c r="W150" s="353"/>
      <c r="Z150" s="353"/>
      <c r="AA150" s="353"/>
      <c r="AD150" s="353"/>
      <c r="AE150" s="353"/>
      <c r="AH150" s="353"/>
    </row>
    <row r="151" spans="1:35" ht="21.95" customHeight="1" x14ac:dyDescent="0.2">
      <c r="A151" s="585"/>
      <c r="B151" s="296" t="s">
        <v>469</v>
      </c>
      <c r="C151" s="177">
        <v>1</v>
      </c>
      <c r="D151" s="177">
        <v>2</v>
      </c>
      <c r="E151" s="177">
        <v>3</v>
      </c>
      <c r="F151" s="497">
        <v>4</v>
      </c>
      <c r="G151" s="497">
        <v>5</v>
      </c>
      <c r="H151" s="177">
        <v>6</v>
      </c>
      <c r="I151" s="177">
        <v>7</v>
      </c>
      <c r="J151" s="177">
        <v>8</v>
      </c>
      <c r="K151" s="177">
        <v>9</v>
      </c>
      <c r="L151" s="177">
        <v>10</v>
      </c>
      <c r="M151" s="497">
        <v>11</v>
      </c>
      <c r="N151" s="497">
        <v>12</v>
      </c>
      <c r="O151" s="177">
        <v>13</v>
      </c>
      <c r="P151" s="177">
        <v>14</v>
      </c>
      <c r="Q151" s="177">
        <v>15</v>
      </c>
      <c r="R151" s="177">
        <v>16</v>
      </c>
      <c r="S151" s="177">
        <v>17</v>
      </c>
      <c r="T151" s="497">
        <v>18</v>
      </c>
      <c r="U151" s="497">
        <v>19</v>
      </c>
      <c r="V151" s="177">
        <v>20</v>
      </c>
      <c r="W151" s="177">
        <v>21</v>
      </c>
      <c r="X151" s="177">
        <v>22</v>
      </c>
      <c r="Y151" s="177">
        <v>23</v>
      </c>
      <c r="Z151" s="177">
        <v>24</v>
      </c>
      <c r="AA151" s="497">
        <v>25</v>
      </c>
      <c r="AB151" s="497">
        <v>26</v>
      </c>
      <c r="AC151" s="177">
        <v>27</v>
      </c>
      <c r="AD151" s="177">
        <v>28</v>
      </c>
      <c r="AE151" s="177">
        <v>29</v>
      </c>
      <c r="AF151" s="177"/>
      <c r="AG151" s="177"/>
      <c r="AH151" s="499" t="s">
        <v>470</v>
      </c>
      <c r="AI151" s="500" t="s">
        <v>471</v>
      </c>
    </row>
    <row r="152" spans="1:35" ht="21.95" customHeight="1" x14ac:dyDescent="0.2">
      <c r="A152" s="585"/>
      <c r="B152" s="673" t="s">
        <v>610</v>
      </c>
      <c r="C152" s="1715" t="s">
        <v>552</v>
      </c>
      <c r="D152" s="1715" t="s">
        <v>552</v>
      </c>
      <c r="E152" s="1715" t="s">
        <v>552</v>
      </c>
      <c r="F152" s="1715"/>
      <c r="G152" s="1715"/>
      <c r="H152" s="1715" t="s">
        <v>552</v>
      </c>
      <c r="I152" s="1715" t="s">
        <v>552</v>
      </c>
      <c r="J152" s="1715" t="s">
        <v>552</v>
      </c>
      <c r="K152" s="1715" t="s">
        <v>552</v>
      </c>
      <c r="L152" s="1715" t="s">
        <v>552</v>
      </c>
      <c r="M152" s="1715"/>
      <c r="N152" s="1715"/>
      <c r="O152" s="1715" t="s">
        <v>552</v>
      </c>
      <c r="P152" s="1715" t="s">
        <v>552</v>
      </c>
      <c r="Q152" s="1715" t="s">
        <v>552</v>
      </c>
      <c r="R152" s="1715" t="s">
        <v>552</v>
      </c>
      <c r="S152" s="1715" t="s">
        <v>552</v>
      </c>
      <c r="T152" s="1715"/>
      <c r="U152" s="1715"/>
      <c r="V152" s="1742" t="s">
        <v>552</v>
      </c>
      <c r="W152" s="1742" t="s">
        <v>552</v>
      </c>
      <c r="X152" s="1742" t="s">
        <v>552</v>
      </c>
      <c r="Y152" s="1510" t="s">
        <v>617</v>
      </c>
      <c r="Z152" s="1715" t="s">
        <v>552</v>
      </c>
      <c r="AA152" s="1715"/>
      <c r="AB152" s="1715"/>
      <c r="AC152" s="1715" t="s">
        <v>552</v>
      </c>
      <c r="AD152" s="1715" t="s">
        <v>552</v>
      </c>
      <c r="AE152" s="1715" t="s">
        <v>552</v>
      </c>
      <c r="AF152" s="1715"/>
      <c r="AG152" s="177"/>
      <c r="AH152" s="703">
        <v>0</v>
      </c>
      <c r="AI152" s="704">
        <v>30</v>
      </c>
    </row>
    <row r="153" spans="1:35" ht="21.95" customHeight="1" x14ac:dyDescent="0.2">
      <c r="A153" s="674">
        <v>8500</v>
      </c>
      <c r="B153" s="675" t="s">
        <v>156</v>
      </c>
      <c r="C153" s="1715" t="s">
        <v>552</v>
      </c>
      <c r="D153" s="1715" t="s">
        <v>552</v>
      </c>
      <c r="E153" s="1715" t="s">
        <v>552</v>
      </c>
      <c r="F153" s="1715"/>
      <c r="G153" s="1715"/>
      <c r="H153" s="1715" t="s">
        <v>552</v>
      </c>
      <c r="I153" s="1715" t="s">
        <v>552</v>
      </c>
      <c r="J153" s="1715" t="s">
        <v>552</v>
      </c>
      <c r="K153" s="1715" t="s">
        <v>552</v>
      </c>
      <c r="L153" s="1715" t="s">
        <v>552</v>
      </c>
      <c r="M153" s="1715"/>
      <c r="N153" s="1715"/>
      <c r="O153" s="1715" t="s">
        <v>552</v>
      </c>
      <c r="P153" s="1715" t="s">
        <v>552</v>
      </c>
      <c r="Q153" s="1715" t="s">
        <v>552</v>
      </c>
      <c r="R153" s="1715" t="s">
        <v>552</v>
      </c>
      <c r="S153" s="1715" t="s">
        <v>552</v>
      </c>
      <c r="T153" s="1715"/>
      <c r="U153" s="1715"/>
      <c r="V153" s="1715" t="s">
        <v>552</v>
      </c>
      <c r="W153" s="1715" t="s">
        <v>552</v>
      </c>
      <c r="X153" s="1715" t="s">
        <v>552</v>
      </c>
      <c r="Y153" s="1633" t="s">
        <v>552</v>
      </c>
      <c r="Z153" s="1715" t="s">
        <v>552</v>
      </c>
      <c r="AA153" s="1715"/>
      <c r="AB153" s="1715"/>
      <c r="AC153" s="1715" t="s">
        <v>552</v>
      </c>
      <c r="AD153" s="1633" t="s">
        <v>552</v>
      </c>
      <c r="AE153" s="1715" t="s">
        <v>552</v>
      </c>
      <c r="AF153" s="1715"/>
      <c r="AG153" s="695"/>
      <c r="AH153" s="648">
        <v>37</v>
      </c>
      <c r="AI153" s="649">
        <v>37</v>
      </c>
    </row>
    <row r="154" spans="1:35" ht="21" customHeight="1" x14ac:dyDescent="0.2">
      <c r="A154" s="441"/>
      <c r="B154" s="673" t="s">
        <v>611</v>
      </c>
      <c r="C154" s="1715" t="s">
        <v>552</v>
      </c>
      <c r="D154" s="1715" t="s">
        <v>552</v>
      </c>
      <c r="E154" s="1715" t="s">
        <v>552</v>
      </c>
      <c r="F154" s="1715"/>
      <c r="G154" s="1715"/>
      <c r="H154" s="1715" t="s">
        <v>552</v>
      </c>
      <c r="I154" s="1715" t="s">
        <v>552</v>
      </c>
      <c r="J154" s="1715" t="s">
        <v>552</v>
      </c>
      <c r="K154" s="1715" t="s">
        <v>552</v>
      </c>
      <c r="L154" s="1715" t="s">
        <v>552</v>
      </c>
      <c r="M154" s="1715"/>
      <c r="N154" s="1715"/>
      <c r="O154" s="1715" t="s">
        <v>552</v>
      </c>
      <c r="P154" s="1715" t="s">
        <v>552</v>
      </c>
      <c r="Q154" s="1715" t="s">
        <v>552</v>
      </c>
      <c r="R154" s="1715" t="s">
        <v>552</v>
      </c>
      <c r="S154" s="1715" t="s">
        <v>552</v>
      </c>
      <c r="T154" s="1715"/>
      <c r="U154" s="1715"/>
      <c r="V154" s="1715" t="s">
        <v>552</v>
      </c>
      <c r="W154" s="1715" t="s">
        <v>552</v>
      </c>
      <c r="X154" s="1715" t="s">
        <v>552</v>
      </c>
      <c r="Y154" s="1715" t="s">
        <v>552</v>
      </c>
      <c r="Z154" s="1715" t="s">
        <v>552</v>
      </c>
      <c r="AA154" s="1715"/>
      <c r="AB154" s="1715"/>
      <c r="AC154" s="1715" t="s">
        <v>552</v>
      </c>
      <c r="AD154" s="1715" t="s">
        <v>552</v>
      </c>
      <c r="AE154" s="1715" t="s">
        <v>552</v>
      </c>
      <c r="AF154" s="1715"/>
      <c r="AG154" s="650"/>
      <c r="AH154" s="648">
        <v>30</v>
      </c>
      <c r="AI154" s="649">
        <v>37</v>
      </c>
    </row>
    <row r="155" spans="1:35" ht="21" customHeight="1" x14ac:dyDescent="0.2">
      <c r="A155" s="441">
        <v>8521</v>
      </c>
      <c r="B155" s="673" t="s">
        <v>613</v>
      </c>
      <c r="C155" s="1715" t="s">
        <v>552</v>
      </c>
      <c r="D155" s="1715" t="s">
        <v>552</v>
      </c>
      <c r="E155" s="1715" t="s">
        <v>552</v>
      </c>
      <c r="F155" s="1715"/>
      <c r="G155" s="1715"/>
      <c r="H155" s="1715" t="s">
        <v>552</v>
      </c>
      <c r="I155" s="1715" t="s">
        <v>552</v>
      </c>
      <c r="J155" s="1715" t="s">
        <v>552</v>
      </c>
      <c r="K155" s="1715" t="s">
        <v>552</v>
      </c>
      <c r="L155" s="1715" t="s">
        <v>552</v>
      </c>
      <c r="M155" s="1715"/>
      <c r="N155" s="1715"/>
      <c r="O155" s="1715" t="s">
        <v>552</v>
      </c>
      <c r="P155" s="1715" t="s">
        <v>552</v>
      </c>
      <c r="Q155" s="1743" t="s">
        <v>552</v>
      </c>
      <c r="R155" s="1715" t="s">
        <v>552</v>
      </c>
      <c r="S155" s="1715" t="s">
        <v>552</v>
      </c>
      <c r="T155" s="1715"/>
      <c r="U155" s="1715"/>
      <c r="V155" s="1743" t="s">
        <v>552</v>
      </c>
      <c r="W155" s="1743" t="s">
        <v>552</v>
      </c>
      <c r="X155" s="1744" t="s">
        <v>552</v>
      </c>
      <c r="Y155" s="1744" t="s">
        <v>552</v>
      </c>
      <c r="Z155" s="1744" t="s">
        <v>552</v>
      </c>
      <c r="AA155" s="1715"/>
      <c r="AB155" s="1715"/>
      <c r="AC155" s="1715" t="s">
        <v>552</v>
      </c>
      <c r="AD155" s="1715" t="s">
        <v>552</v>
      </c>
      <c r="AE155" s="1715" t="s">
        <v>552</v>
      </c>
      <c r="AF155" s="1715"/>
      <c r="AG155" s="650"/>
      <c r="AH155" s="648">
        <v>0</v>
      </c>
      <c r="AI155" s="649">
        <v>0</v>
      </c>
    </row>
    <row r="156" spans="1:35" ht="21" customHeight="1" x14ac:dyDescent="0.2">
      <c r="A156" s="441"/>
      <c r="B156" s="673"/>
      <c r="C156" s="1715" t="s">
        <v>552</v>
      </c>
      <c r="D156" s="1715" t="s">
        <v>552</v>
      </c>
      <c r="E156" s="1715" t="s">
        <v>552</v>
      </c>
      <c r="F156" s="1715"/>
      <c r="G156" s="1715"/>
      <c r="H156" s="1715" t="s">
        <v>552</v>
      </c>
      <c r="I156" s="1715" t="s">
        <v>552</v>
      </c>
      <c r="J156" s="1715" t="s">
        <v>552</v>
      </c>
      <c r="K156" s="1715" t="s">
        <v>552</v>
      </c>
      <c r="L156" s="1715" t="s">
        <v>552</v>
      </c>
      <c r="M156" s="1715"/>
      <c r="N156" s="1715"/>
      <c r="O156" s="1715" t="s">
        <v>552</v>
      </c>
      <c r="P156" s="1715" t="s">
        <v>552</v>
      </c>
      <c r="Q156" s="1715" t="s">
        <v>552</v>
      </c>
      <c r="R156" s="1715" t="s">
        <v>552</v>
      </c>
      <c r="S156" s="1715" t="s">
        <v>552</v>
      </c>
      <c r="T156" s="1715"/>
      <c r="U156" s="1715"/>
      <c r="V156" s="1715" t="s">
        <v>552</v>
      </c>
      <c r="W156" s="1715" t="s">
        <v>552</v>
      </c>
      <c r="X156" s="1715" t="s">
        <v>552</v>
      </c>
      <c r="Y156" s="1715" t="s">
        <v>552</v>
      </c>
      <c r="Z156" s="1715" t="s">
        <v>552</v>
      </c>
      <c r="AA156" s="1715"/>
      <c r="AB156" s="1715"/>
      <c r="AC156" s="1715" t="s">
        <v>552</v>
      </c>
      <c r="AD156" s="1715" t="s">
        <v>552</v>
      </c>
      <c r="AE156" s="1715" t="s">
        <v>552</v>
      </c>
      <c r="AF156" s="1715"/>
      <c r="AG156" s="650"/>
      <c r="AH156" s="648">
        <v>37</v>
      </c>
      <c r="AI156" s="649">
        <v>37</v>
      </c>
    </row>
    <row r="157" spans="1:35" ht="21" customHeight="1" x14ac:dyDescent="0.2">
      <c r="A157" s="441">
        <v>8514</v>
      </c>
      <c r="B157" s="676" t="s">
        <v>615</v>
      </c>
      <c r="C157" s="1715" t="s">
        <v>552</v>
      </c>
      <c r="D157" s="1715" t="s">
        <v>552</v>
      </c>
      <c r="E157" s="1715" t="s">
        <v>552</v>
      </c>
      <c r="F157" s="1715"/>
      <c r="G157" s="1715"/>
      <c r="H157" s="1715" t="s">
        <v>552</v>
      </c>
      <c r="I157" s="1715" t="s">
        <v>552</v>
      </c>
      <c r="J157" s="514" t="s">
        <v>552</v>
      </c>
      <c r="K157" s="1715" t="s">
        <v>552</v>
      </c>
      <c r="L157" s="1745" t="s">
        <v>552</v>
      </c>
      <c r="M157" s="1715"/>
      <c r="N157" s="1715"/>
      <c r="O157" s="1715" t="s">
        <v>552</v>
      </c>
      <c r="P157" s="1715" t="s">
        <v>552</v>
      </c>
      <c r="Q157" s="1715" t="s">
        <v>552</v>
      </c>
      <c r="R157" s="1715" t="s">
        <v>552</v>
      </c>
      <c r="S157" s="1745" t="s">
        <v>552</v>
      </c>
      <c r="T157" s="1715"/>
      <c r="U157" s="1715"/>
      <c r="V157" s="1715" t="s">
        <v>552</v>
      </c>
      <c r="W157" s="1715" t="s">
        <v>552</v>
      </c>
      <c r="X157" s="1715" t="s">
        <v>552</v>
      </c>
      <c r="Y157" s="1715" t="s">
        <v>552</v>
      </c>
      <c r="Z157" s="1715" t="s">
        <v>552</v>
      </c>
      <c r="AA157" s="1715"/>
      <c r="AB157" s="1715"/>
      <c r="AC157" s="1715" t="s">
        <v>552</v>
      </c>
      <c r="AD157" s="1715" t="s">
        <v>552</v>
      </c>
      <c r="AE157" s="1715" t="s">
        <v>552</v>
      </c>
      <c r="AF157" s="1715"/>
      <c r="AG157" s="650"/>
      <c r="AH157" s="648">
        <v>17</v>
      </c>
      <c r="AI157" s="649">
        <v>37</v>
      </c>
    </row>
    <row r="158" spans="1:35" ht="21" customHeight="1" x14ac:dyDescent="0.2">
      <c r="A158" s="441">
        <v>3701</v>
      </c>
      <c r="B158" s="673" t="s">
        <v>433</v>
      </c>
      <c r="C158" s="1715" t="s">
        <v>552</v>
      </c>
      <c r="D158" s="1715" t="s">
        <v>552</v>
      </c>
      <c r="E158" s="1715" t="s">
        <v>552</v>
      </c>
      <c r="F158" s="1715"/>
      <c r="G158" s="1715"/>
      <c r="H158" s="1715" t="s">
        <v>552</v>
      </c>
      <c r="I158" s="1715" t="s">
        <v>552</v>
      </c>
      <c r="J158" s="1715" t="s">
        <v>552</v>
      </c>
      <c r="K158" s="1715" t="s">
        <v>552</v>
      </c>
      <c r="L158" s="1715" t="s">
        <v>552</v>
      </c>
      <c r="M158" s="1715"/>
      <c r="N158" s="1715"/>
      <c r="O158" s="1715" t="s">
        <v>552</v>
      </c>
      <c r="P158" s="1715" t="s">
        <v>552</v>
      </c>
      <c r="Q158" s="1715" t="s">
        <v>552</v>
      </c>
      <c r="R158" s="1715" t="s">
        <v>552</v>
      </c>
      <c r="S158" s="1715" t="s">
        <v>552</v>
      </c>
      <c r="T158" s="1715"/>
      <c r="U158" s="1715"/>
      <c r="V158" s="1715" t="s">
        <v>552</v>
      </c>
      <c r="W158" s="1746" t="s">
        <v>552</v>
      </c>
      <c r="X158" s="1715" t="s">
        <v>552</v>
      </c>
      <c r="Y158" s="1715" t="s">
        <v>552</v>
      </c>
      <c r="Z158" s="1715" t="s">
        <v>552</v>
      </c>
      <c r="AA158" s="1715"/>
      <c r="AB158" s="1715"/>
      <c r="AC158" s="1746" t="s">
        <v>552</v>
      </c>
      <c r="AD158" s="1746" t="s">
        <v>552</v>
      </c>
      <c r="AE158" s="1746" t="s">
        <v>552</v>
      </c>
      <c r="AF158" s="1715"/>
      <c r="AG158" s="503"/>
      <c r="AH158" s="648">
        <v>58</v>
      </c>
      <c r="AI158" s="649">
        <v>37</v>
      </c>
    </row>
    <row r="159" spans="1:35" ht="21.95" customHeight="1" x14ac:dyDescent="0.2">
      <c r="A159" s="441">
        <v>3701</v>
      </c>
      <c r="B159" s="673" t="s">
        <v>431</v>
      </c>
      <c r="C159" s="1715" t="s">
        <v>552</v>
      </c>
      <c r="D159" s="1715" t="s">
        <v>552</v>
      </c>
      <c r="E159" s="1715" t="s">
        <v>552</v>
      </c>
      <c r="F159" s="1715"/>
      <c r="G159" s="1715"/>
      <c r="H159" s="1715" t="s">
        <v>552</v>
      </c>
      <c r="I159" s="1715" t="s">
        <v>552</v>
      </c>
      <c r="J159" s="1715" t="s">
        <v>552</v>
      </c>
      <c r="K159" s="1743" t="s">
        <v>552</v>
      </c>
      <c r="L159" s="1715" t="s">
        <v>552</v>
      </c>
      <c r="M159" s="1715"/>
      <c r="N159" s="1715"/>
      <c r="O159" s="1747" t="s">
        <v>552</v>
      </c>
      <c r="P159" s="1747" t="s">
        <v>552</v>
      </c>
      <c r="Q159" s="1747" t="s">
        <v>552</v>
      </c>
      <c r="R159" s="1747" t="s">
        <v>552</v>
      </c>
      <c r="S159" s="1747" t="s">
        <v>552</v>
      </c>
      <c r="T159" s="1747"/>
      <c r="U159" s="1747"/>
      <c r="V159" s="1715" t="s">
        <v>552</v>
      </c>
      <c r="W159" s="1715" t="s">
        <v>552</v>
      </c>
      <c r="X159" s="1746" t="s">
        <v>552</v>
      </c>
      <c r="Y159" s="1715" t="s">
        <v>552</v>
      </c>
      <c r="Z159" s="1715" t="s">
        <v>552</v>
      </c>
      <c r="AA159" s="1715"/>
      <c r="AB159" s="1715"/>
      <c r="AC159" s="1742" t="s">
        <v>552</v>
      </c>
      <c r="AD159" s="1742" t="s">
        <v>552</v>
      </c>
      <c r="AE159" s="1742" t="s">
        <v>552</v>
      </c>
      <c r="AF159" s="1715"/>
      <c r="AG159" s="503"/>
      <c r="AH159" s="648">
        <v>8</v>
      </c>
      <c r="AI159" s="649">
        <v>37</v>
      </c>
    </row>
    <row r="160" spans="1:35" ht="21.95" customHeight="1" x14ac:dyDescent="0.2">
      <c r="A160" s="441">
        <v>3701</v>
      </c>
      <c r="B160" s="673" t="s">
        <v>434</v>
      </c>
      <c r="C160" s="1440" t="s">
        <v>552</v>
      </c>
      <c r="D160" s="1440" t="s">
        <v>552</v>
      </c>
      <c r="E160" s="1440" t="s">
        <v>552</v>
      </c>
      <c r="F160" s="1715"/>
      <c r="G160" s="1715"/>
      <c r="H160" s="503">
        <v>19</v>
      </c>
      <c r="I160" s="1440">
        <v>19</v>
      </c>
      <c r="J160" s="1440">
        <v>19</v>
      </c>
      <c r="K160" s="1440">
        <v>19</v>
      </c>
      <c r="L160" s="1440">
        <v>17</v>
      </c>
      <c r="M160" s="1715"/>
      <c r="N160" s="1715"/>
      <c r="O160" s="1715" t="s">
        <v>552</v>
      </c>
      <c r="P160" s="1743" t="s">
        <v>552</v>
      </c>
      <c r="Q160" s="1715" t="s">
        <v>552</v>
      </c>
      <c r="R160" s="1715" t="s">
        <v>552</v>
      </c>
      <c r="S160" s="1715" t="s">
        <v>552</v>
      </c>
      <c r="T160" s="1715"/>
      <c r="U160" s="1715"/>
      <c r="V160" s="1715" t="s">
        <v>552</v>
      </c>
      <c r="W160" s="1715" t="s">
        <v>552</v>
      </c>
      <c r="X160" s="1746" t="s">
        <v>552</v>
      </c>
      <c r="Y160" s="1715" t="s">
        <v>552</v>
      </c>
      <c r="Z160" s="1715" t="s">
        <v>552</v>
      </c>
      <c r="AA160" s="1715"/>
      <c r="AB160" s="1715"/>
      <c r="AC160" s="1715" t="s">
        <v>552</v>
      </c>
      <c r="AD160" s="1715" t="s">
        <v>552</v>
      </c>
      <c r="AE160" s="1715" t="s">
        <v>552</v>
      </c>
      <c r="AF160" s="1715"/>
      <c r="AG160" s="503"/>
      <c r="AH160" s="648">
        <v>74</v>
      </c>
      <c r="AI160" s="649">
        <v>37</v>
      </c>
    </row>
    <row r="161" spans="1:38" ht="21.95" customHeight="1" x14ac:dyDescent="0.2">
      <c r="A161" s="441">
        <v>3701</v>
      </c>
      <c r="B161" s="673" t="s">
        <v>436</v>
      </c>
      <c r="C161" s="1715" t="s">
        <v>552</v>
      </c>
      <c r="D161" s="1715" t="s">
        <v>552</v>
      </c>
      <c r="E161" s="1715" t="s">
        <v>552</v>
      </c>
      <c r="F161" s="1715"/>
      <c r="G161" s="1715"/>
      <c r="H161" s="1715" t="s">
        <v>552</v>
      </c>
      <c r="I161" s="1715" t="s">
        <v>552</v>
      </c>
      <c r="J161" s="1715" t="s">
        <v>552</v>
      </c>
      <c r="K161" s="1715" t="s">
        <v>552</v>
      </c>
      <c r="L161" s="1715" t="s">
        <v>552</v>
      </c>
      <c r="M161" s="1715"/>
      <c r="N161" s="1715"/>
      <c r="O161" s="1715" t="s">
        <v>552</v>
      </c>
      <c r="P161" s="1715" t="s">
        <v>552</v>
      </c>
      <c r="Q161" s="1715" t="s">
        <v>552</v>
      </c>
      <c r="R161" s="1715" t="s">
        <v>552</v>
      </c>
      <c r="S161" s="1743" t="s">
        <v>552</v>
      </c>
      <c r="T161" s="1715"/>
      <c r="U161" s="1715"/>
      <c r="V161" s="503" t="s">
        <v>552</v>
      </c>
      <c r="W161" s="1746" t="s">
        <v>552</v>
      </c>
      <c r="X161" s="1440" t="s">
        <v>552</v>
      </c>
      <c r="Y161" s="1440" t="s">
        <v>552</v>
      </c>
      <c r="Z161" s="1440" t="s">
        <v>552</v>
      </c>
      <c r="AA161" s="1715"/>
      <c r="AB161" s="1715"/>
      <c r="AC161" s="503">
        <v>19</v>
      </c>
      <c r="AD161" s="1440">
        <v>19</v>
      </c>
      <c r="AE161" s="1440">
        <v>19</v>
      </c>
      <c r="AF161" s="1715"/>
      <c r="AG161" s="503"/>
      <c r="AH161" s="648">
        <v>74</v>
      </c>
      <c r="AI161" s="649">
        <v>8</v>
      </c>
    </row>
    <row r="162" spans="1:38" ht="21.95" customHeight="1" x14ac:dyDescent="0.2">
      <c r="A162" s="441">
        <v>3701</v>
      </c>
      <c r="B162" s="673" t="s">
        <v>437</v>
      </c>
      <c r="C162" s="1440">
        <v>19</v>
      </c>
      <c r="D162" s="1440">
        <v>19</v>
      </c>
      <c r="E162" s="1440">
        <v>17</v>
      </c>
      <c r="F162" s="1715"/>
      <c r="G162" s="1715"/>
      <c r="H162" s="1715" t="s">
        <v>552</v>
      </c>
      <c r="I162" s="1715" t="s">
        <v>552</v>
      </c>
      <c r="J162" s="1715" t="s">
        <v>552</v>
      </c>
      <c r="K162" s="1715" t="s">
        <v>552</v>
      </c>
      <c r="L162" s="1715" t="s">
        <v>552</v>
      </c>
      <c r="M162" s="1715"/>
      <c r="N162" s="1715"/>
      <c r="O162" s="1715" t="s">
        <v>552</v>
      </c>
      <c r="P162" s="1715" t="s">
        <v>552</v>
      </c>
      <c r="Q162" s="1715" t="s">
        <v>552</v>
      </c>
      <c r="R162" s="1715" t="s">
        <v>552</v>
      </c>
      <c r="S162" s="1715" t="s">
        <v>552</v>
      </c>
      <c r="T162" s="1715"/>
      <c r="U162" s="1715"/>
      <c r="V162" s="1715" t="s">
        <v>552</v>
      </c>
      <c r="W162" s="1746" t="s">
        <v>552</v>
      </c>
      <c r="X162" s="1715" t="s">
        <v>552</v>
      </c>
      <c r="Y162" s="1715" t="s">
        <v>552</v>
      </c>
      <c r="Z162" s="1715" t="s">
        <v>552</v>
      </c>
      <c r="AA162" s="1715"/>
      <c r="AB162" s="1715"/>
      <c r="AC162" s="1715" t="s">
        <v>552</v>
      </c>
      <c r="AD162" s="1715" t="s">
        <v>552</v>
      </c>
      <c r="AE162" s="1715" t="s">
        <v>552</v>
      </c>
      <c r="AF162" s="1715"/>
      <c r="AG162" s="503"/>
      <c r="AH162" s="648">
        <v>40</v>
      </c>
      <c r="AI162" s="649">
        <v>37</v>
      </c>
    </row>
    <row r="163" spans="1:38" ht="21.95" customHeight="1" x14ac:dyDescent="0.2">
      <c r="A163" s="441">
        <v>3701</v>
      </c>
      <c r="B163" s="673" t="s">
        <v>618</v>
      </c>
      <c r="C163" s="1715" t="s">
        <v>552</v>
      </c>
      <c r="D163" s="1715" t="s">
        <v>552</v>
      </c>
      <c r="E163" s="1715" t="s">
        <v>552</v>
      </c>
      <c r="F163" s="1715"/>
      <c r="G163" s="1715"/>
      <c r="H163" s="503" t="s">
        <v>552</v>
      </c>
      <c r="I163" s="1440" t="s">
        <v>552</v>
      </c>
      <c r="J163" s="1440" t="s">
        <v>552</v>
      </c>
      <c r="K163" s="1608" t="s">
        <v>552</v>
      </c>
      <c r="L163" s="1608" t="s">
        <v>552</v>
      </c>
      <c r="M163" s="1715"/>
      <c r="N163" s="1715"/>
      <c r="O163" s="503">
        <v>19</v>
      </c>
      <c r="P163" s="1440">
        <v>19</v>
      </c>
      <c r="Q163" s="1440">
        <v>19</v>
      </c>
      <c r="R163" s="1440">
        <v>19</v>
      </c>
      <c r="S163" s="1440">
        <v>17</v>
      </c>
      <c r="T163" s="1715"/>
      <c r="U163" s="1715"/>
      <c r="V163" s="1715" t="s">
        <v>552</v>
      </c>
      <c r="W163" s="1742" t="s">
        <v>552</v>
      </c>
      <c r="X163" s="1510" t="s">
        <v>617</v>
      </c>
      <c r="Y163" s="1715" t="s">
        <v>552</v>
      </c>
      <c r="Z163" s="1715" t="s">
        <v>552</v>
      </c>
      <c r="AA163" s="1715"/>
      <c r="AB163" s="1715"/>
      <c r="AC163" s="1715" t="s">
        <v>552</v>
      </c>
      <c r="AD163" s="1715" t="s">
        <v>552</v>
      </c>
      <c r="AE163" s="1715" t="s">
        <v>552</v>
      </c>
      <c r="AF163" s="1715"/>
      <c r="AG163" s="503"/>
      <c r="AH163" s="648">
        <v>0</v>
      </c>
      <c r="AI163" s="649">
        <v>14</v>
      </c>
    </row>
    <row r="164" spans="1:38" ht="21.95" customHeight="1" x14ac:dyDescent="0.2">
      <c r="A164" s="441">
        <v>3701</v>
      </c>
      <c r="B164" s="552" t="s">
        <v>619</v>
      </c>
      <c r="C164" s="1715" t="s">
        <v>552</v>
      </c>
      <c r="D164" s="1715" t="s">
        <v>552</v>
      </c>
      <c r="E164" s="1715" t="s">
        <v>552</v>
      </c>
      <c r="F164" s="1715"/>
      <c r="G164" s="1715"/>
      <c r="H164" s="1715" t="s">
        <v>552</v>
      </c>
      <c r="I164" s="553" t="s">
        <v>552</v>
      </c>
      <c r="J164" s="1715" t="s">
        <v>552</v>
      </c>
      <c r="K164" s="1715" t="s">
        <v>552</v>
      </c>
      <c r="L164" s="1715" t="s">
        <v>552</v>
      </c>
      <c r="M164" s="1715"/>
      <c r="N164" s="1715"/>
      <c r="O164" s="1715" t="s">
        <v>552</v>
      </c>
      <c r="P164" s="1715" t="s">
        <v>552</v>
      </c>
      <c r="Q164" s="1715" t="s">
        <v>552</v>
      </c>
      <c r="R164" s="1747" t="s">
        <v>552</v>
      </c>
      <c r="S164" s="1715" t="s">
        <v>552</v>
      </c>
      <c r="T164" s="1715"/>
      <c r="U164" s="1715"/>
      <c r="V164" s="1742" t="s">
        <v>552</v>
      </c>
      <c r="W164" s="1742" t="s">
        <v>552</v>
      </c>
      <c r="X164" s="1742" t="s">
        <v>552</v>
      </c>
      <c r="Y164" s="1742" t="s">
        <v>552</v>
      </c>
      <c r="Z164" s="1510" t="s">
        <v>617</v>
      </c>
      <c r="AA164" s="1715"/>
      <c r="AB164" s="1715"/>
      <c r="AC164" s="503" t="s">
        <v>552</v>
      </c>
      <c r="AD164" s="1440" t="s">
        <v>552</v>
      </c>
      <c r="AE164" s="1440" t="s">
        <v>552</v>
      </c>
      <c r="AF164" s="1715"/>
      <c r="AG164" s="553"/>
      <c r="AH164" s="648">
        <v>0</v>
      </c>
      <c r="AI164" s="649">
        <v>37</v>
      </c>
      <c r="AL164" t="s">
        <v>28</v>
      </c>
    </row>
    <row r="165" spans="1:38" ht="21.95" customHeight="1" x14ac:dyDescent="0.2">
      <c r="A165" s="1433">
        <v>3701</v>
      </c>
      <c r="B165" s="1434" t="s">
        <v>620</v>
      </c>
      <c r="C165" s="1715" t="s">
        <v>552</v>
      </c>
      <c r="D165" s="1715" t="s">
        <v>552</v>
      </c>
      <c r="E165" s="1715" t="s">
        <v>552</v>
      </c>
      <c r="F165" s="1715"/>
      <c r="G165" s="1715"/>
      <c r="H165" s="1715" t="s">
        <v>552</v>
      </c>
      <c r="I165" s="1715" t="s">
        <v>552</v>
      </c>
      <c r="J165" s="1715" t="s">
        <v>552</v>
      </c>
      <c r="K165" s="1715" t="s">
        <v>552</v>
      </c>
      <c r="L165" s="1715" t="s">
        <v>552</v>
      </c>
      <c r="M165" s="1715"/>
      <c r="N165" s="1715"/>
      <c r="O165" s="503" t="s">
        <v>552</v>
      </c>
      <c r="P165" s="1440" t="s">
        <v>552</v>
      </c>
      <c r="Q165" s="1440" t="s">
        <v>552</v>
      </c>
      <c r="R165" s="1440" t="s">
        <v>552</v>
      </c>
      <c r="S165" s="1440" t="s">
        <v>552</v>
      </c>
      <c r="T165" s="1715"/>
      <c r="U165" s="1715"/>
      <c r="V165" s="503">
        <v>19</v>
      </c>
      <c r="W165" s="1440">
        <v>19</v>
      </c>
      <c r="X165" s="1746" t="s">
        <v>552</v>
      </c>
      <c r="Y165" s="1440">
        <v>19</v>
      </c>
      <c r="Z165" s="1440">
        <v>17</v>
      </c>
      <c r="AA165" s="1715"/>
      <c r="AB165" s="1715"/>
      <c r="AC165" s="1715" t="s">
        <v>552</v>
      </c>
      <c r="AD165" s="1715" t="s">
        <v>552</v>
      </c>
      <c r="AE165" s="1715" t="s">
        <v>552</v>
      </c>
      <c r="AF165" s="1715"/>
      <c r="AG165" s="503"/>
      <c r="AH165" s="648">
        <v>74</v>
      </c>
      <c r="AI165" s="649">
        <v>6</v>
      </c>
    </row>
    <row r="166" spans="1:38" ht="21.95" customHeight="1" x14ac:dyDescent="0.2">
      <c r="A166" s="441">
        <v>3701</v>
      </c>
      <c r="B166" s="552" t="s">
        <v>621</v>
      </c>
      <c r="C166" s="1742" t="s">
        <v>552</v>
      </c>
      <c r="D166" s="1510" t="s">
        <v>617</v>
      </c>
      <c r="E166" s="1715" t="s">
        <v>552</v>
      </c>
      <c r="F166" s="1715"/>
      <c r="G166" s="1715"/>
      <c r="H166" s="1715" t="s">
        <v>552</v>
      </c>
      <c r="I166" s="1715" t="s">
        <v>552</v>
      </c>
      <c r="J166" s="1715" t="s">
        <v>552</v>
      </c>
      <c r="K166" s="1715" t="s">
        <v>552</v>
      </c>
      <c r="L166" s="1715" t="s">
        <v>552</v>
      </c>
      <c r="M166" s="1715"/>
      <c r="N166" s="1715"/>
      <c r="O166" s="1747" t="s">
        <v>552</v>
      </c>
      <c r="P166" s="1747" t="s">
        <v>552</v>
      </c>
      <c r="Q166" s="1747" t="s">
        <v>552</v>
      </c>
      <c r="R166" s="1747" t="s">
        <v>552</v>
      </c>
      <c r="S166" s="1747" t="s">
        <v>552</v>
      </c>
      <c r="T166" s="1747"/>
      <c r="U166" s="1747"/>
      <c r="V166" s="1715" t="s">
        <v>552</v>
      </c>
      <c r="W166" s="1715" t="s">
        <v>552</v>
      </c>
      <c r="X166" s="1746" t="s">
        <v>552</v>
      </c>
      <c r="Y166" s="1633" t="s">
        <v>552</v>
      </c>
      <c r="Z166" s="1715" t="s">
        <v>552</v>
      </c>
      <c r="AA166" s="1715"/>
      <c r="AB166" s="1715"/>
      <c r="AC166" s="1715" t="s">
        <v>552</v>
      </c>
      <c r="AD166" s="1633" t="s">
        <v>552</v>
      </c>
      <c r="AE166" s="1715" t="s">
        <v>552</v>
      </c>
      <c r="AF166" s="1715"/>
      <c r="AG166" s="503"/>
      <c r="AH166" s="648">
        <v>27</v>
      </c>
      <c r="AI166" s="649">
        <v>29</v>
      </c>
    </row>
    <row r="167" spans="1:38" ht="21.95" customHeight="1" x14ac:dyDescent="0.2">
      <c r="A167" s="441">
        <v>3701</v>
      </c>
      <c r="B167" s="673" t="s">
        <v>622</v>
      </c>
      <c r="C167" s="1715" t="s">
        <v>552</v>
      </c>
      <c r="D167" s="1715" t="s">
        <v>552</v>
      </c>
      <c r="E167" s="1715" t="s">
        <v>552</v>
      </c>
      <c r="F167" s="1715"/>
      <c r="G167" s="1715"/>
      <c r="H167" s="1715" t="s">
        <v>552</v>
      </c>
      <c r="I167" s="1715" t="s">
        <v>552</v>
      </c>
      <c r="J167" s="1715" t="s">
        <v>552</v>
      </c>
      <c r="K167" s="1715" t="s">
        <v>552</v>
      </c>
      <c r="L167" s="1715" t="s">
        <v>552</v>
      </c>
      <c r="M167" s="1715"/>
      <c r="N167" s="1715"/>
      <c r="O167" s="1715" t="s">
        <v>552</v>
      </c>
      <c r="P167" s="1715" t="s">
        <v>552</v>
      </c>
      <c r="Q167" s="1715" t="s">
        <v>552</v>
      </c>
      <c r="R167" s="1715" t="s">
        <v>552</v>
      </c>
      <c r="S167" s="1715" t="s">
        <v>552</v>
      </c>
      <c r="T167" s="1715"/>
      <c r="U167" s="1715"/>
      <c r="V167" s="1747" t="s">
        <v>552</v>
      </c>
      <c r="W167" s="1746" t="s">
        <v>552</v>
      </c>
      <c r="X167" s="1747" t="s">
        <v>552</v>
      </c>
      <c r="Y167" s="1747" t="s">
        <v>552</v>
      </c>
      <c r="Z167" s="1747" t="s">
        <v>552</v>
      </c>
      <c r="AA167" s="1747"/>
      <c r="AB167" s="1747"/>
      <c r="AC167" s="1746" t="s">
        <v>552</v>
      </c>
      <c r="AD167" s="1746" t="s">
        <v>552</v>
      </c>
      <c r="AE167" s="1746" t="s">
        <v>552</v>
      </c>
      <c r="AF167" s="1715"/>
      <c r="AG167" s="503"/>
      <c r="AH167" s="648">
        <v>38</v>
      </c>
      <c r="AI167" s="649">
        <v>29</v>
      </c>
    </row>
    <row r="168" spans="1:38" ht="21.95" customHeight="1" x14ac:dyDescent="0.2">
      <c r="A168" s="441">
        <v>3701</v>
      </c>
      <c r="B168" s="673" t="s">
        <v>623</v>
      </c>
      <c r="C168" s="1715" t="s">
        <v>552</v>
      </c>
      <c r="D168" s="1715" t="s">
        <v>552</v>
      </c>
      <c r="E168" s="1715" t="s">
        <v>552</v>
      </c>
      <c r="F168" s="1715"/>
      <c r="G168" s="1715"/>
      <c r="H168" s="1715" t="s">
        <v>552</v>
      </c>
      <c r="I168" s="1742" t="s">
        <v>552</v>
      </c>
      <c r="J168" s="1742" t="s">
        <v>552</v>
      </c>
      <c r="K168" s="1510" t="s">
        <v>617</v>
      </c>
      <c r="L168" s="1715" t="s">
        <v>552</v>
      </c>
      <c r="M168" s="1715"/>
      <c r="N168" s="1715"/>
      <c r="O168" s="1744" t="s">
        <v>552</v>
      </c>
      <c r="P168" s="1744" t="s">
        <v>552</v>
      </c>
      <c r="Q168" s="1715" t="s">
        <v>552</v>
      </c>
      <c r="R168" s="1715" t="s">
        <v>552</v>
      </c>
      <c r="S168" s="1715" t="s">
        <v>552</v>
      </c>
      <c r="T168" s="1715"/>
      <c r="U168" s="1715"/>
      <c r="V168" s="1715" t="s">
        <v>552</v>
      </c>
      <c r="W168" s="1715" t="s">
        <v>552</v>
      </c>
      <c r="X168" s="1715" t="s">
        <v>552</v>
      </c>
      <c r="Y168" s="1715" t="s">
        <v>552</v>
      </c>
      <c r="Z168" s="1715" t="s">
        <v>552</v>
      </c>
      <c r="AA168" s="1715"/>
      <c r="AB168" s="1715"/>
      <c r="AC168" s="1715" t="s">
        <v>552</v>
      </c>
      <c r="AD168" s="1715" t="s">
        <v>552</v>
      </c>
      <c r="AE168" s="1742" t="s">
        <v>552</v>
      </c>
      <c r="AF168" s="1715"/>
      <c r="AG168" s="588"/>
      <c r="AH168" s="648">
        <v>29</v>
      </c>
      <c r="AI168" s="649">
        <v>31</v>
      </c>
    </row>
    <row r="169" spans="1:38" ht="21.95" customHeight="1" x14ac:dyDescent="0.2">
      <c r="A169" s="441"/>
      <c r="B169" s="1111" t="s">
        <v>720</v>
      </c>
      <c r="C169" s="1715" t="s">
        <v>552</v>
      </c>
      <c r="D169" s="1715" t="s">
        <v>552</v>
      </c>
      <c r="E169" s="1715" t="s">
        <v>552</v>
      </c>
      <c r="F169" s="1715"/>
      <c r="G169" s="1715"/>
      <c r="H169" s="1715" t="s">
        <v>552</v>
      </c>
      <c r="I169" s="1715" t="s">
        <v>552</v>
      </c>
      <c r="J169" s="1715" t="s">
        <v>552</v>
      </c>
      <c r="K169" s="1715" t="s">
        <v>552</v>
      </c>
      <c r="L169" s="1715" t="s">
        <v>552</v>
      </c>
      <c r="M169" s="1715"/>
      <c r="N169" s="1715"/>
      <c r="O169" s="1715" t="s">
        <v>552</v>
      </c>
      <c r="P169" s="1742" t="s">
        <v>552</v>
      </c>
      <c r="Q169" s="1715" t="s">
        <v>552</v>
      </c>
      <c r="R169" s="1715" t="s">
        <v>552</v>
      </c>
      <c r="S169" s="1715" t="s">
        <v>552</v>
      </c>
      <c r="T169" s="1715"/>
      <c r="U169" s="1715"/>
      <c r="V169" s="1715" t="s">
        <v>552</v>
      </c>
      <c r="W169" s="1715" t="s">
        <v>552</v>
      </c>
      <c r="X169" s="1715" t="s">
        <v>552</v>
      </c>
      <c r="Y169" s="1715" t="s">
        <v>552</v>
      </c>
      <c r="Z169" s="1715" t="s">
        <v>552</v>
      </c>
      <c r="AA169" s="1715"/>
      <c r="AB169" s="1715"/>
      <c r="AC169" s="1715" t="s">
        <v>552</v>
      </c>
      <c r="AD169" s="1715" t="s">
        <v>552</v>
      </c>
      <c r="AE169" s="1715" t="s">
        <v>552</v>
      </c>
      <c r="AF169" s="1715"/>
      <c r="AG169" s="588"/>
      <c r="AH169" s="648"/>
      <c r="AI169" s="649"/>
    </row>
    <row r="170" spans="1:38" ht="21.95" customHeight="1" x14ac:dyDescent="0.2">
      <c r="A170" s="621"/>
      <c r="B170" s="677"/>
      <c r="C170" s="525"/>
      <c r="D170" s="525"/>
      <c r="E170" s="525"/>
      <c r="F170" s="525"/>
      <c r="G170" s="525"/>
      <c r="H170" s="525"/>
      <c r="I170" s="525"/>
      <c r="J170" s="525"/>
      <c r="K170" s="525"/>
      <c r="L170" s="525"/>
      <c r="M170" s="525"/>
      <c r="N170" s="525"/>
      <c r="O170" s="525"/>
      <c r="P170" s="525"/>
      <c r="Q170" s="525"/>
      <c r="R170" s="525"/>
      <c r="S170" s="525"/>
      <c r="T170" s="525"/>
      <c r="U170" s="525"/>
      <c r="V170" s="525"/>
      <c r="W170" s="525"/>
      <c r="X170" s="525"/>
      <c r="Y170" s="525"/>
      <c r="Z170" s="525"/>
      <c r="AA170" s="525"/>
      <c r="AB170" s="525"/>
      <c r="AC170" s="525"/>
      <c r="AD170" s="525"/>
      <c r="AE170" s="590"/>
      <c r="AF170" s="590"/>
      <c r="AG170" s="590"/>
      <c r="AH170" s="591"/>
      <c r="AI170" s="591"/>
    </row>
    <row r="171" spans="1:38" ht="21" customHeight="1" x14ac:dyDescent="0.2">
      <c r="A171" s="1" t="s">
        <v>624</v>
      </c>
    </row>
    <row r="172" spans="1:38" ht="21" customHeight="1" x14ac:dyDescent="0.2">
      <c r="B172" s="200" t="s">
        <v>604</v>
      </c>
      <c r="C172" s="7"/>
      <c r="D172" s="530" t="s">
        <v>2</v>
      </c>
      <c r="E172" s="51"/>
      <c r="F172" s="573"/>
      <c r="G172" s="7"/>
      <c r="H172" s="530" t="s">
        <v>3</v>
      </c>
      <c r="I172" s="51"/>
      <c r="J172" s="573"/>
      <c r="K172" s="7"/>
      <c r="L172" s="530" t="s">
        <v>4</v>
      </c>
      <c r="M172" s="51"/>
      <c r="N172" s="573"/>
      <c r="O172" s="7"/>
      <c r="P172" s="530" t="s">
        <v>5</v>
      </c>
      <c r="Q172" s="51"/>
      <c r="R172" s="573"/>
      <c r="S172" s="7"/>
      <c r="T172" s="530" t="s">
        <v>6</v>
      </c>
      <c r="U172" s="51"/>
      <c r="V172" s="573"/>
      <c r="W172" s="7"/>
      <c r="X172" s="530" t="s">
        <v>7</v>
      </c>
      <c r="Y172" s="51"/>
      <c r="Z172" s="573"/>
      <c r="AA172" s="7"/>
      <c r="AB172" s="530" t="s">
        <v>8</v>
      </c>
      <c r="AC172" s="51"/>
      <c r="AD172" s="51"/>
      <c r="AE172" s="424" t="s">
        <v>10</v>
      </c>
      <c r="AF172" s="51"/>
      <c r="AG172" s="51"/>
      <c r="AH172" s="51"/>
      <c r="AI172" s="531"/>
    </row>
    <row r="173" spans="1:38" ht="21" customHeight="1" x14ac:dyDescent="0.2">
      <c r="B173" s="9">
        <v>8502</v>
      </c>
      <c r="C173" s="14" t="s">
        <v>11</v>
      </c>
      <c r="D173" s="659"/>
      <c r="E173" s="55"/>
      <c r="F173" s="580"/>
      <c r="G173" s="14" t="s">
        <v>11</v>
      </c>
      <c r="H173" s="659"/>
      <c r="I173" s="55"/>
      <c r="J173" s="580"/>
      <c r="K173" s="14" t="s">
        <v>11</v>
      </c>
      <c r="L173" s="659"/>
      <c r="M173" s="55"/>
      <c r="N173" s="580"/>
      <c r="O173" s="14" t="s">
        <v>11</v>
      </c>
      <c r="P173" s="659"/>
      <c r="Q173" s="55"/>
      <c r="R173" s="580"/>
      <c r="S173" s="14" t="s">
        <v>12</v>
      </c>
      <c r="T173" s="659"/>
      <c r="U173" s="55"/>
      <c r="V173" s="580"/>
      <c r="W173" s="14"/>
      <c r="X173" s="659"/>
      <c r="Y173" s="55"/>
      <c r="Z173" s="580"/>
      <c r="AA173" s="14"/>
      <c r="AB173" s="659"/>
      <c r="AC173" s="55"/>
      <c r="AD173" s="55"/>
      <c r="AE173" s="660"/>
      <c r="AF173" s="55"/>
      <c r="AG173" s="55"/>
      <c r="AH173" s="55"/>
      <c r="AI173" s="661"/>
    </row>
    <row r="174" spans="1:38" ht="21" customHeight="1" x14ac:dyDescent="0.2">
      <c r="B174" s="662">
        <v>3701</v>
      </c>
      <c r="C174" s="121" t="s">
        <v>11</v>
      </c>
      <c r="D174" s="130"/>
      <c r="E174" s="55"/>
      <c r="F174" s="580"/>
      <c r="G174" s="121" t="s">
        <v>11</v>
      </c>
      <c r="H174" s="659"/>
      <c r="I174" s="55"/>
      <c r="J174" s="580"/>
      <c r="K174" s="121" t="s">
        <v>11</v>
      </c>
      <c r="L174" s="659"/>
      <c r="M174" s="55"/>
      <c r="N174" s="580"/>
      <c r="O174" s="121" t="s">
        <v>11</v>
      </c>
      <c r="P174" s="659"/>
      <c r="Q174" s="55"/>
      <c r="R174" s="580"/>
      <c r="S174" s="14" t="s">
        <v>12</v>
      </c>
      <c r="T174" s="659"/>
      <c r="U174" s="55"/>
      <c r="V174" s="580"/>
      <c r="W174" s="14"/>
      <c r="X174" s="659"/>
      <c r="Y174" s="55"/>
      <c r="Z174" s="580"/>
      <c r="AA174" s="14"/>
      <c r="AB174" s="659"/>
      <c r="AC174" s="55"/>
      <c r="AD174" s="55"/>
      <c r="AE174" s="660"/>
      <c r="AF174" s="55"/>
      <c r="AG174" s="55"/>
      <c r="AH174" s="55"/>
      <c r="AI174" s="661"/>
    </row>
    <row r="175" spans="1:38" ht="21" customHeight="1" x14ac:dyDescent="0.2">
      <c r="B175" s="662">
        <v>3705</v>
      </c>
      <c r="C175" s="121" t="s">
        <v>147</v>
      </c>
      <c r="D175" s="130"/>
      <c r="E175" s="55"/>
      <c r="F175" s="580"/>
      <c r="G175" s="121" t="s">
        <v>147</v>
      </c>
      <c r="H175" s="659"/>
      <c r="I175" s="55"/>
      <c r="J175" s="580"/>
      <c r="K175" s="121" t="s">
        <v>147</v>
      </c>
      <c r="L175" s="659"/>
      <c r="M175" s="55"/>
      <c r="N175" s="580"/>
      <c r="O175" s="121" t="s">
        <v>147</v>
      </c>
      <c r="P175" s="659"/>
      <c r="Q175" s="55"/>
      <c r="R175" s="580"/>
      <c r="S175" s="121" t="s">
        <v>536</v>
      </c>
      <c r="T175" s="659"/>
      <c r="U175" s="55"/>
      <c r="V175" s="580"/>
      <c r="W175" s="14"/>
      <c r="X175" s="659"/>
      <c r="Y175" s="55"/>
      <c r="Z175" s="580"/>
      <c r="AA175" s="14"/>
      <c r="AB175" s="659"/>
      <c r="AC175" s="55"/>
      <c r="AD175" s="55"/>
      <c r="AE175" s="660"/>
      <c r="AF175" s="55"/>
      <c r="AG175" s="55"/>
      <c r="AH175" s="55"/>
      <c r="AI175" s="661"/>
    </row>
    <row r="176" spans="1:38" ht="21" customHeight="1" x14ac:dyDescent="0.2">
      <c r="B176" s="662" t="s">
        <v>625</v>
      </c>
      <c r="C176" s="611" t="s">
        <v>626</v>
      </c>
      <c r="D176" s="130"/>
      <c r="E176" s="55"/>
      <c r="F176" s="580"/>
      <c r="G176" s="611" t="s">
        <v>626</v>
      </c>
      <c r="H176" s="659"/>
      <c r="I176" s="55"/>
      <c r="J176" s="580"/>
      <c r="K176" s="611" t="s">
        <v>626</v>
      </c>
      <c r="L176" s="659"/>
      <c r="M176" s="55"/>
      <c r="N176" s="580"/>
      <c r="O176" s="611" t="s">
        <v>626</v>
      </c>
      <c r="P176" s="659"/>
      <c r="Q176" s="55"/>
      <c r="R176" s="580"/>
      <c r="S176" s="611" t="s">
        <v>626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7" ht="21" customHeight="1" x14ac:dyDescent="0.2">
      <c r="B177" s="662" t="s">
        <v>627</v>
      </c>
      <c r="C177" s="611" t="s">
        <v>628</v>
      </c>
      <c r="D177" s="130"/>
      <c r="E177" s="55"/>
      <c r="F177" s="580"/>
      <c r="G177" s="659" t="s">
        <v>629</v>
      </c>
      <c r="H177" s="659"/>
      <c r="I177" s="55"/>
      <c r="J177" s="580"/>
      <c r="K177" s="659" t="s">
        <v>630</v>
      </c>
      <c r="L177" s="659"/>
      <c r="M177" s="55"/>
      <c r="N177" s="580"/>
      <c r="O177" s="659" t="s">
        <v>630</v>
      </c>
      <c r="P177" s="659"/>
      <c r="Q177" s="55"/>
      <c r="R177" s="580"/>
      <c r="S177" s="659" t="s">
        <v>631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7" ht="21" customHeight="1" x14ac:dyDescent="0.2">
      <c r="B178" s="662" t="s">
        <v>324</v>
      </c>
      <c r="C178" s="611" t="s">
        <v>632</v>
      </c>
      <c r="D178" s="130"/>
      <c r="E178" s="55"/>
      <c r="F178" s="580"/>
      <c r="G178" s="611" t="s">
        <v>632</v>
      </c>
      <c r="H178" s="130"/>
      <c r="I178" s="55"/>
      <c r="J178" s="580"/>
      <c r="K178" s="611" t="s">
        <v>632</v>
      </c>
      <c r="L178" s="130"/>
      <c r="M178" s="55"/>
      <c r="N178" s="580"/>
      <c r="O178" s="611" t="s">
        <v>632</v>
      </c>
      <c r="P178" s="130"/>
      <c r="Q178" s="55"/>
      <c r="R178" s="580"/>
      <c r="S178" s="659" t="s">
        <v>633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7" ht="21" customHeight="1" x14ac:dyDescent="0.2">
      <c r="B179" s="662" t="s">
        <v>325</v>
      </c>
      <c r="C179" s="611" t="s">
        <v>634</v>
      </c>
      <c r="D179" s="130"/>
      <c r="E179" s="55"/>
      <c r="F179" s="580"/>
      <c r="G179" s="611" t="s">
        <v>634</v>
      </c>
      <c r="H179" s="130"/>
      <c r="I179" s="55"/>
      <c r="J179" s="580"/>
      <c r="K179" s="611" t="s">
        <v>634</v>
      </c>
      <c r="L179" s="130"/>
      <c r="M179" s="55"/>
      <c r="N179" s="580"/>
      <c r="O179" s="611" t="s">
        <v>634</v>
      </c>
      <c r="P179" s="130"/>
      <c r="Q179" s="55"/>
      <c r="R179" s="580"/>
      <c r="S179" s="659" t="s">
        <v>635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7" ht="21" customHeight="1" x14ac:dyDescent="0.2">
      <c r="B180" s="671" t="s">
        <v>326</v>
      </c>
      <c r="C180" s="618" t="s">
        <v>736</v>
      </c>
      <c r="D180" s="48"/>
      <c r="E180" s="678"/>
      <c r="F180" s="239"/>
      <c r="G180" s="618" t="s">
        <v>736</v>
      </c>
      <c r="H180" s="48"/>
      <c r="I180" s="678"/>
      <c r="J180" s="239"/>
      <c r="K180" s="618" t="s">
        <v>736</v>
      </c>
      <c r="L180" s="48"/>
      <c r="M180" s="678"/>
      <c r="N180" s="239"/>
      <c r="O180" s="618" t="s">
        <v>736</v>
      </c>
      <c r="P180" s="48"/>
      <c r="Q180" s="678"/>
      <c r="R180" s="239"/>
      <c r="S180" s="148" t="s">
        <v>723</v>
      </c>
      <c r="T180" s="148"/>
      <c r="U180" s="678"/>
      <c r="V180" s="239"/>
      <c r="W180" s="679"/>
      <c r="X180" s="148"/>
      <c r="Y180" s="678"/>
      <c r="Z180" s="239"/>
      <c r="AA180" s="679"/>
      <c r="AB180" s="148"/>
      <c r="AC180" s="678"/>
      <c r="AD180" s="1607"/>
      <c r="AE180" s="680"/>
      <c r="AF180" s="678"/>
      <c r="AG180" s="678"/>
      <c r="AH180" s="678"/>
      <c r="AI180" s="681"/>
    </row>
    <row r="181" spans="1:37" ht="21" customHeight="1" x14ac:dyDescent="0.2">
      <c r="B181" s="273"/>
      <c r="C181" s="311"/>
      <c r="D181" s="72"/>
      <c r="G181" s="311"/>
      <c r="H181" s="72"/>
      <c r="K181" s="311"/>
      <c r="L181" s="72"/>
      <c r="O181" s="311"/>
      <c r="P181" s="72"/>
      <c r="S181" s="311"/>
      <c r="T181" s="311"/>
      <c r="X181" s="311"/>
      <c r="AB181" s="311"/>
      <c r="AE181" s="311"/>
    </row>
    <row r="182" spans="1:37" ht="21" customHeight="1" x14ac:dyDescent="0.2">
      <c r="A182" s="682" t="s">
        <v>638</v>
      </c>
    </row>
    <row r="183" spans="1:37" ht="21" customHeight="1" x14ac:dyDescent="0.2">
      <c r="A183" s="585"/>
      <c r="B183" s="296" t="s">
        <v>469</v>
      </c>
      <c r="C183" s="177">
        <v>1</v>
      </c>
      <c r="D183" s="177">
        <v>2</v>
      </c>
      <c r="E183" s="177">
        <v>3</v>
      </c>
      <c r="F183" s="497">
        <v>4</v>
      </c>
      <c r="G183" s="497">
        <v>5</v>
      </c>
      <c r="H183" s="177">
        <v>6</v>
      </c>
      <c r="I183" s="177">
        <v>7</v>
      </c>
      <c r="J183" s="177">
        <v>8</v>
      </c>
      <c r="K183" s="177">
        <v>9</v>
      </c>
      <c r="L183" s="177">
        <v>10</v>
      </c>
      <c r="M183" s="497">
        <v>11</v>
      </c>
      <c r="N183" s="497">
        <v>12</v>
      </c>
      <c r="O183" s="177">
        <v>13</v>
      </c>
      <c r="P183" s="177">
        <v>14</v>
      </c>
      <c r="Q183" s="177">
        <v>15</v>
      </c>
      <c r="R183" s="177">
        <v>16</v>
      </c>
      <c r="S183" s="177">
        <v>17</v>
      </c>
      <c r="T183" s="497">
        <v>18</v>
      </c>
      <c r="U183" s="497">
        <v>19</v>
      </c>
      <c r="V183" s="177">
        <v>20</v>
      </c>
      <c r="W183" s="177">
        <v>21</v>
      </c>
      <c r="X183" s="177">
        <v>22</v>
      </c>
      <c r="Y183" s="177">
        <v>23</v>
      </c>
      <c r="Z183" s="177">
        <v>24</v>
      </c>
      <c r="AA183" s="497">
        <v>25</v>
      </c>
      <c r="AB183" s="497">
        <v>26</v>
      </c>
      <c r="AC183" s="177">
        <v>27</v>
      </c>
      <c r="AD183" s="177">
        <v>28</v>
      </c>
      <c r="AE183" s="177">
        <v>29</v>
      </c>
      <c r="AF183" s="177"/>
      <c r="AG183" s="177"/>
      <c r="AH183" s="499" t="s">
        <v>470</v>
      </c>
      <c r="AI183" s="500" t="s">
        <v>471</v>
      </c>
    </row>
    <row r="184" spans="1:37" ht="21" customHeight="1" x14ac:dyDescent="0.2">
      <c r="A184" s="441">
        <v>3702</v>
      </c>
      <c r="B184" s="152" t="s">
        <v>639</v>
      </c>
      <c r="C184" s="587">
        <v>2</v>
      </c>
      <c r="D184" s="587">
        <v>2</v>
      </c>
      <c r="E184" s="587">
        <v>2</v>
      </c>
      <c r="F184" s="587"/>
      <c r="G184" s="587"/>
      <c r="H184" s="587">
        <v>1</v>
      </c>
      <c r="I184" s="587">
        <v>1</v>
      </c>
      <c r="J184" s="587">
        <v>1</v>
      </c>
      <c r="K184" s="587">
        <v>1</v>
      </c>
      <c r="L184" s="587">
        <v>1</v>
      </c>
      <c r="M184" s="587"/>
      <c r="N184" s="587"/>
      <c r="O184" s="1548">
        <v>2</v>
      </c>
      <c r="P184" s="1548">
        <v>2</v>
      </c>
      <c r="Q184" s="1548">
        <v>2</v>
      </c>
      <c r="R184" s="1548">
        <v>2</v>
      </c>
      <c r="S184" s="1548">
        <v>2</v>
      </c>
      <c r="T184" s="1549"/>
      <c r="U184" s="1549"/>
      <c r="V184" s="587">
        <v>1</v>
      </c>
      <c r="W184" s="587">
        <v>1</v>
      </c>
      <c r="X184" s="587">
        <v>1</v>
      </c>
      <c r="Y184" s="1633">
        <v>1</v>
      </c>
      <c r="Z184" s="587">
        <v>1</v>
      </c>
      <c r="AA184" s="587"/>
      <c r="AB184" s="587"/>
      <c r="AC184" s="1656">
        <v>2</v>
      </c>
      <c r="AD184" s="1633">
        <v>2</v>
      </c>
      <c r="AE184" s="587">
        <v>2</v>
      </c>
      <c r="AF184" s="503"/>
      <c r="AG184" s="504"/>
      <c r="AH184" s="505">
        <v>0</v>
      </c>
      <c r="AI184" s="506">
        <v>37</v>
      </c>
      <c r="AK184">
        <v>0</v>
      </c>
    </row>
    <row r="185" spans="1:37" ht="21" customHeight="1" x14ac:dyDescent="0.2">
      <c r="A185" s="441">
        <v>3701</v>
      </c>
      <c r="B185" s="152" t="s">
        <v>640</v>
      </c>
      <c r="C185" s="1606" t="s">
        <v>482</v>
      </c>
      <c r="D185" s="1606" t="s">
        <v>482</v>
      </c>
      <c r="E185" s="1606" t="s">
        <v>482</v>
      </c>
      <c r="F185" s="1606"/>
      <c r="G185" s="1606"/>
      <c r="H185" s="1606" t="s">
        <v>482</v>
      </c>
      <c r="I185" s="1606" t="s">
        <v>482</v>
      </c>
      <c r="J185" s="1606" t="s">
        <v>482</v>
      </c>
      <c r="K185" s="1606" t="s">
        <v>482</v>
      </c>
      <c r="L185" s="1606" t="s">
        <v>482</v>
      </c>
      <c r="M185" s="1606"/>
      <c r="N185" s="1606"/>
      <c r="O185" s="587" t="s">
        <v>482</v>
      </c>
      <c r="P185" s="587" t="s">
        <v>482</v>
      </c>
      <c r="Q185" s="587" t="s">
        <v>482</v>
      </c>
      <c r="R185" s="587" t="s">
        <v>482</v>
      </c>
      <c r="S185" s="587" t="s">
        <v>482</v>
      </c>
      <c r="T185" s="503"/>
      <c r="U185" s="503"/>
      <c r="V185" s="587" t="s">
        <v>482</v>
      </c>
      <c r="W185" s="587" t="s">
        <v>482</v>
      </c>
      <c r="X185" s="587" t="s">
        <v>482</v>
      </c>
      <c r="Y185" s="1633" t="s">
        <v>552</v>
      </c>
      <c r="Z185" s="587" t="s">
        <v>482</v>
      </c>
      <c r="AA185" s="587"/>
      <c r="AB185" s="587"/>
      <c r="AC185" s="1516" t="s">
        <v>482</v>
      </c>
      <c r="AD185" s="1515" t="s">
        <v>552</v>
      </c>
      <c r="AE185" s="1516" t="s">
        <v>482</v>
      </c>
      <c r="AF185" s="503"/>
      <c r="AG185" s="503"/>
      <c r="AH185" s="505">
        <v>0</v>
      </c>
      <c r="AI185" s="506">
        <v>37</v>
      </c>
    </row>
    <row r="186" spans="1:37" ht="21" customHeight="1" x14ac:dyDescent="0.2">
      <c r="A186" s="441">
        <v>3702</v>
      </c>
      <c r="B186" s="152" t="s">
        <v>641</v>
      </c>
      <c r="C186" s="587">
        <v>1</v>
      </c>
      <c r="D186" s="587">
        <v>1</v>
      </c>
      <c r="E186" s="587">
        <v>1</v>
      </c>
      <c r="F186" s="587"/>
      <c r="G186" s="587"/>
      <c r="H186" s="587">
        <v>2</v>
      </c>
      <c r="I186" s="1642" t="s">
        <v>552</v>
      </c>
      <c r="J186" s="587">
        <v>2</v>
      </c>
      <c r="K186" s="587">
        <v>2</v>
      </c>
      <c r="L186" s="587">
        <v>2</v>
      </c>
      <c r="M186" s="587"/>
      <c r="N186" s="587"/>
      <c r="O186" s="587">
        <v>1</v>
      </c>
      <c r="P186" s="587">
        <v>1</v>
      </c>
      <c r="Q186" s="587">
        <v>1</v>
      </c>
      <c r="R186" s="587">
        <v>1</v>
      </c>
      <c r="S186" s="587">
        <v>1</v>
      </c>
      <c r="T186" s="503"/>
      <c r="U186" s="503"/>
      <c r="V186" s="587">
        <v>2</v>
      </c>
      <c r="W186" s="587">
        <v>2</v>
      </c>
      <c r="X186" s="587">
        <v>2</v>
      </c>
      <c r="Y186" s="587">
        <v>2</v>
      </c>
      <c r="Z186" s="587">
        <v>2</v>
      </c>
      <c r="AA186" s="587"/>
      <c r="AB186" s="587"/>
      <c r="AC186" s="587">
        <v>1</v>
      </c>
      <c r="AD186" s="587">
        <v>1</v>
      </c>
      <c r="AE186" s="587">
        <v>1</v>
      </c>
      <c r="AF186" s="503"/>
      <c r="AG186" s="503"/>
      <c r="AH186" s="505">
        <v>76</v>
      </c>
      <c r="AI186" s="506">
        <v>37</v>
      </c>
    </row>
    <row r="187" spans="1:37" ht="21" customHeight="1" x14ac:dyDescent="0.2">
      <c r="A187" s="683">
        <v>3706</v>
      </c>
      <c r="B187" s="552"/>
      <c r="C187" s="503"/>
      <c r="D187" s="503"/>
      <c r="E187" s="503"/>
      <c r="F187" s="503"/>
      <c r="G187" s="503"/>
      <c r="H187" s="503"/>
      <c r="I187" s="503"/>
      <c r="J187" s="503"/>
      <c r="K187" s="503"/>
      <c r="L187" s="503"/>
      <c r="M187" s="503"/>
      <c r="N187" s="503"/>
      <c r="O187" s="503"/>
      <c r="P187" s="503"/>
      <c r="Q187" s="503"/>
      <c r="R187" s="503"/>
      <c r="S187" s="503"/>
      <c r="T187" s="503"/>
      <c r="U187" s="503"/>
      <c r="V187" s="503"/>
      <c r="W187" s="503"/>
      <c r="X187" s="503"/>
      <c r="Y187" s="503"/>
      <c r="Z187" s="503"/>
      <c r="AA187" s="503"/>
      <c r="AB187" s="503"/>
      <c r="AC187" s="503"/>
      <c r="AD187" s="503"/>
      <c r="AE187" s="503"/>
      <c r="AF187" s="503"/>
      <c r="AG187" s="503"/>
      <c r="AH187" s="505"/>
      <c r="AI187" s="506"/>
    </row>
    <row r="188" spans="1:37" ht="21" customHeight="1" x14ac:dyDescent="0.2">
      <c r="A188" s="684"/>
      <c r="B188" s="685" t="s">
        <v>642</v>
      </c>
      <c r="C188" s="686"/>
      <c r="D188" s="686"/>
      <c r="E188" s="686"/>
      <c r="F188" s="686"/>
      <c r="G188" s="686"/>
      <c r="H188" s="686"/>
      <c r="I188" s="686"/>
      <c r="J188" s="686"/>
      <c r="K188" s="686"/>
      <c r="L188" s="686"/>
      <c r="M188" s="686"/>
      <c r="N188" s="686"/>
      <c r="O188" s="686"/>
      <c r="P188" s="686"/>
      <c r="Q188" s="686"/>
      <c r="R188" s="686"/>
      <c r="S188" s="686"/>
      <c r="T188" s="686"/>
      <c r="U188" s="686"/>
      <c r="V188" s="686"/>
      <c r="W188" s="686"/>
      <c r="X188" s="686"/>
      <c r="Y188" s="686"/>
      <c r="Z188" s="686"/>
      <c r="AA188" s="686"/>
      <c r="AB188" s="686"/>
      <c r="AC188" s="686"/>
      <c r="AD188" s="686"/>
      <c r="AE188" s="686"/>
      <c r="AF188" s="686"/>
      <c r="AG188" s="687"/>
      <c r="AH188" s="688"/>
      <c r="AI188" s="689"/>
    </row>
    <row r="189" spans="1:37" ht="21" customHeight="1" x14ac:dyDescent="0.2">
      <c r="A189" s="441">
        <v>3702</v>
      </c>
      <c r="B189" s="133" t="s">
        <v>724</v>
      </c>
      <c r="C189" s="587" t="s">
        <v>643</v>
      </c>
      <c r="D189" s="587" t="s">
        <v>643</v>
      </c>
      <c r="E189" s="587" t="s">
        <v>643</v>
      </c>
      <c r="F189" s="587"/>
      <c r="G189" s="587"/>
      <c r="H189" s="587" t="s">
        <v>596</v>
      </c>
      <c r="I189" s="587" t="s">
        <v>596</v>
      </c>
      <c r="J189" s="587" t="s">
        <v>596</v>
      </c>
      <c r="K189" s="587" t="s">
        <v>596</v>
      </c>
      <c r="L189" s="587" t="s">
        <v>596</v>
      </c>
      <c r="M189" s="587"/>
      <c r="N189" s="587"/>
      <c r="O189" s="1524" t="s">
        <v>644</v>
      </c>
      <c r="P189" s="1524" t="s">
        <v>644</v>
      </c>
      <c r="Q189" s="1524" t="s">
        <v>644</v>
      </c>
      <c r="R189" s="1524" t="s">
        <v>644</v>
      </c>
      <c r="S189" s="1524" t="s">
        <v>644</v>
      </c>
      <c r="T189" s="587"/>
      <c r="U189" s="587"/>
      <c r="V189" s="587" t="s">
        <v>643</v>
      </c>
      <c r="W189" s="587" t="s">
        <v>643</v>
      </c>
      <c r="X189" s="587" t="s">
        <v>643</v>
      </c>
      <c r="Y189" s="1633" t="s">
        <v>643</v>
      </c>
      <c r="Z189" s="587" t="s">
        <v>643</v>
      </c>
      <c r="AA189" s="587"/>
      <c r="AB189" s="587"/>
      <c r="AC189" s="587" t="s">
        <v>596</v>
      </c>
      <c r="AD189" s="1633" t="s">
        <v>552</v>
      </c>
      <c r="AE189" s="587" t="s">
        <v>596</v>
      </c>
      <c r="AF189" s="152"/>
      <c r="AG189" s="154"/>
      <c r="AH189" s="505">
        <v>0</v>
      </c>
      <c r="AI189" s="506">
        <v>0</v>
      </c>
    </row>
    <row r="190" spans="1:37" ht="21" customHeight="1" x14ac:dyDescent="0.2">
      <c r="A190" s="441"/>
      <c r="B190" s="152" t="s">
        <v>645</v>
      </c>
      <c r="C190" s="587" t="s">
        <v>596</v>
      </c>
      <c r="D190" s="587" t="s">
        <v>596</v>
      </c>
      <c r="E190" s="587" t="s">
        <v>596</v>
      </c>
      <c r="F190" s="587"/>
      <c r="G190" s="587"/>
      <c r="H190" s="587" t="s">
        <v>644</v>
      </c>
      <c r="I190" s="587" t="s">
        <v>644</v>
      </c>
      <c r="J190" s="587" t="s">
        <v>644</v>
      </c>
      <c r="K190" s="587" t="s">
        <v>644</v>
      </c>
      <c r="L190" s="587" t="s">
        <v>644</v>
      </c>
      <c r="M190" s="587"/>
      <c r="N190" s="587"/>
      <c r="O190" s="587" t="s">
        <v>643</v>
      </c>
      <c r="P190" s="587" t="s">
        <v>643</v>
      </c>
      <c r="Q190" s="587" t="s">
        <v>643</v>
      </c>
      <c r="R190" s="587" t="s">
        <v>643</v>
      </c>
      <c r="S190" s="587" t="s">
        <v>643</v>
      </c>
      <c r="T190" s="587"/>
      <c r="U190" s="587"/>
      <c r="V190" s="587" t="s">
        <v>596</v>
      </c>
      <c r="W190" s="587" t="s">
        <v>596</v>
      </c>
      <c r="X190" s="587" t="s">
        <v>596</v>
      </c>
      <c r="Y190" s="587" t="s">
        <v>596</v>
      </c>
      <c r="Z190" s="587" t="s">
        <v>596</v>
      </c>
      <c r="AA190" s="587"/>
      <c r="AB190" s="587"/>
      <c r="AC190" s="587" t="s">
        <v>644</v>
      </c>
      <c r="AD190" s="587" t="s">
        <v>644</v>
      </c>
      <c r="AE190" s="587" t="s">
        <v>644</v>
      </c>
      <c r="AF190" s="152"/>
      <c r="AG190" s="154"/>
      <c r="AH190" s="505">
        <v>37</v>
      </c>
      <c r="AI190" s="506">
        <v>29</v>
      </c>
    </row>
    <row r="191" spans="1:37" ht="21" customHeight="1" x14ac:dyDescent="0.2">
      <c r="A191" s="441"/>
      <c r="B191" s="152" t="s">
        <v>646</v>
      </c>
      <c r="C191" s="1060" t="s">
        <v>644</v>
      </c>
      <c r="D191" s="1060" t="s">
        <v>644</v>
      </c>
      <c r="E191" s="1060" t="s">
        <v>644</v>
      </c>
      <c r="F191" s="1060"/>
      <c r="G191" s="1060"/>
      <c r="H191" s="1659" t="s">
        <v>643</v>
      </c>
      <c r="I191" s="1659" t="s">
        <v>643</v>
      </c>
      <c r="J191" s="1659" t="s">
        <v>643</v>
      </c>
      <c r="K191" s="1659" t="s">
        <v>643</v>
      </c>
      <c r="L191" s="1659" t="s">
        <v>643</v>
      </c>
      <c r="M191" s="1659"/>
      <c r="N191" s="1659"/>
      <c r="O191" s="1659" t="s">
        <v>596</v>
      </c>
      <c r="P191" s="1659" t="s">
        <v>596</v>
      </c>
      <c r="Q191" s="1659" t="s">
        <v>596</v>
      </c>
      <c r="R191" s="1659" t="s">
        <v>596</v>
      </c>
      <c r="S191" s="1659" t="s">
        <v>596</v>
      </c>
      <c r="T191" s="587"/>
      <c r="U191" s="587"/>
      <c r="V191" s="1663" t="s">
        <v>644</v>
      </c>
      <c r="W191" s="1663" t="s">
        <v>644</v>
      </c>
      <c r="X191" s="1663" t="s">
        <v>644</v>
      </c>
      <c r="Y191" s="1663" t="s">
        <v>644</v>
      </c>
      <c r="Z191" s="1663" t="s">
        <v>644</v>
      </c>
      <c r="AA191" s="1663"/>
      <c r="AB191" s="1663"/>
      <c r="AC191" s="587" t="s">
        <v>643</v>
      </c>
      <c r="AD191" s="587" t="s">
        <v>643</v>
      </c>
      <c r="AE191" s="587" t="s">
        <v>643</v>
      </c>
      <c r="AF191" s="152"/>
      <c r="AG191" s="154"/>
      <c r="AH191" s="505">
        <v>0</v>
      </c>
      <c r="AI191" s="506">
        <v>0</v>
      </c>
    </row>
    <row r="192" spans="1:37" ht="21" customHeight="1" x14ac:dyDescent="0.2"/>
    <row r="193" spans="1:35" ht="21" customHeight="1" x14ac:dyDescent="0.2"/>
    <row r="194" spans="1:35" ht="21" customHeight="1" x14ac:dyDescent="0.2">
      <c r="A194" s="1" t="s">
        <v>647</v>
      </c>
    </row>
    <row r="195" spans="1:35" ht="21" customHeight="1" x14ac:dyDescent="0.2">
      <c r="B195" s="200" t="s">
        <v>604</v>
      </c>
      <c r="C195" s="7"/>
      <c r="D195" s="530" t="s">
        <v>2</v>
      </c>
      <c r="E195" s="51"/>
      <c r="F195" s="573"/>
      <c r="G195" s="7"/>
      <c r="H195" s="530" t="s">
        <v>3</v>
      </c>
      <c r="I195" s="51"/>
      <c r="J195" s="573"/>
      <c r="K195" s="7"/>
      <c r="L195" s="530" t="s">
        <v>4</v>
      </c>
      <c r="M195" s="51"/>
      <c r="N195" s="573"/>
      <c r="O195" s="7"/>
      <c r="P195" s="530" t="s">
        <v>5</v>
      </c>
      <c r="Q195" s="51"/>
      <c r="R195" s="573"/>
      <c r="S195" s="7"/>
      <c r="T195" s="530" t="s">
        <v>6</v>
      </c>
      <c r="U195" s="51"/>
      <c r="V195" s="573"/>
      <c r="W195" s="7"/>
      <c r="X195" s="530" t="s">
        <v>7</v>
      </c>
      <c r="Y195" s="51"/>
      <c r="Z195" s="573"/>
      <c r="AA195" s="7"/>
      <c r="AB195" s="530" t="s">
        <v>8</v>
      </c>
      <c r="AC195" s="51"/>
      <c r="AD195" s="51"/>
      <c r="AE195" s="424" t="s">
        <v>10</v>
      </c>
      <c r="AF195" s="51"/>
      <c r="AG195" s="51"/>
      <c r="AH195" s="51"/>
      <c r="AI195" s="531"/>
    </row>
    <row r="196" spans="1:35" ht="21" customHeight="1" x14ac:dyDescent="0.2">
      <c r="B196" s="9">
        <v>8500</v>
      </c>
      <c r="C196" s="121" t="s">
        <v>33</v>
      </c>
      <c r="D196" s="659"/>
      <c r="E196" s="55"/>
      <c r="F196" s="580"/>
      <c r="G196" s="121" t="s">
        <v>33</v>
      </c>
      <c r="H196" s="659"/>
      <c r="I196" s="55"/>
      <c r="J196" s="580"/>
      <c r="K196" s="121" t="s">
        <v>33</v>
      </c>
      <c r="L196" s="659"/>
      <c r="M196" s="55"/>
      <c r="N196" s="580"/>
      <c r="O196" s="121" t="s">
        <v>33</v>
      </c>
      <c r="P196" s="659"/>
      <c r="Q196" s="55"/>
      <c r="R196" s="580"/>
      <c r="S196" s="121" t="s">
        <v>34</v>
      </c>
      <c r="T196" s="659"/>
      <c r="U196" s="55"/>
      <c r="V196" s="580"/>
      <c r="W196" s="14"/>
      <c r="X196" s="659"/>
      <c r="Y196" s="55"/>
      <c r="Z196" s="580"/>
      <c r="AA196" s="14"/>
      <c r="AB196" s="659"/>
      <c r="AC196" s="55"/>
      <c r="AD196" s="55"/>
      <c r="AE196" s="660"/>
      <c r="AF196" s="55"/>
      <c r="AG196" s="55"/>
      <c r="AH196" s="55"/>
      <c r="AI196" s="661"/>
    </row>
    <row r="197" spans="1:35" ht="21" customHeight="1" x14ac:dyDescent="0.2">
      <c r="B197" s="162" t="s">
        <v>648</v>
      </c>
      <c r="C197" s="690" t="s">
        <v>649</v>
      </c>
      <c r="D197" s="607"/>
      <c r="E197" s="678"/>
      <c r="F197" s="239"/>
      <c r="G197" s="690" t="s">
        <v>649</v>
      </c>
      <c r="H197" s="148"/>
      <c r="I197" s="678"/>
      <c r="J197" s="239"/>
      <c r="K197" s="690" t="s">
        <v>649</v>
      </c>
      <c r="L197" s="148"/>
      <c r="M197" s="678"/>
      <c r="N197" s="239"/>
      <c r="O197" s="690" t="s">
        <v>650</v>
      </c>
      <c r="P197" s="148"/>
      <c r="Q197" s="678"/>
      <c r="R197" s="239"/>
      <c r="S197" s="690" t="s">
        <v>16</v>
      </c>
      <c r="T197" s="148"/>
      <c r="U197" s="678"/>
      <c r="V197" s="239"/>
      <c r="W197" s="679"/>
      <c r="X197" s="148"/>
      <c r="Y197" s="678"/>
      <c r="Z197" s="239"/>
      <c r="AA197" s="679"/>
      <c r="AB197" s="148"/>
      <c r="AC197" s="678"/>
      <c r="AD197" s="678"/>
      <c r="AE197" s="680"/>
      <c r="AF197" s="678"/>
      <c r="AG197" s="678"/>
      <c r="AH197" s="678"/>
      <c r="AI197" s="681"/>
    </row>
    <row r="198" spans="1:35" ht="21" customHeight="1" x14ac:dyDescent="0.2">
      <c r="A198" s="60" t="s">
        <v>651</v>
      </c>
    </row>
    <row r="199" spans="1:35" ht="21" customHeight="1" x14ac:dyDescent="0.2">
      <c r="A199" s="691"/>
      <c r="B199" s="296" t="s">
        <v>469</v>
      </c>
      <c r="C199" s="177">
        <v>1</v>
      </c>
      <c r="D199" s="177">
        <v>2</v>
      </c>
      <c r="E199" s="177">
        <v>3</v>
      </c>
      <c r="F199" s="497">
        <v>4</v>
      </c>
      <c r="G199" s="497">
        <v>5</v>
      </c>
      <c r="H199" s="177">
        <v>6</v>
      </c>
      <c r="I199" s="177">
        <v>7</v>
      </c>
      <c r="J199" s="177">
        <v>8</v>
      </c>
      <c r="K199" s="177">
        <v>9</v>
      </c>
      <c r="L199" s="177">
        <v>10</v>
      </c>
      <c r="M199" s="497">
        <v>11</v>
      </c>
      <c r="N199" s="497">
        <v>12</v>
      </c>
      <c r="O199" s="177">
        <v>13</v>
      </c>
      <c r="P199" s="177">
        <v>14</v>
      </c>
      <c r="Q199" s="177">
        <v>15</v>
      </c>
      <c r="R199" s="177">
        <v>16</v>
      </c>
      <c r="S199" s="177">
        <v>17</v>
      </c>
      <c r="T199" s="497">
        <v>18</v>
      </c>
      <c r="U199" s="497">
        <v>19</v>
      </c>
      <c r="V199" s="177">
        <v>20</v>
      </c>
      <c r="W199" s="177">
        <v>21</v>
      </c>
      <c r="X199" s="177">
        <v>22</v>
      </c>
      <c r="Y199" s="177">
        <v>23</v>
      </c>
      <c r="Z199" s="177">
        <v>24</v>
      </c>
      <c r="AA199" s="497">
        <v>25</v>
      </c>
      <c r="AB199" s="497">
        <v>26</v>
      </c>
      <c r="AC199" s="177">
        <v>27</v>
      </c>
      <c r="AD199" s="177">
        <v>28</v>
      </c>
      <c r="AE199" s="177">
        <v>29</v>
      </c>
      <c r="AF199" s="177"/>
      <c r="AG199" s="737"/>
      <c r="AH199" s="499" t="s">
        <v>470</v>
      </c>
      <c r="AI199" s="500" t="s">
        <v>471</v>
      </c>
    </row>
    <row r="200" spans="1:35" ht="21" customHeight="1" x14ac:dyDescent="0.2">
      <c r="A200" s="154">
        <v>8500</v>
      </c>
      <c r="B200" s="692" t="s">
        <v>652</v>
      </c>
      <c r="C200" s="587" t="s">
        <v>482</v>
      </c>
      <c r="D200" s="587" t="s">
        <v>482</v>
      </c>
      <c r="E200" s="587" t="s">
        <v>482</v>
      </c>
      <c r="F200" s="587"/>
      <c r="G200" s="587"/>
      <c r="H200" s="587" t="s">
        <v>482</v>
      </c>
      <c r="I200" s="587" t="s">
        <v>482</v>
      </c>
      <c r="J200" s="587" t="s">
        <v>482</v>
      </c>
      <c r="K200" s="587" t="s">
        <v>482</v>
      </c>
      <c r="L200" s="587" t="s">
        <v>482</v>
      </c>
      <c r="M200" s="587"/>
      <c r="N200" s="587"/>
      <c r="O200" s="587" t="s">
        <v>482</v>
      </c>
      <c r="P200" s="587" t="s">
        <v>482</v>
      </c>
      <c r="Q200" s="587" t="s">
        <v>482</v>
      </c>
      <c r="R200" s="587" t="s">
        <v>482</v>
      </c>
      <c r="S200" s="587" t="s">
        <v>482</v>
      </c>
      <c r="T200" s="503"/>
      <c r="U200" s="503"/>
      <c r="V200" s="587" t="s">
        <v>482</v>
      </c>
      <c r="W200" s="587" t="s">
        <v>482</v>
      </c>
      <c r="X200" s="587" t="s">
        <v>482</v>
      </c>
      <c r="Y200" s="587" t="s">
        <v>482</v>
      </c>
      <c r="Z200" s="587" t="s">
        <v>482</v>
      </c>
      <c r="AA200" s="587"/>
      <c r="AB200" s="587"/>
      <c r="AC200" s="587" t="s">
        <v>482</v>
      </c>
      <c r="AD200" s="587" t="s">
        <v>482</v>
      </c>
      <c r="AE200" s="587" t="s">
        <v>482</v>
      </c>
      <c r="AF200" s="503"/>
      <c r="AG200" s="504"/>
      <c r="AH200" s="693">
        <v>74</v>
      </c>
      <c r="AI200" s="694">
        <v>37</v>
      </c>
    </row>
    <row r="201" spans="1:35" ht="21" customHeight="1" x14ac:dyDescent="0.2">
      <c r="A201" s="501" t="s">
        <v>653</v>
      </c>
      <c r="B201" s="152" t="s">
        <v>654</v>
      </c>
      <c r="C201" s="587" t="s">
        <v>482</v>
      </c>
      <c r="D201" s="587" t="s">
        <v>482</v>
      </c>
      <c r="E201" s="587" t="s">
        <v>482</v>
      </c>
      <c r="F201" s="587"/>
      <c r="G201" s="587"/>
      <c r="H201" s="587" t="s">
        <v>482</v>
      </c>
      <c r="I201" s="587" t="s">
        <v>482</v>
      </c>
      <c r="J201" s="587" t="s">
        <v>482</v>
      </c>
      <c r="K201" s="587" t="s">
        <v>482</v>
      </c>
      <c r="L201" s="587" t="s">
        <v>482</v>
      </c>
      <c r="M201" s="587"/>
      <c r="N201" s="587"/>
      <c r="O201" s="587" t="s">
        <v>482</v>
      </c>
      <c r="P201" s="587" t="s">
        <v>482</v>
      </c>
      <c r="Q201" s="587" t="s">
        <v>482</v>
      </c>
      <c r="R201" s="587" t="s">
        <v>482</v>
      </c>
      <c r="S201" s="587" t="s">
        <v>482</v>
      </c>
      <c r="T201" s="503"/>
      <c r="U201" s="503"/>
      <c r="V201" s="587" t="s">
        <v>482</v>
      </c>
      <c r="W201" s="587" t="s">
        <v>482</v>
      </c>
      <c r="X201" s="587" t="s">
        <v>482</v>
      </c>
      <c r="Y201" s="587" t="s">
        <v>482</v>
      </c>
      <c r="Z201" s="587" t="s">
        <v>482</v>
      </c>
      <c r="AA201" s="587"/>
      <c r="AB201" s="587"/>
      <c r="AC201" s="1516" t="s">
        <v>482</v>
      </c>
      <c r="AD201" s="1516" t="s">
        <v>617</v>
      </c>
      <c r="AE201" s="587" t="s">
        <v>552</v>
      </c>
      <c r="AF201" s="503"/>
      <c r="AG201" s="504"/>
      <c r="AH201" s="693">
        <v>0</v>
      </c>
      <c r="AI201" s="694">
        <v>15</v>
      </c>
    </row>
    <row r="202" spans="1:35" ht="21" customHeight="1" x14ac:dyDescent="0.2">
      <c r="A202" s="152">
        <v>8500</v>
      </c>
      <c r="B202" s="152" t="s">
        <v>655</v>
      </c>
      <c r="C202" s="587" t="s">
        <v>482</v>
      </c>
      <c r="D202" s="587" t="s">
        <v>482</v>
      </c>
      <c r="E202" s="587" t="s">
        <v>482</v>
      </c>
      <c r="F202" s="587"/>
      <c r="G202" s="587"/>
      <c r="H202" s="587" t="s">
        <v>482</v>
      </c>
      <c r="I202" s="587" t="s">
        <v>482</v>
      </c>
      <c r="J202" s="587" t="s">
        <v>482</v>
      </c>
      <c r="K202" s="587" t="s">
        <v>482</v>
      </c>
      <c r="L202" s="587" t="s">
        <v>482</v>
      </c>
      <c r="M202" s="587"/>
      <c r="N202" s="587"/>
      <c r="O202" s="587" t="s">
        <v>482</v>
      </c>
      <c r="P202" s="587" t="s">
        <v>482</v>
      </c>
      <c r="Q202" s="587" t="s">
        <v>482</v>
      </c>
      <c r="R202" s="587" t="s">
        <v>482</v>
      </c>
      <c r="S202" s="587" t="s">
        <v>482</v>
      </c>
      <c r="T202" s="503"/>
      <c r="U202" s="503"/>
      <c r="V202" s="1060" t="s">
        <v>482</v>
      </c>
      <c r="W202" s="1060" t="s">
        <v>482</v>
      </c>
      <c r="X202" s="1060" t="s">
        <v>482</v>
      </c>
      <c r="Y202" s="1060" t="s">
        <v>482</v>
      </c>
      <c r="Z202" s="1060" t="s">
        <v>482</v>
      </c>
      <c r="AA202" s="1060"/>
      <c r="AB202" s="1060"/>
      <c r="AC202" s="587" t="s">
        <v>482</v>
      </c>
      <c r="AD202" s="587" t="s">
        <v>482</v>
      </c>
      <c r="AE202" s="587" t="s">
        <v>482</v>
      </c>
      <c r="AF202" s="503"/>
      <c r="AG202" s="504"/>
      <c r="AH202" s="693">
        <v>8</v>
      </c>
      <c r="AI202" s="694">
        <v>37</v>
      </c>
    </row>
    <row r="203" spans="1:35" ht="21.95" customHeight="1" x14ac:dyDescent="0.2">
      <c r="A203" s="441"/>
      <c r="B203" s="152" t="s">
        <v>656</v>
      </c>
      <c r="C203" s="587" t="s">
        <v>482</v>
      </c>
      <c r="D203" s="587" t="s">
        <v>482</v>
      </c>
      <c r="E203" s="587" t="s">
        <v>482</v>
      </c>
      <c r="F203" s="587"/>
      <c r="G203" s="587"/>
      <c r="H203" s="587" t="s">
        <v>482</v>
      </c>
      <c r="I203" s="587" t="s">
        <v>482</v>
      </c>
      <c r="J203" s="587" t="s">
        <v>482</v>
      </c>
      <c r="K203" s="587" t="s">
        <v>482</v>
      </c>
      <c r="L203" s="587" t="s">
        <v>482</v>
      </c>
      <c r="M203" s="587"/>
      <c r="N203" s="587"/>
      <c r="O203" s="587" t="s">
        <v>482</v>
      </c>
      <c r="P203" s="587" t="s">
        <v>482</v>
      </c>
      <c r="Q203" s="587" t="s">
        <v>482</v>
      </c>
      <c r="R203" s="587" t="s">
        <v>482</v>
      </c>
      <c r="S203" s="587" t="s">
        <v>482</v>
      </c>
      <c r="T203" s="503"/>
      <c r="U203" s="503"/>
      <c r="V203" s="587" t="s">
        <v>482</v>
      </c>
      <c r="W203" s="587" t="s">
        <v>482</v>
      </c>
      <c r="X203" s="587" t="s">
        <v>482</v>
      </c>
      <c r="Y203" s="587" t="s">
        <v>482</v>
      </c>
      <c r="Z203" s="587" t="s">
        <v>482</v>
      </c>
      <c r="AA203" s="587"/>
      <c r="AB203" s="587"/>
      <c r="AC203" s="1060" t="s">
        <v>482</v>
      </c>
      <c r="AD203" s="1060" t="s">
        <v>482</v>
      </c>
      <c r="AE203" s="1060" t="s">
        <v>482</v>
      </c>
      <c r="AF203" s="503"/>
      <c r="AG203" s="504"/>
      <c r="AH203" s="693">
        <v>111</v>
      </c>
      <c r="AI203" s="694">
        <v>37</v>
      </c>
    </row>
    <row r="204" spans="1:35" ht="21.95" customHeight="1" x14ac:dyDescent="0.2">
      <c r="A204" s="512">
        <v>3350</v>
      </c>
      <c r="B204" s="54" t="s">
        <v>657</v>
      </c>
      <c r="C204" s="1516" t="s">
        <v>482</v>
      </c>
      <c r="D204" s="1516" t="s">
        <v>482</v>
      </c>
      <c r="E204" s="1516" t="s">
        <v>482</v>
      </c>
      <c r="F204" s="1516"/>
      <c r="G204" s="1516"/>
      <c r="H204" s="1516" t="s">
        <v>482</v>
      </c>
      <c r="I204" s="1516" t="s">
        <v>482</v>
      </c>
      <c r="J204" s="1516" t="s">
        <v>482</v>
      </c>
      <c r="K204" s="1516" t="s">
        <v>482</v>
      </c>
      <c r="L204" s="1516" t="s">
        <v>617</v>
      </c>
      <c r="M204" s="587"/>
      <c r="N204" s="587"/>
      <c r="O204" s="587" t="s">
        <v>482</v>
      </c>
      <c r="P204" s="587" t="s">
        <v>482</v>
      </c>
      <c r="Q204" s="587" t="s">
        <v>482</v>
      </c>
      <c r="R204" s="587" t="s">
        <v>482</v>
      </c>
      <c r="S204" s="587" t="s">
        <v>482</v>
      </c>
      <c r="T204" s="503"/>
      <c r="U204" s="503"/>
      <c r="V204" s="587" t="s">
        <v>482</v>
      </c>
      <c r="W204" s="587" t="s">
        <v>482</v>
      </c>
      <c r="X204" s="587" t="s">
        <v>482</v>
      </c>
      <c r="Y204" s="587" t="s">
        <v>482</v>
      </c>
      <c r="Z204" s="587" t="s">
        <v>482</v>
      </c>
      <c r="AA204" s="587"/>
      <c r="AB204" s="587"/>
      <c r="AC204" s="587" t="s">
        <v>482</v>
      </c>
      <c r="AD204" s="587" t="s">
        <v>482</v>
      </c>
      <c r="AE204" s="587" t="s">
        <v>482</v>
      </c>
      <c r="AF204" s="503"/>
      <c r="AG204" s="504"/>
      <c r="AH204" s="693">
        <v>37</v>
      </c>
      <c r="AI204" s="694">
        <v>15.5</v>
      </c>
    </row>
    <row r="205" spans="1:35" ht="21.95" customHeight="1" x14ac:dyDescent="0.2">
      <c r="A205" s="524">
        <v>3701</v>
      </c>
      <c r="B205" s="152" t="s">
        <v>658</v>
      </c>
      <c r="C205" s="587" t="s">
        <v>482</v>
      </c>
      <c r="D205" s="587" t="s">
        <v>482</v>
      </c>
      <c r="E205" s="587" t="s">
        <v>482</v>
      </c>
      <c r="F205" s="587"/>
      <c r="G205" s="587"/>
      <c r="H205" s="1548" t="s">
        <v>482</v>
      </c>
      <c r="I205" s="1548" t="s">
        <v>482</v>
      </c>
      <c r="J205" s="1548" t="s">
        <v>482</v>
      </c>
      <c r="K205" s="1548" t="s">
        <v>482</v>
      </c>
      <c r="L205" s="1548" t="s">
        <v>482</v>
      </c>
      <c r="M205" s="1548"/>
      <c r="N205" s="1548"/>
      <c r="O205" s="587" t="s">
        <v>482</v>
      </c>
      <c r="P205" s="587" t="s">
        <v>482</v>
      </c>
      <c r="Q205" s="587" t="s">
        <v>482</v>
      </c>
      <c r="R205" s="587" t="s">
        <v>482</v>
      </c>
      <c r="S205" s="587" t="s">
        <v>482</v>
      </c>
      <c r="T205" s="503"/>
      <c r="U205" s="503"/>
      <c r="V205" s="587" t="s">
        <v>482</v>
      </c>
      <c r="W205" s="587" t="s">
        <v>482</v>
      </c>
      <c r="X205" s="587" t="s">
        <v>482</v>
      </c>
      <c r="Y205" s="587" t="s">
        <v>482</v>
      </c>
      <c r="Z205" s="587" t="s">
        <v>482</v>
      </c>
      <c r="AA205" s="587"/>
      <c r="AB205" s="587"/>
      <c r="AC205" s="587" t="s">
        <v>482</v>
      </c>
      <c r="AD205" s="587" t="s">
        <v>482</v>
      </c>
      <c r="AE205" s="587" t="s">
        <v>482</v>
      </c>
      <c r="AF205" s="503"/>
      <c r="AG205" s="504"/>
      <c r="AH205" s="705">
        <v>60</v>
      </c>
      <c r="AI205" s="706">
        <v>23</v>
      </c>
    </row>
    <row r="206" spans="1:35" ht="25.5" customHeight="1" x14ac:dyDescent="0.2">
      <c r="A206" s="1" t="s">
        <v>683</v>
      </c>
    </row>
    <row r="207" spans="1:35" ht="21" customHeight="1" x14ac:dyDescent="0.2">
      <c r="A207" s="1"/>
      <c r="B207" s="200" t="s">
        <v>604</v>
      </c>
      <c r="C207" s="7"/>
      <c r="D207" s="530" t="s">
        <v>2</v>
      </c>
      <c r="E207" s="51"/>
      <c r="F207" s="573"/>
      <c r="G207" s="7"/>
      <c r="H207" s="530" t="s">
        <v>3</v>
      </c>
      <c r="I207" s="51"/>
      <c r="J207" s="573"/>
      <c r="K207" s="7"/>
      <c r="L207" s="530" t="s">
        <v>4</v>
      </c>
      <c r="M207" s="51"/>
      <c r="N207" s="573"/>
      <c r="O207" s="7"/>
      <c r="P207" s="530" t="s">
        <v>5</v>
      </c>
      <c r="Q207" s="51"/>
      <c r="R207" s="573"/>
      <c r="S207" s="7"/>
      <c r="T207" s="530" t="s">
        <v>6</v>
      </c>
      <c r="U207" s="51"/>
      <c r="V207" s="573"/>
      <c r="W207" s="7"/>
      <c r="X207" s="530" t="s">
        <v>7</v>
      </c>
      <c r="Y207" s="51"/>
      <c r="Z207" s="573"/>
      <c r="AA207" s="7"/>
      <c r="AB207" s="530" t="s">
        <v>8</v>
      </c>
      <c r="AC207" s="51"/>
      <c r="AD207" s="51"/>
      <c r="AE207" s="424" t="s">
        <v>10</v>
      </c>
      <c r="AF207" s="51"/>
      <c r="AG207" s="51"/>
      <c r="AH207" s="51"/>
      <c r="AI207" s="531"/>
    </row>
    <row r="208" spans="1:35" ht="21" customHeight="1" x14ac:dyDescent="0.2">
      <c r="A208" s="1"/>
      <c r="B208" s="9"/>
      <c r="C208" s="14"/>
      <c r="D208" s="659"/>
      <c r="E208" s="55"/>
      <c r="F208" s="580"/>
      <c r="G208" s="14"/>
      <c r="H208" s="659"/>
      <c r="I208" s="55"/>
      <c r="J208" s="580"/>
      <c r="K208" s="14"/>
      <c r="L208" s="659"/>
      <c r="M208" s="55"/>
      <c r="N208" s="580"/>
      <c r="O208" s="14"/>
      <c r="P208" s="659"/>
      <c r="Q208" s="55"/>
      <c r="R208" s="580"/>
      <c r="S208" s="14"/>
      <c r="T208" s="659"/>
      <c r="U208" s="55"/>
      <c r="V208" s="580"/>
      <c r="W208" s="14"/>
      <c r="X208" s="659"/>
      <c r="Y208" s="55"/>
      <c r="Z208" s="580"/>
      <c r="AA208" s="14"/>
      <c r="AB208" s="659"/>
      <c r="AC208" s="55"/>
      <c r="AD208" s="55"/>
      <c r="AE208" s="660"/>
      <c r="AF208" s="55"/>
      <c r="AG208" s="55"/>
      <c r="AH208" s="55"/>
      <c r="AI208" s="661"/>
    </row>
    <row r="209" spans="1:35" ht="21" customHeight="1" x14ac:dyDescent="0.2">
      <c r="B209" s="662"/>
      <c r="C209" s="121"/>
      <c r="D209" s="156"/>
      <c r="E209" s="156"/>
      <c r="F209" s="612"/>
      <c r="G209" s="121"/>
      <c r="H209" s="156"/>
      <c r="I209" s="156"/>
      <c r="J209" s="612"/>
      <c r="K209" s="121"/>
      <c r="L209" s="156"/>
      <c r="M209" s="156"/>
      <c r="N209" s="612"/>
      <c r="O209" s="121"/>
      <c r="P209" s="156"/>
      <c r="Q209" s="156"/>
      <c r="R209" s="612"/>
      <c r="S209" s="121"/>
      <c r="T209" s="156"/>
      <c r="U209" s="156"/>
      <c r="V209" s="612"/>
      <c r="W209" s="121"/>
      <c r="X209" s="156"/>
      <c r="Y209" s="156"/>
      <c r="Z209" s="612"/>
      <c r="AA209" s="611"/>
      <c r="AB209" s="156"/>
      <c r="AC209" s="156"/>
      <c r="AD209" s="613"/>
      <c r="AE209" s="663"/>
      <c r="AF209" s="156"/>
      <c r="AG209" s="156" t="s">
        <v>28</v>
      </c>
      <c r="AH209" s="613"/>
      <c r="AI209" s="489"/>
    </row>
    <row r="210" spans="1:35" ht="21" customHeight="1" x14ac:dyDescent="0.2">
      <c r="A210" s="1"/>
      <c r="B210" s="47"/>
      <c r="C210" s="618"/>
      <c r="D210" s="53"/>
      <c r="E210" s="53"/>
      <c r="F210" s="619"/>
      <c r="G210" s="618"/>
      <c r="H210" s="53"/>
      <c r="I210" s="53"/>
      <c r="J210" s="619"/>
      <c r="K210" s="618"/>
      <c r="L210" s="53"/>
      <c r="M210" s="53"/>
      <c r="N210" s="619"/>
      <c r="O210" s="618"/>
      <c r="P210" s="53"/>
      <c r="Q210" s="53"/>
      <c r="R210" s="619"/>
      <c r="S210" s="618"/>
      <c r="T210" s="53"/>
      <c r="U210" s="53"/>
      <c r="V210" s="619"/>
      <c r="W210" s="57"/>
      <c r="X210" s="53"/>
      <c r="Y210" s="53"/>
      <c r="Z210" s="619"/>
      <c r="AA210" s="57"/>
      <c r="AB210" s="53"/>
      <c r="AC210" s="53"/>
      <c r="AD210" s="620"/>
      <c r="AE210" s="57"/>
      <c r="AF210" s="53"/>
      <c r="AG210" s="53"/>
      <c r="AH210" s="620"/>
      <c r="AI210" s="544"/>
    </row>
    <row r="211" spans="1:35" ht="33" customHeight="1" x14ac:dyDescent="0.2">
      <c r="A211" s="1"/>
      <c r="B211" s="72"/>
      <c r="C211" s="311"/>
      <c r="F211" s="353"/>
      <c r="G211" s="311"/>
      <c r="J211" s="353"/>
      <c r="K211" s="311"/>
      <c r="N211" s="353"/>
      <c r="O211" s="311"/>
      <c r="R211" s="353"/>
      <c r="S211" s="311"/>
      <c r="V211" s="353"/>
      <c r="W211" s="353"/>
      <c r="Z211" s="353"/>
      <c r="AA211" s="353"/>
      <c r="AD211" s="353"/>
      <c r="AE211" s="353"/>
      <c r="AH211" s="353"/>
    </row>
    <row r="212" spans="1:35" ht="21" customHeight="1" x14ac:dyDescent="0.2">
      <c r="A212" s="585" t="s">
        <v>468</v>
      </c>
      <c r="B212" s="296" t="s">
        <v>469</v>
      </c>
      <c r="C212" s="177">
        <v>1</v>
      </c>
      <c r="D212" s="177">
        <v>2</v>
      </c>
      <c r="E212" s="177">
        <v>3</v>
      </c>
      <c r="F212" s="497">
        <v>4</v>
      </c>
      <c r="G212" s="497">
        <v>5</v>
      </c>
      <c r="H212" s="177">
        <v>6</v>
      </c>
      <c r="I212" s="177">
        <v>7</v>
      </c>
      <c r="J212" s="177">
        <v>8</v>
      </c>
      <c r="K212" s="177">
        <v>9</v>
      </c>
      <c r="L212" s="177">
        <v>10</v>
      </c>
      <c r="M212" s="497">
        <v>11</v>
      </c>
      <c r="N212" s="497">
        <v>12</v>
      </c>
      <c r="O212" s="177">
        <v>13</v>
      </c>
      <c r="P212" s="177">
        <v>14</v>
      </c>
      <c r="Q212" s="177">
        <v>15</v>
      </c>
      <c r="R212" s="177">
        <v>16</v>
      </c>
      <c r="S212" s="177">
        <v>17</v>
      </c>
      <c r="T212" s="497">
        <v>18</v>
      </c>
      <c r="U212" s="497">
        <v>19</v>
      </c>
      <c r="V212" s="177">
        <v>20</v>
      </c>
      <c r="W212" s="177">
        <v>21</v>
      </c>
      <c r="X212" s="177">
        <v>22</v>
      </c>
      <c r="Y212" s="177">
        <v>23</v>
      </c>
      <c r="Z212" s="177">
        <v>24</v>
      </c>
      <c r="AA212" s="497">
        <v>25</v>
      </c>
      <c r="AB212" s="497">
        <v>26</v>
      </c>
      <c r="AC212" s="177">
        <v>27</v>
      </c>
      <c r="AD212" s="177">
        <v>28</v>
      </c>
      <c r="AE212" s="177">
        <v>29</v>
      </c>
      <c r="AF212" s="177"/>
      <c r="AG212" s="177"/>
      <c r="AH212" s="499" t="s">
        <v>470</v>
      </c>
      <c r="AI212" s="500" t="s">
        <v>471</v>
      </c>
    </row>
    <row r="213" spans="1:35" ht="21" customHeight="1" x14ac:dyDescent="0.2">
      <c r="A213" s="441"/>
      <c r="B213" s="673" t="s">
        <v>661</v>
      </c>
      <c r="C213" s="587" t="s">
        <v>482</v>
      </c>
      <c r="D213" s="587" t="s">
        <v>482</v>
      </c>
      <c r="E213" s="587" t="s">
        <v>482</v>
      </c>
      <c r="F213" s="587"/>
      <c r="G213" s="587"/>
      <c r="H213" s="587" t="s">
        <v>482</v>
      </c>
      <c r="I213" s="587" t="s">
        <v>482</v>
      </c>
      <c r="J213" s="587" t="s">
        <v>482</v>
      </c>
      <c r="K213" s="587" t="s">
        <v>482</v>
      </c>
      <c r="L213" s="587" t="s">
        <v>482</v>
      </c>
      <c r="M213" s="587"/>
      <c r="N213" s="587"/>
      <c r="O213" s="587" t="s">
        <v>482</v>
      </c>
      <c r="P213" s="587" t="s">
        <v>482</v>
      </c>
      <c r="Q213" s="587" t="s">
        <v>482</v>
      </c>
      <c r="R213" s="587" t="s">
        <v>482</v>
      </c>
      <c r="S213" s="587" t="s">
        <v>482</v>
      </c>
      <c r="T213" s="503"/>
      <c r="U213" s="503"/>
      <c r="V213" s="587" t="s">
        <v>482</v>
      </c>
      <c r="W213" s="587" t="s">
        <v>482</v>
      </c>
      <c r="X213" s="587" t="s">
        <v>482</v>
      </c>
      <c r="Y213" s="587" t="s">
        <v>482</v>
      </c>
      <c r="Z213" s="587" t="s">
        <v>482</v>
      </c>
      <c r="AA213" s="587"/>
      <c r="AB213" s="587"/>
      <c r="AC213" s="587" t="s">
        <v>482</v>
      </c>
      <c r="AD213" s="587" t="s">
        <v>482</v>
      </c>
      <c r="AE213" s="587" t="s">
        <v>482</v>
      </c>
      <c r="AF213" s="171"/>
      <c r="AG213" s="650"/>
      <c r="AH213" s="693">
        <v>88</v>
      </c>
      <c r="AI213" s="694">
        <v>37</v>
      </c>
    </row>
    <row r="214" spans="1:35" ht="21" customHeight="1" x14ac:dyDescent="0.2">
      <c r="A214" s="441"/>
      <c r="B214" s="673" t="s">
        <v>662</v>
      </c>
      <c r="C214" s="587" t="s">
        <v>482</v>
      </c>
      <c r="D214" s="587" t="s">
        <v>482</v>
      </c>
      <c r="E214" s="1660" t="s">
        <v>482</v>
      </c>
      <c r="F214" s="587"/>
      <c r="G214" s="587"/>
      <c r="H214" s="587" t="s">
        <v>482</v>
      </c>
      <c r="I214" s="587" t="s">
        <v>482</v>
      </c>
      <c r="J214" s="587" t="s">
        <v>482</v>
      </c>
      <c r="K214" s="587" t="s">
        <v>482</v>
      </c>
      <c r="L214" s="587" t="s">
        <v>482</v>
      </c>
      <c r="M214" s="587"/>
      <c r="N214" s="587"/>
      <c r="O214" s="1548" t="s">
        <v>482</v>
      </c>
      <c r="P214" s="1548" t="s">
        <v>482</v>
      </c>
      <c r="Q214" s="1548" t="s">
        <v>482</v>
      </c>
      <c r="R214" s="1548" t="s">
        <v>482</v>
      </c>
      <c r="S214" s="1548" t="s">
        <v>482</v>
      </c>
      <c r="T214" s="1549"/>
      <c r="U214" s="1549"/>
      <c r="V214" s="587" t="s">
        <v>482</v>
      </c>
      <c r="W214" s="587" t="s">
        <v>482</v>
      </c>
      <c r="X214" s="1746" t="s">
        <v>552</v>
      </c>
      <c r="Y214" s="587" t="s">
        <v>482</v>
      </c>
      <c r="Z214" s="587" t="s">
        <v>482</v>
      </c>
      <c r="AA214" s="587"/>
      <c r="AB214" s="587"/>
      <c r="AC214" s="587" t="s">
        <v>482</v>
      </c>
      <c r="AD214" s="587" t="s">
        <v>482</v>
      </c>
      <c r="AE214" s="587" t="s">
        <v>482</v>
      </c>
      <c r="AF214" s="171"/>
      <c r="AG214" s="650"/>
      <c r="AH214" s="693">
        <v>40</v>
      </c>
      <c r="AI214" s="694">
        <v>37</v>
      </c>
    </row>
    <row r="215" spans="1:35" ht="21" customHeight="1" x14ac:dyDescent="0.2">
      <c r="A215" s="441"/>
      <c r="B215" s="673" t="s">
        <v>663</v>
      </c>
      <c r="C215" s="587" t="s">
        <v>482</v>
      </c>
      <c r="D215" s="587" t="s">
        <v>482</v>
      </c>
      <c r="E215" s="587" t="s">
        <v>482</v>
      </c>
      <c r="F215" s="587"/>
      <c r="G215" s="587"/>
      <c r="H215" s="587" t="s">
        <v>482</v>
      </c>
      <c r="I215" s="587" t="s">
        <v>482</v>
      </c>
      <c r="J215" s="587" t="s">
        <v>482</v>
      </c>
      <c r="K215" s="587" t="s">
        <v>482</v>
      </c>
      <c r="L215" s="587" t="s">
        <v>482</v>
      </c>
      <c r="M215" s="587"/>
      <c r="N215" s="587"/>
      <c r="O215" s="1606" t="s">
        <v>482</v>
      </c>
      <c r="P215" s="1606" t="s">
        <v>482</v>
      </c>
      <c r="Q215" s="587" t="s">
        <v>482</v>
      </c>
      <c r="R215" s="1606" t="s">
        <v>482</v>
      </c>
      <c r="S215" s="1606" t="s">
        <v>482</v>
      </c>
      <c r="T215" s="503"/>
      <c r="U215" s="503"/>
      <c r="V215" s="587" t="s">
        <v>482</v>
      </c>
      <c r="W215" s="587" t="s">
        <v>482</v>
      </c>
      <c r="X215" s="587" t="s">
        <v>482</v>
      </c>
      <c r="Y215" s="587" t="s">
        <v>482</v>
      </c>
      <c r="Z215" s="587" t="s">
        <v>482</v>
      </c>
      <c r="AA215" s="587"/>
      <c r="AB215" s="587"/>
      <c r="AC215" s="587" t="s">
        <v>482</v>
      </c>
      <c r="AD215" s="1675" t="s">
        <v>482</v>
      </c>
      <c r="AE215" s="587" t="s">
        <v>482</v>
      </c>
      <c r="AF215" s="171"/>
      <c r="AG215" s="650"/>
      <c r="AH215" s="693">
        <v>6</v>
      </c>
      <c r="AI215" s="694">
        <v>23</v>
      </c>
    </row>
    <row r="216" spans="1:35" ht="21" customHeight="1" x14ac:dyDescent="0.2">
      <c r="A216" s="441"/>
      <c r="B216" s="673" t="s">
        <v>664</v>
      </c>
      <c r="C216" s="587" t="s">
        <v>482</v>
      </c>
      <c r="D216" s="1627" t="s">
        <v>482</v>
      </c>
      <c r="E216" s="587" t="s">
        <v>482</v>
      </c>
      <c r="F216" s="587"/>
      <c r="G216" s="587"/>
      <c r="H216" s="587" t="s">
        <v>482</v>
      </c>
      <c r="I216" s="587" t="s">
        <v>482</v>
      </c>
      <c r="J216" s="587" t="s">
        <v>482</v>
      </c>
      <c r="K216" s="587" t="s">
        <v>482</v>
      </c>
      <c r="L216" s="587" t="s">
        <v>482</v>
      </c>
      <c r="M216" s="587"/>
      <c r="N216" s="587"/>
      <c r="O216" s="587" t="s">
        <v>482</v>
      </c>
      <c r="P216" s="587" t="s">
        <v>482</v>
      </c>
      <c r="Q216" s="587" t="s">
        <v>482</v>
      </c>
      <c r="R216" s="587" t="s">
        <v>482</v>
      </c>
      <c r="S216" s="587" t="s">
        <v>482</v>
      </c>
      <c r="T216" s="503"/>
      <c r="U216" s="503"/>
      <c r="V216" s="587" t="s">
        <v>482</v>
      </c>
      <c r="W216" s="587" t="s">
        <v>482</v>
      </c>
      <c r="X216" s="587" t="s">
        <v>482</v>
      </c>
      <c r="Y216" s="587" t="s">
        <v>482</v>
      </c>
      <c r="Z216" s="587" t="s">
        <v>482</v>
      </c>
      <c r="AA216" s="587"/>
      <c r="AB216" s="587"/>
      <c r="AC216" s="587" t="s">
        <v>482</v>
      </c>
      <c r="AD216" s="587" t="s">
        <v>482</v>
      </c>
      <c r="AE216" s="587" t="s">
        <v>482</v>
      </c>
      <c r="AF216" s="171"/>
      <c r="AG216" s="650"/>
      <c r="AH216" s="693">
        <v>51</v>
      </c>
      <c r="AI216" s="694">
        <v>16</v>
      </c>
    </row>
    <row r="217" spans="1:35" ht="21" customHeight="1" x14ac:dyDescent="0.2">
      <c r="A217" s="441"/>
      <c r="B217" s="673" t="s">
        <v>665</v>
      </c>
      <c r="C217" s="1656" t="s">
        <v>482</v>
      </c>
      <c r="D217" s="587" t="s">
        <v>482</v>
      </c>
      <c r="E217" s="587" t="s">
        <v>482</v>
      </c>
      <c r="F217" s="587"/>
      <c r="G217" s="587"/>
      <c r="H217" s="587" t="s">
        <v>482</v>
      </c>
      <c r="I217" s="587" t="s">
        <v>482</v>
      </c>
      <c r="J217" s="587" t="s">
        <v>482</v>
      </c>
      <c r="K217" s="587" t="s">
        <v>482</v>
      </c>
      <c r="L217" s="587" t="s">
        <v>482</v>
      </c>
      <c r="M217" s="587"/>
      <c r="N217" s="587"/>
      <c r="O217" s="1548" t="s">
        <v>482</v>
      </c>
      <c r="P217" s="1548" t="s">
        <v>482</v>
      </c>
      <c r="Q217" s="1548" t="s">
        <v>482</v>
      </c>
      <c r="R217" s="1548" t="s">
        <v>482</v>
      </c>
      <c r="S217" s="1548" t="s">
        <v>482</v>
      </c>
      <c r="T217" s="1549"/>
      <c r="U217" s="1549"/>
      <c r="V217" s="587" t="s">
        <v>482</v>
      </c>
      <c r="W217" s="587" t="s">
        <v>482</v>
      </c>
      <c r="X217" s="587" t="s">
        <v>482</v>
      </c>
      <c r="Y217" s="587" t="s">
        <v>482</v>
      </c>
      <c r="Z217" s="587" t="s">
        <v>482</v>
      </c>
      <c r="AA217" s="587"/>
      <c r="AB217" s="587"/>
      <c r="AC217" s="587" t="s">
        <v>482</v>
      </c>
      <c r="AD217" s="587" t="s">
        <v>482</v>
      </c>
      <c r="AE217" s="587" t="s">
        <v>482</v>
      </c>
      <c r="AF217" s="171"/>
      <c r="AG217" s="650"/>
      <c r="AH217" s="693">
        <v>37</v>
      </c>
      <c r="AI217" s="694">
        <v>37</v>
      </c>
    </row>
    <row r="218" spans="1:35" ht="21" customHeight="1" x14ac:dyDescent="0.2">
      <c r="A218" s="441"/>
      <c r="B218" s="673" t="s">
        <v>666</v>
      </c>
      <c r="C218" s="587" t="s">
        <v>482</v>
      </c>
      <c r="D218" s="1524" t="s">
        <v>482</v>
      </c>
      <c r="E218" s="1524" t="s">
        <v>482</v>
      </c>
      <c r="F218" s="587"/>
      <c r="G218" s="587"/>
      <c r="H218" s="587" t="s">
        <v>482</v>
      </c>
      <c r="I218" s="587" t="s">
        <v>482</v>
      </c>
      <c r="J218" s="587" t="s">
        <v>482</v>
      </c>
      <c r="K218" s="587" t="s">
        <v>482</v>
      </c>
      <c r="L218" s="587" t="s">
        <v>482</v>
      </c>
      <c r="M218" s="587"/>
      <c r="N218" s="587"/>
      <c r="O218" s="587" t="s">
        <v>482</v>
      </c>
      <c r="P218" s="587" t="s">
        <v>482</v>
      </c>
      <c r="Q218" s="587" t="s">
        <v>482</v>
      </c>
      <c r="R218" s="1524" t="s">
        <v>482</v>
      </c>
      <c r="S218" s="1524" t="s">
        <v>482</v>
      </c>
      <c r="T218" s="503"/>
      <c r="U218" s="503"/>
      <c r="V218" s="587" t="s">
        <v>482</v>
      </c>
      <c r="W218" s="587" t="s">
        <v>482</v>
      </c>
      <c r="X218" s="587" t="s">
        <v>482</v>
      </c>
      <c r="Y218" s="587" t="s">
        <v>482</v>
      </c>
      <c r="Z218" s="587" t="s">
        <v>482</v>
      </c>
      <c r="AA218" s="587"/>
      <c r="AB218" s="587"/>
      <c r="AC218" s="587" t="s">
        <v>482</v>
      </c>
      <c r="AD218" s="587" t="s">
        <v>482</v>
      </c>
      <c r="AE218" s="587" t="s">
        <v>482</v>
      </c>
      <c r="AF218" s="171"/>
      <c r="AG218" s="650"/>
      <c r="AH218" s="693">
        <v>37</v>
      </c>
      <c r="AI218" s="694">
        <v>22</v>
      </c>
    </row>
    <row r="219" spans="1:35" ht="21" customHeight="1" x14ac:dyDescent="0.2">
      <c r="A219" s="441"/>
      <c r="B219" s="673" t="s">
        <v>667</v>
      </c>
      <c r="C219" s="587" t="s">
        <v>482</v>
      </c>
      <c r="D219" s="587" t="s">
        <v>482</v>
      </c>
      <c r="E219" s="587" t="s">
        <v>482</v>
      </c>
      <c r="F219" s="587"/>
      <c r="G219" s="587"/>
      <c r="H219" s="587" t="s">
        <v>482</v>
      </c>
      <c r="I219" s="587" t="s">
        <v>482</v>
      </c>
      <c r="J219" s="587" t="s">
        <v>482</v>
      </c>
      <c r="K219" s="587" t="s">
        <v>482</v>
      </c>
      <c r="L219" s="587" t="s">
        <v>482</v>
      </c>
      <c r="M219" s="587"/>
      <c r="N219" s="587"/>
      <c r="O219" s="587" t="s">
        <v>482</v>
      </c>
      <c r="P219" s="587" t="s">
        <v>482</v>
      </c>
      <c r="Q219" s="587" t="s">
        <v>482</v>
      </c>
      <c r="R219" s="587" t="s">
        <v>482</v>
      </c>
      <c r="S219" s="587" t="s">
        <v>482</v>
      </c>
      <c r="T219" s="503"/>
      <c r="U219" s="503"/>
      <c r="V219" s="587" t="s">
        <v>482</v>
      </c>
      <c r="W219" s="587" t="s">
        <v>482</v>
      </c>
      <c r="X219" s="587" t="s">
        <v>482</v>
      </c>
      <c r="Y219" s="587" t="s">
        <v>482</v>
      </c>
      <c r="Z219" s="587" t="s">
        <v>482</v>
      </c>
      <c r="AA219" s="587"/>
      <c r="AB219" s="587"/>
      <c r="AC219" s="587" t="s">
        <v>482</v>
      </c>
      <c r="AD219" s="587" t="s">
        <v>482</v>
      </c>
      <c r="AE219" s="587" t="s">
        <v>482</v>
      </c>
      <c r="AF219" s="171"/>
      <c r="AG219" s="650"/>
      <c r="AH219" s="693">
        <v>26</v>
      </c>
      <c r="AI219" s="694">
        <v>37</v>
      </c>
    </row>
    <row r="220" spans="1:35" ht="21" customHeight="1" x14ac:dyDescent="0.2">
      <c r="A220" s="441"/>
      <c r="B220" s="673" t="s">
        <v>668</v>
      </c>
      <c r="C220" s="587" t="s">
        <v>482</v>
      </c>
      <c r="D220" s="587" t="s">
        <v>482</v>
      </c>
      <c r="E220" s="587" t="s">
        <v>482</v>
      </c>
      <c r="F220" s="587"/>
      <c r="G220" s="587"/>
      <c r="H220" s="1516" t="s">
        <v>482</v>
      </c>
      <c r="I220" s="1516" t="s">
        <v>617</v>
      </c>
      <c r="J220" s="587" t="s">
        <v>482</v>
      </c>
      <c r="K220" s="587" t="s">
        <v>482</v>
      </c>
      <c r="L220" s="587" t="s">
        <v>482</v>
      </c>
      <c r="M220" s="587"/>
      <c r="N220" s="587"/>
      <c r="O220" s="587" t="s">
        <v>482</v>
      </c>
      <c r="P220" s="587" t="s">
        <v>482</v>
      </c>
      <c r="Q220" s="587" t="s">
        <v>482</v>
      </c>
      <c r="R220" s="587" t="s">
        <v>482</v>
      </c>
      <c r="S220" s="587" t="s">
        <v>482</v>
      </c>
      <c r="T220" s="503"/>
      <c r="U220" s="503"/>
      <c r="V220" s="587" t="s">
        <v>482</v>
      </c>
      <c r="W220" s="1746" t="s">
        <v>552</v>
      </c>
      <c r="X220" s="587" t="s">
        <v>482</v>
      </c>
      <c r="Y220" s="587" t="s">
        <v>482</v>
      </c>
      <c r="Z220" s="587" t="s">
        <v>482</v>
      </c>
      <c r="AA220" s="587"/>
      <c r="AB220" s="587"/>
      <c r="AC220" s="587" t="s">
        <v>482</v>
      </c>
      <c r="AD220" s="587" t="s">
        <v>482</v>
      </c>
      <c r="AE220" s="587" t="s">
        <v>482</v>
      </c>
      <c r="AF220" s="171"/>
      <c r="AG220" s="650"/>
      <c r="AH220" s="693">
        <v>185</v>
      </c>
      <c r="AI220" s="694">
        <v>37</v>
      </c>
    </row>
    <row r="221" spans="1:35" ht="21" customHeight="1" x14ac:dyDescent="0.2">
      <c r="A221" s="441"/>
      <c r="B221" s="673" t="s">
        <v>669</v>
      </c>
      <c r="C221" s="587" t="s">
        <v>482</v>
      </c>
      <c r="D221" s="587" t="s">
        <v>482</v>
      </c>
      <c r="E221" s="587" t="s">
        <v>482</v>
      </c>
      <c r="F221" s="587"/>
      <c r="G221" s="587"/>
      <c r="H221" s="587" t="s">
        <v>482</v>
      </c>
      <c r="I221" s="587" t="s">
        <v>482</v>
      </c>
      <c r="J221" s="587" t="s">
        <v>482</v>
      </c>
      <c r="K221" s="587" t="s">
        <v>482</v>
      </c>
      <c r="L221" s="587" t="s">
        <v>482</v>
      </c>
      <c r="M221" s="587"/>
      <c r="N221" s="587"/>
      <c r="O221" s="587" t="s">
        <v>482</v>
      </c>
      <c r="P221" s="587" t="s">
        <v>482</v>
      </c>
      <c r="Q221" s="587" t="s">
        <v>482</v>
      </c>
      <c r="R221" s="587" t="s">
        <v>482</v>
      </c>
      <c r="S221" s="587" t="s">
        <v>482</v>
      </c>
      <c r="T221" s="503"/>
      <c r="U221" s="503"/>
      <c r="V221" s="587" t="s">
        <v>482</v>
      </c>
      <c r="W221" s="1746" t="s">
        <v>552</v>
      </c>
      <c r="X221" s="587" t="s">
        <v>482</v>
      </c>
      <c r="Y221" s="587" t="s">
        <v>482</v>
      </c>
      <c r="Z221" s="587" t="s">
        <v>482</v>
      </c>
      <c r="AA221" s="587"/>
      <c r="AB221" s="587"/>
      <c r="AC221" s="587" t="s">
        <v>482</v>
      </c>
      <c r="AD221" s="587" t="s">
        <v>482</v>
      </c>
      <c r="AE221" s="587" t="s">
        <v>482</v>
      </c>
      <c r="AF221" s="171"/>
      <c r="AG221" s="650"/>
      <c r="AH221" s="693">
        <v>75</v>
      </c>
      <c r="AI221" s="694">
        <v>37</v>
      </c>
    </row>
    <row r="222" spans="1:35" ht="21" customHeight="1" x14ac:dyDescent="0.2">
      <c r="A222" s="441"/>
      <c r="B222" s="673" t="s">
        <v>670</v>
      </c>
      <c r="C222" s="587" t="s">
        <v>482</v>
      </c>
      <c r="D222" s="587" t="s">
        <v>482</v>
      </c>
      <c r="E222" s="587" t="s">
        <v>482</v>
      </c>
      <c r="F222" s="587"/>
      <c r="G222" s="587"/>
      <c r="H222" s="1627" t="s">
        <v>482</v>
      </c>
      <c r="I222" s="1627" t="s">
        <v>482</v>
      </c>
      <c r="J222" s="1627" t="s">
        <v>482</v>
      </c>
      <c r="K222" s="1627" t="s">
        <v>482</v>
      </c>
      <c r="L222" s="1627" t="s">
        <v>482</v>
      </c>
      <c r="M222" s="1627"/>
      <c r="N222" s="1627"/>
      <c r="O222" s="587" t="s">
        <v>482</v>
      </c>
      <c r="P222" s="587" t="s">
        <v>482</v>
      </c>
      <c r="Q222" s="587" t="s">
        <v>482</v>
      </c>
      <c r="R222" s="587" t="s">
        <v>482</v>
      </c>
      <c r="S222" s="587" t="s">
        <v>482</v>
      </c>
      <c r="T222" s="503"/>
      <c r="U222" s="503"/>
      <c r="V222" s="587" t="s">
        <v>482</v>
      </c>
      <c r="W222" s="587" t="s">
        <v>482</v>
      </c>
      <c r="X222" s="587" t="s">
        <v>482</v>
      </c>
      <c r="Y222" s="587" t="s">
        <v>482</v>
      </c>
      <c r="Z222" s="587" t="s">
        <v>482</v>
      </c>
      <c r="AA222" s="587"/>
      <c r="AB222" s="587"/>
      <c r="AC222" s="587" t="s">
        <v>482</v>
      </c>
      <c r="AD222" s="587" t="s">
        <v>482</v>
      </c>
      <c r="AE222" s="587" t="s">
        <v>482</v>
      </c>
      <c r="AF222" s="171"/>
      <c r="AG222" s="650"/>
      <c r="AH222" s="693">
        <v>8</v>
      </c>
      <c r="AI222" s="694">
        <v>37</v>
      </c>
    </row>
    <row r="223" spans="1:35" ht="21" customHeight="1" x14ac:dyDescent="0.2">
      <c r="A223" s="441"/>
      <c r="B223" s="152" t="s">
        <v>671</v>
      </c>
      <c r="C223" s="1516" t="s">
        <v>617</v>
      </c>
      <c r="D223" s="587" t="s">
        <v>552</v>
      </c>
      <c r="E223" s="587" t="s">
        <v>482</v>
      </c>
      <c r="F223" s="587"/>
      <c r="G223" s="587"/>
      <c r="H223" s="587" t="s">
        <v>482</v>
      </c>
      <c r="I223" s="587" t="s">
        <v>482</v>
      </c>
      <c r="J223" s="587" t="s">
        <v>482</v>
      </c>
      <c r="K223" s="587" t="s">
        <v>482</v>
      </c>
      <c r="L223" s="587" t="s">
        <v>482</v>
      </c>
      <c r="M223" s="587"/>
      <c r="N223" s="587"/>
      <c r="O223" s="587" t="s">
        <v>482</v>
      </c>
      <c r="P223" s="587" t="s">
        <v>482</v>
      </c>
      <c r="Q223" s="587" t="s">
        <v>482</v>
      </c>
      <c r="R223" s="587" t="s">
        <v>482</v>
      </c>
      <c r="S223" s="587" t="s">
        <v>482</v>
      </c>
      <c r="T223" s="503"/>
      <c r="U223" s="503"/>
      <c r="V223" s="587" t="s">
        <v>482</v>
      </c>
      <c r="W223" s="587" t="s">
        <v>482</v>
      </c>
      <c r="X223" s="587" t="s">
        <v>482</v>
      </c>
      <c r="Y223" s="587" t="s">
        <v>482</v>
      </c>
      <c r="Z223" s="587" t="s">
        <v>482</v>
      </c>
      <c r="AA223" s="587"/>
      <c r="AB223" s="587"/>
      <c r="AC223" s="587" t="s">
        <v>482</v>
      </c>
      <c r="AD223" s="587" t="s">
        <v>482</v>
      </c>
      <c r="AE223" s="587" t="s">
        <v>482</v>
      </c>
      <c r="AF223" s="587"/>
      <c r="AG223" s="588"/>
      <c r="AH223" s="693">
        <v>1</v>
      </c>
      <c r="AI223" s="694">
        <v>37</v>
      </c>
    </row>
    <row r="224" spans="1:35" ht="21" customHeight="1" x14ac:dyDescent="0.2">
      <c r="A224" s="441"/>
      <c r="B224" s="152" t="s">
        <v>672</v>
      </c>
      <c r="C224" s="587" t="s">
        <v>482</v>
      </c>
      <c r="D224" s="587" t="s">
        <v>482</v>
      </c>
      <c r="E224" s="587" t="s">
        <v>482</v>
      </c>
      <c r="F224" s="587"/>
      <c r="G224" s="587"/>
      <c r="H224" s="587" t="s">
        <v>482</v>
      </c>
      <c r="I224" s="587" t="s">
        <v>482</v>
      </c>
      <c r="J224" s="587" t="s">
        <v>482</v>
      </c>
      <c r="K224" s="587" t="s">
        <v>482</v>
      </c>
      <c r="L224" s="587" t="s">
        <v>482</v>
      </c>
      <c r="M224" s="587"/>
      <c r="N224" s="587"/>
      <c r="O224" s="587" t="s">
        <v>482</v>
      </c>
      <c r="P224" s="587" t="s">
        <v>482</v>
      </c>
      <c r="Q224" s="587" t="s">
        <v>482</v>
      </c>
      <c r="R224" s="587" t="s">
        <v>482</v>
      </c>
      <c r="S224" s="587" t="s">
        <v>482</v>
      </c>
      <c r="T224" s="503"/>
      <c r="U224" s="503"/>
      <c r="V224" s="587" t="s">
        <v>482</v>
      </c>
      <c r="W224" s="587" t="s">
        <v>482</v>
      </c>
      <c r="X224" s="587" t="s">
        <v>482</v>
      </c>
      <c r="Y224" s="587" t="s">
        <v>482</v>
      </c>
      <c r="Z224" s="587" t="s">
        <v>482</v>
      </c>
      <c r="AA224" s="587"/>
      <c r="AB224" s="587"/>
      <c r="AC224" s="587" t="s">
        <v>482</v>
      </c>
      <c r="AD224" s="587" t="s">
        <v>482</v>
      </c>
      <c r="AE224" s="587" t="s">
        <v>482</v>
      </c>
      <c r="AF224" s="587"/>
      <c r="AG224" s="588"/>
      <c r="AH224" s="693">
        <v>54</v>
      </c>
      <c r="AI224" s="694">
        <v>16</v>
      </c>
    </row>
    <row r="225" spans="1:35" ht="21" customHeight="1" x14ac:dyDescent="0.2">
      <c r="A225" s="152"/>
      <c r="B225" s="152" t="s">
        <v>673</v>
      </c>
      <c r="C225" s="587" t="s">
        <v>482</v>
      </c>
      <c r="D225" s="587" t="s">
        <v>482</v>
      </c>
      <c r="E225" s="587" t="s">
        <v>482</v>
      </c>
      <c r="F225" s="587"/>
      <c r="G225" s="587"/>
      <c r="H225" s="587" t="s">
        <v>482</v>
      </c>
      <c r="I225" s="587" t="s">
        <v>482</v>
      </c>
      <c r="J225" s="587" t="s">
        <v>482</v>
      </c>
      <c r="K225" s="587" t="s">
        <v>482</v>
      </c>
      <c r="L225" s="587" t="s">
        <v>482</v>
      </c>
      <c r="M225" s="587"/>
      <c r="N225" s="587"/>
      <c r="O225" s="587" t="s">
        <v>482</v>
      </c>
      <c r="P225" s="587" t="s">
        <v>482</v>
      </c>
      <c r="Q225" s="587" t="s">
        <v>482</v>
      </c>
      <c r="R225" s="587" t="s">
        <v>482</v>
      </c>
      <c r="S225" s="587" t="s">
        <v>482</v>
      </c>
      <c r="T225" s="503"/>
      <c r="U225" s="503"/>
      <c r="V225" s="587" t="s">
        <v>482</v>
      </c>
      <c r="W225" s="587" t="s">
        <v>482</v>
      </c>
      <c r="X225" s="587" t="s">
        <v>482</v>
      </c>
      <c r="Y225" s="587" t="s">
        <v>482</v>
      </c>
      <c r="Z225" s="1627" t="s">
        <v>482</v>
      </c>
      <c r="AA225" s="587"/>
      <c r="AB225" s="587"/>
      <c r="AC225" s="587" t="s">
        <v>482</v>
      </c>
      <c r="AD225" s="587" t="s">
        <v>482</v>
      </c>
      <c r="AE225" s="587" t="s">
        <v>482</v>
      </c>
      <c r="AF225" s="152"/>
      <c r="AG225" s="154"/>
      <c r="AH225" s="693">
        <v>2</v>
      </c>
      <c r="AI225" s="694">
        <v>11</v>
      </c>
    </row>
    <row r="226" spans="1:35" ht="21" customHeight="1" x14ac:dyDescent="0.2">
      <c r="A226" s="152"/>
      <c r="B226" s="152"/>
      <c r="C226" s="587"/>
      <c r="D226" s="587"/>
      <c r="E226" s="587"/>
      <c r="F226" s="587"/>
      <c r="G226" s="587"/>
      <c r="H226" s="587"/>
      <c r="I226" s="587"/>
      <c r="J226" s="587"/>
      <c r="K226" s="587"/>
      <c r="L226" s="587"/>
      <c r="M226" s="587"/>
      <c r="N226" s="587"/>
      <c r="O226" s="587"/>
      <c r="P226" s="587"/>
      <c r="Q226" s="587"/>
      <c r="R226" s="587"/>
      <c r="S226" s="587"/>
      <c r="T226" s="503"/>
      <c r="U226" s="503"/>
      <c r="V226" s="587"/>
      <c r="W226" s="587"/>
      <c r="X226" s="587"/>
      <c r="Y226" s="587"/>
      <c r="Z226" s="587"/>
      <c r="AA226" s="587"/>
      <c r="AB226" s="587"/>
      <c r="AC226" s="587"/>
      <c r="AD226" s="587"/>
      <c r="AE226" s="587"/>
      <c r="AF226" s="152"/>
      <c r="AG226" s="154"/>
      <c r="AH226" s="693"/>
      <c r="AI226" s="694"/>
    </row>
    <row r="227" spans="1:35" ht="21" customHeight="1" x14ac:dyDescent="0.2">
      <c r="A227" s="152"/>
      <c r="B227" s="152"/>
      <c r="C227" s="587"/>
      <c r="D227" s="587"/>
      <c r="E227" s="587"/>
      <c r="F227" s="587"/>
      <c r="G227" s="587"/>
      <c r="H227" s="587"/>
      <c r="I227" s="587"/>
      <c r="J227" s="587"/>
      <c r="K227" s="587"/>
      <c r="L227" s="587"/>
      <c r="M227" s="587"/>
      <c r="N227" s="587"/>
      <c r="O227" s="587"/>
      <c r="P227" s="587"/>
      <c r="Q227" s="587"/>
      <c r="R227" s="587"/>
      <c r="S227" s="587"/>
      <c r="T227" s="503"/>
      <c r="U227" s="503"/>
      <c r="V227" s="587"/>
      <c r="W227" s="587"/>
      <c r="X227" s="587"/>
      <c r="Y227" s="587"/>
      <c r="Z227" s="587"/>
      <c r="AA227" s="587"/>
      <c r="AB227" s="587"/>
      <c r="AC227" s="587"/>
      <c r="AD227" s="587"/>
      <c r="AE227" s="587"/>
      <c r="AF227" s="152"/>
      <c r="AG227" s="154"/>
      <c r="AH227" s="693"/>
      <c r="AI227" s="694"/>
    </row>
    <row r="228" spans="1:35" ht="21" customHeight="1" x14ac:dyDescent="0.2">
      <c r="A228" s="152"/>
      <c r="B228" s="152"/>
      <c r="C228" s="503"/>
      <c r="D228" s="503"/>
      <c r="E228" s="503"/>
      <c r="F228" s="503"/>
      <c r="G228" s="503"/>
      <c r="H228" s="503"/>
      <c r="I228" s="503"/>
      <c r="J228" s="503"/>
      <c r="K228" s="503"/>
      <c r="L228" s="503"/>
      <c r="M228" s="503"/>
      <c r="N228" s="503"/>
      <c r="O228" s="503"/>
      <c r="P228" s="503"/>
      <c r="Q228" s="503"/>
      <c r="R228" s="503"/>
      <c r="S228" s="503"/>
      <c r="T228" s="503"/>
      <c r="U228" s="503"/>
      <c r="V228" s="503"/>
      <c r="W228" s="503"/>
      <c r="X228" s="503"/>
      <c r="Y228" s="503"/>
      <c r="Z228" s="503"/>
      <c r="AA228" s="503"/>
      <c r="AB228" s="503"/>
      <c r="AC228" s="503"/>
      <c r="AD228" s="503"/>
      <c r="AE228" s="152"/>
      <c r="AF228" s="152"/>
      <c r="AG228" s="154"/>
      <c r="AH228" s="693"/>
      <c r="AI228" s="694"/>
    </row>
    <row r="229" spans="1:35" ht="21" customHeight="1" x14ac:dyDescent="0.2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4"/>
      <c r="AH229" s="328"/>
      <c r="AI229" s="190"/>
    </row>
    <row r="230" spans="1:35" ht="21" customHeight="1" x14ac:dyDescent="0.2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4"/>
      <c r="AH230" s="328"/>
      <c r="AI230" s="190"/>
    </row>
    <row r="231" spans="1:35" ht="21" customHeight="1" x14ac:dyDescent="0.2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4"/>
      <c r="AH231" s="330"/>
      <c r="AI231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0" max="16383" man="1"/>
  </rowBreaks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14"/>
  <dimension ref="A1:AV231"/>
  <sheetViews>
    <sheetView topLeftCell="A85" zoomScale="78" zoomScaleNormal="78" workbookViewId="0">
      <selection activeCell="AA39" sqref="AA39"/>
    </sheetView>
  </sheetViews>
  <sheetFormatPr defaultRowHeight="12.75" x14ac:dyDescent="0.2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</cols>
  <sheetData>
    <row r="1" spans="1:38" ht="13.35" customHeight="1" x14ac:dyDescent="0.2">
      <c r="A1" t="s">
        <v>28</v>
      </c>
      <c r="B1" s="1" t="s">
        <v>442</v>
      </c>
    </row>
    <row r="2" spans="1:38" ht="13.35" customHeight="1" x14ac:dyDescent="0.2">
      <c r="B2" s="442" t="s">
        <v>443</v>
      </c>
      <c r="C2" s="443" t="s">
        <v>444</v>
      </c>
      <c r="D2" s="444"/>
      <c r="E2" s="445" t="s">
        <v>445</v>
      </c>
      <c r="F2" s="446"/>
      <c r="G2" s="447"/>
      <c r="H2" s="447"/>
      <c r="I2" s="447"/>
      <c r="J2" s="447"/>
      <c r="K2" s="448"/>
      <c r="L2" s="449" t="s">
        <v>446</v>
      </c>
      <c r="M2" s="450"/>
      <c r="N2" s="379"/>
      <c r="O2" s="451" t="s">
        <v>447</v>
      </c>
      <c r="P2" s="452"/>
      <c r="Q2" s="453"/>
      <c r="R2" s="454"/>
      <c r="S2" s="455" t="s">
        <v>448</v>
      </c>
      <c r="T2" s="456"/>
      <c r="U2" s="457"/>
      <c r="V2" s="456"/>
      <c r="W2" s="458" t="s">
        <v>449</v>
      </c>
      <c r="X2" s="367"/>
      <c r="Y2" s="459"/>
      <c r="Z2" s="460" t="s">
        <v>450</v>
      </c>
      <c r="AA2" s="461"/>
      <c r="AB2" s="462"/>
      <c r="AC2" s="463"/>
      <c r="AD2" s="464" t="s">
        <v>451</v>
      </c>
      <c r="AE2" s="465"/>
      <c r="AF2" s="465"/>
      <c r="AG2" s="466"/>
    </row>
    <row r="3" spans="1:38" ht="13.35" customHeight="1" x14ac:dyDescent="0.2">
      <c r="A3" s="1"/>
      <c r="B3" s="467" t="s">
        <v>452</v>
      </c>
      <c r="C3" s="468" t="s">
        <v>453</v>
      </c>
      <c r="D3" s="469"/>
      <c r="E3" s="470"/>
      <c r="F3" s="471"/>
      <c r="G3" s="471"/>
      <c r="H3" s="472" t="s">
        <v>454</v>
      </c>
      <c r="I3" s="473"/>
      <c r="J3" s="473"/>
      <c r="K3" s="474"/>
      <c r="L3" s="475" t="s">
        <v>455</v>
      </c>
      <c r="M3" s="156"/>
      <c r="N3" s="476"/>
      <c r="O3" s="473"/>
      <c r="P3" s="473"/>
      <c r="Q3" s="473"/>
      <c r="R3" s="473"/>
      <c r="S3" s="55"/>
      <c r="T3" s="477" t="s">
        <v>456</v>
      </c>
      <c r="U3" s="478"/>
      <c r="V3" s="479"/>
      <c r="W3" s="480"/>
      <c r="X3" s="481"/>
      <c r="Y3" s="472" t="s">
        <v>457</v>
      </c>
      <c r="Z3" s="156"/>
      <c r="AA3" s="156"/>
      <c r="AB3" s="482"/>
      <c r="AC3" s="483"/>
      <c r="AD3" s="484" t="s">
        <v>458</v>
      </c>
      <c r="AE3" s="485"/>
      <c r="AF3" s="485"/>
      <c r="AG3" s="486"/>
    </row>
    <row r="4" spans="1:38" ht="13.35" customHeight="1" x14ac:dyDescent="0.2">
      <c r="A4" s="1" t="s">
        <v>459</v>
      </c>
      <c r="B4" s="167"/>
      <c r="C4" s="69"/>
      <c r="D4" s="360"/>
      <c r="E4" s="360"/>
      <c r="F4" s="360"/>
      <c r="G4" s="360"/>
      <c r="H4" s="69"/>
      <c r="I4" s="360"/>
      <c r="J4" s="360"/>
      <c r="K4" s="73"/>
      <c r="L4" s="360"/>
      <c r="M4" s="73"/>
      <c r="N4" s="73"/>
      <c r="O4" s="360"/>
      <c r="P4" s="360"/>
      <c r="Q4" s="360"/>
      <c r="R4" s="360"/>
      <c r="T4" s="73"/>
      <c r="U4" s="69"/>
      <c r="W4" s="360"/>
      <c r="X4" s="360"/>
      <c r="Y4" s="69"/>
      <c r="Z4" s="360"/>
      <c r="AB4" s="360"/>
      <c r="AC4" s="360"/>
      <c r="AD4" s="360"/>
      <c r="AE4" s="360"/>
      <c r="AF4" s="360"/>
      <c r="AG4" s="360"/>
    </row>
    <row r="5" spans="1:38" ht="21.95" customHeight="1" x14ac:dyDescent="0.2">
      <c r="A5" s="1" t="s">
        <v>14</v>
      </c>
      <c r="B5" s="1"/>
    </row>
    <row r="6" spans="1:38" ht="21.95" customHeight="1" x14ac:dyDescent="0.25">
      <c r="A6" s="487" t="s">
        <v>460</v>
      </c>
      <c r="B6" s="156"/>
      <c r="C6" s="488"/>
      <c r="D6" s="487" t="s">
        <v>461</v>
      </c>
      <c r="E6" s="156"/>
      <c r="F6" s="156"/>
      <c r="G6" s="156"/>
      <c r="H6" s="489"/>
      <c r="I6" s="156"/>
      <c r="J6" s="156"/>
      <c r="K6" s="156"/>
      <c r="L6" s="487" t="s">
        <v>462</v>
      </c>
      <c r="M6" s="156"/>
      <c r="N6" s="156"/>
      <c r="O6" s="156"/>
      <c r="P6" s="156"/>
      <c r="Q6" s="156"/>
      <c r="R6" s="156"/>
      <c r="S6" s="488"/>
      <c r="T6" s="490" t="s">
        <v>463</v>
      </c>
      <c r="U6" s="156"/>
      <c r="V6" s="156"/>
      <c r="W6" s="156"/>
      <c r="X6" s="156"/>
      <c r="Y6" s="156"/>
      <c r="Z6" s="156"/>
      <c r="AA6" s="488"/>
      <c r="AB6" s="491"/>
      <c r="AC6" s="134"/>
      <c r="AD6" s="134"/>
      <c r="AE6" s="134"/>
      <c r="AF6" s="134"/>
      <c r="AG6" s="492"/>
    </row>
    <row r="7" spans="1:38" ht="21.95" customHeight="1" x14ac:dyDescent="0.25">
      <c r="A7" s="487" t="s">
        <v>464</v>
      </c>
      <c r="B7" s="156"/>
      <c r="C7" s="156"/>
      <c r="D7" s="156"/>
      <c r="E7" s="156"/>
      <c r="F7" s="156"/>
      <c r="G7" s="156"/>
      <c r="H7" s="156"/>
      <c r="I7" s="156"/>
      <c r="J7" s="156"/>
      <c r="K7" s="488"/>
      <c r="L7" s="493" t="s">
        <v>465</v>
      </c>
      <c r="M7" s="55"/>
      <c r="N7" s="55"/>
      <c r="O7" s="55"/>
      <c r="P7" s="55"/>
      <c r="Q7" s="55"/>
      <c r="R7" s="55"/>
      <c r="S7" s="55"/>
      <c r="T7" s="156"/>
      <c r="U7" s="156"/>
      <c r="V7" s="156"/>
      <c r="W7" s="156"/>
      <c r="X7" s="156"/>
      <c r="Y7" s="156"/>
      <c r="Z7" s="156"/>
      <c r="AA7" s="156"/>
      <c r="AB7" s="494"/>
      <c r="AC7" s="156"/>
      <c r="AD7" s="156"/>
      <c r="AE7" s="156"/>
      <c r="AF7" s="156"/>
      <c r="AG7" s="488"/>
    </row>
    <row r="8" spans="1:38" ht="21.95" customHeight="1" x14ac:dyDescent="0.25">
      <c r="A8" s="495" t="s">
        <v>466</v>
      </c>
      <c r="L8" s="495"/>
      <c r="AB8" s="1"/>
    </row>
    <row r="9" spans="1:38" ht="21.95" customHeight="1" x14ac:dyDescent="0.2">
      <c r="B9" s="496" t="s">
        <v>467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F9" s="353"/>
      <c r="AG9" s="353"/>
    </row>
    <row r="10" spans="1:38" ht="21.95" customHeight="1" x14ac:dyDescent="0.2">
      <c r="A10" s="441" t="s">
        <v>468</v>
      </c>
      <c r="B10" s="296" t="s">
        <v>469</v>
      </c>
      <c r="C10" s="177">
        <v>1</v>
      </c>
      <c r="D10" s="177">
        <v>2</v>
      </c>
      <c r="E10" s="497">
        <v>3</v>
      </c>
      <c r="F10" s="497">
        <v>4</v>
      </c>
      <c r="G10" s="177">
        <v>5</v>
      </c>
      <c r="H10" s="177">
        <v>6</v>
      </c>
      <c r="I10" s="177">
        <v>7</v>
      </c>
      <c r="J10" s="177">
        <v>8</v>
      </c>
      <c r="K10" s="177">
        <v>9</v>
      </c>
      <c r="L10" s="497">
        <v>10</v>
      </c>
      <c r="M10" s="497">
        <v>11</v>
      </c>
      <c r="N10" s="177">
        <v>12</v>
      </c>
      <c r="O10" s="177">
        <v>13</v>
      </c>
      <c r="P10" s="177">
        <v>14</v>
      </c>
      <c r="Q10" s="177">
        <v>15</v>
      </c>
      <c r="R10" s="177">
        <v>16</v>
      </c>
      <c r="S10" s="497">
        <v>17</v>
      </c>
      <c r="T10" s="497">
        <v>18</v>
      </c>
      <c r="U10" s="177">
        <v>19</v>
      </c>
      <c r="V10" s="177">
        <v>20</v>
      </c>
      <c r="W10" s="177">
        <v>21</v>
      </c>
      <c r="X10" s="177">
        <v>22</v>
      </c>
      <c r="Y10" s="177">
        <v>23</v>
      </c>
      <c r="Z10" s="497">
        <v>24</v>
      </c>
      <c r="AA10" s="497">
        <v>25</v>
      </c>
      <c r="AB10" s="177">
        <v>26</v>
      </c>
      <c r="AC10" s="177">
        <v>27</v>
      </c>
      <c r="AD10" s="177">
        <v>28</v>
      </c>
      <c r="AE10" s="177">
        <v>29</v>
      </c>
      <c r="AF10" s="177">
        <v>30</v>
      </c>
      <c r="AG10" s="497">
        <v>31</v>
      </c>
      <c r="AH10" s="499" t="s">
        <v>470</v>
      </c>
      <c r="AI10" s="500" t="s">
        <v>471</v>
      </c>
    </row>
    <row r="11" spans="1:38" ht="21.95" customHeight="1" x14ac:dyDescent="0.2">
      <c r="A11" s="501"/>
      <c r="B11" s="502"/>
      <c r="C11" s="503"/>
      <c r="D11" s="503"/>
      <c r="E11" s="503"/>
      <c r="F11" s="503"/>
      <c r="G11" s="503"/>
      <c r="H11" s="503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D11" s="503"/>
      <c r="AE11" s="503"/>
      <c r="AF11" s="503"/>
      <c r="AG11" s="504"/>
      <c r="AH11" s="505"/>
      <c r="AI11" s="506"/>
    </row>
    <row r="12" spans="1:38" ht="21.95" customHeight="1" x14ac:dyDescent="0.2">
      <c r="A12" s="507" t="s">
        <v>472</v>
      </c>
      <c r="B12" s="456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  <c r="V12" s="508"/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510"/>
      <c r="AI12" s="511"/>
    </row>
    <row r="13" spans="1:38" ht="21.95" customHeight="1" x14ac:dyDescent="0.2">
      <c r="A13" s="512">
        <v>8546</v>
      </c>
      <c r="B13" s="513" t="s">
        <v>473</v>
      </c>
      <c r="C13" s="1066">
        <v>3</v>
      </c>
      <c r="D13" s="1066">
        <v>3</v>
      </c>
      <c r="E13" s="1066"/>
      <c r="F13" s="1066"/>
      <c r="G13" s="514">
        <v>4</v>
      </c>
      <c r="H13" s="514">
        <v>4</v>
      </c>
      <c r="I13" s="514">
        <v>4</v>
      </c>
      <c r="J13" s="514">
        <v>4</v>
      </c>
      <c r="K13" s="514">
        <v>4</v>
      </c>
      <c r="L13" s="1534" t="s">
        <v>476</v>
      </c>
      <c r="M13" s="1534" t="s">
        <v>765</v>
      </c>
      <c r="N13" s="514" t="s">
        <v>475</v>
      </c>
      <c r="O13" s="514" t="s">
        <v>475</v>
      </c>
      <c r="P13" s="514" t="s">
        <v>475</v>
      </c>
      <c r="Q13" s="514" t="s">
        <v>475</v>
      </c>
      <c r="R13" s="514" t="s">
        <v>475</v>
      </c>
      <c r="S13" s="514"/>
      <c r="T13" s="514"/>
      <c r="U13" s="514">
        <v>1</v>
      </c>
      <c r="V13" s="514">
        <v>1</v>
      </c>
      <c r="W13" s="514">
        <v>1</v>
      </c>
      <c r="X13" s="1518">
        <v>1</v>
      </c>
      <c r="Y13" s="1518">
        <v>1</v>
      </c>
      <c r="Z13" s="514"/>
      <c r="AA13" s="514"/>
      <c r="AB13" s="514">
        <v>2</v>
      </c>
      <c r="AC13" s="514">
        <v>2</v>
      </c>
      <c r="AD13" s="1534">
        <v>2</v>
      </c>
      <c r="AE13" s="1534">
        <v>2</v>
      </c>
      <c r="AF13" s="1534">
        <v>2</v>
      </c>
      <c r="AG13" s="1534" t="s">
        <v>474</v>
      </c>
      <c r="AH13" s="516">
        <v>0</v>
      </c>
      <c r="AI13" s="517">
        <v>0</v>
      </c>
      <c r="AL13" s="1602"/>
    </row>
    <row r="14" spans="1:38" ht="21.95" customHeight="1" x14ac:dyDescent="0.2">
      <c r="A14" s="501">
        <v>8546</v>
      </c>
      <c r="B14" s="346" t="s">
        <v>477</v>
      </c>
      <c r="C14" s="514">
        <v>2</v>
      </c>
      <c r="D14" s="514">
        <v>2</v>
      </c>
      <c r="E14" s="514" t="s">
        <v>474</v>
      </c>
      <c r="F14" s="514" t="s">
        <v>474</v>
      </c>
      <c r="G14" s="514" t="s">
        <v>475</v>
      </c>
      <c r="H14" s="514" t="s">
        <v>475</v>
      </c>
      <c r="I14" s="514" t="s">
        <v>475</v>
      </c>
      <c r="J14" s="514" t="s">
        <v>475</v>
      </c>
      <c r="K14" s="514" t="s">
        <v>475</v>
      </c>
      <c r="L14" s="514"/>
      <c r="M14" s="514"/>
      <c r="N14" s="514">
        <v>3</v>
      </c>
      <c r="O14" s="514">
        <v>3</v>
      </c>
      <c r="P14" s="514">
        <v>3</v>
      </c>
      <c r="Q14" s="514">
        <v>3</v>
      </c>
      <c r="R14" s="514">
        <v>3</v>
      </c>
      <c r="S14" s="514"/>
      <c r="T14" s="514"/>
      <c r="U14" s="1066">
        <v>4</v>
      </c>
      <c r="V14" s="1066">
        <v>4</v>
      </c>
      <c r="W14" s="1066">
        <v>4</v>
      </c>
      <c r="X14" s="1066">
        <v>4</v>
      </c>
      <c r="Y14" s="1066">
        <v>4</v>
      </c>
      <c r="Z14" s="1066" t="s">
        <v>476</v>
      </c>
      <c r="AA14" s="1066" t="s">
        <v>476</v>
      </c>
      <c r="AB14" s="514" t="s">
        <v>475</v>
      </c>
      <c r="AC14" s="514" t="s">
        <v>475</v>
      </c>
      <c r="AD14" s="514" t="s">
        <v>475</v>
      </c>
      <c r="AE14" s="514" t="s">
        <v>475</v>
      </c>
      <c r="AF14" s="514" t="s">
        <v>475</v>
      </c>
      <c r="AG14" s="514"/>
      <c r="AH14" s="505">
        <v>0</v>
      </c>
      <c r="AI14" s="506">
        <v>37</v>
      </c>
    </row>
    <row r="15" spans="1:38" ht="21.95" customHeight="1" x14ac:dyDescent="0.2">
      <c r="A15" s="501">
        <v>8546</v>
      </c>
      <c r="B15" s="346" t="s">
        <v>174</v>
      </c>
      <c r="C15" s="514" t="s">
        <v>475</v>
      </c>
      <c r="D15" s="514" t="s">
        <v>475</v>
      </c>
      <c r="E15" s="514"/>
      <c r="F15" s="514"/>
      <c r="G15" s="514">
        <v>3</v>
      </c>
      <c r="H15" s="514">
        <v>3</v>
      </c>
      <c r="I15" s="1569">
        <v>3</v>
      </c>
      <c r="J15" s="1569">
        <v>3</v>
      </c>
      <c r="K15" s="1569">
        <v>3</v>
      </c>
      <c r="L15" s="514"/>
      <c r="M15" s="514"/>
      <c r="N15" s="514">
        <v>4</v>
      </c>
      <c r="O15" s="514">
        <v>4</v>
      </c>
      <c r="P15" s="514">
        <v>4</v>
      </c>
      <c r="Q15" s="514">
        <v>4</v>
      </c>
      <c r="R15" s="514">
        <v>4</v>
      </c>
      <c r="S15" s="514" t="s">
        <v>476</v>
      </c>
      <c r="T15" s="514" t="s">
        <v>476</v>
      </c>
      <c r="U15" s="514" t="s">
        <v>475</v>
      </c>
      <c r="V15" s="514" t="s">
        <v>475</v>
      </c>
      <c r="W15" s="514" t="s">
        <v>475</v>
      </c>
      <c r="X15" s="514" t="s">
        <v>475</v>
      </c>
      <c r="Y15" s="514" t="s">
        <v>475</v>
      </c>
      <c r="Z15" s="514"/>
      <c r="AA15" s="514"/>
      <c r="AB15" s="514">
        <v>1</v>
      </c>
      <c r="AC15" s="514">
        <v>1</v>
      </c>
      <c r="AD15" s="514">
        <v>1</v>
      </c>
      <c r="AE15" s="514">
        <v>1</v>
      </c>
      <c r="AF15" s="514">
        <v>1</v>
      </c>
      <c r="AG15" s="514"/>
      <c r="AH15" s="505">
        <v>0</v>
      </c>
      <c r="AI15" s="506">
        <v>37</v>
      </c>
    </row>
    <row r="16" spans="1:38" ht="21.95" customHeight="1" x14ac:dyDescent="0.2">
      <c r="A16" s="501">
        <v>8546</v>
      </c>
      <c r="B16" s="346" t="s">
        <v>478</v>
      </c>
      <c r="C16" s="514" t="s">
        <v>475</v>
      </c>
      <c r="D16" s="514" t="s">
        <v>475</v>
      </c>
      <c r="E16" s="514"/>
      <c r="F16" s="514"/>
      <c r="G16" s="514">
        <v>1</v>
      </c>
      <c r="H16" s="514">
        <v>1</v>
      </c>
      <c r="I16" s="514">
        <v>1</v>
      </c>
      <c r="J16" s="514">
        <v>1</v>
      </c>
      <c r="K16" s="514">
        <v>1</v>
      </c>
      <c r="L16" s="1551" t="s">
        <v>476</v>
      </c>
      <c r="M16" s="1551" t="s">
        <v>476</v>
      </c>
      <c r="N16" s="514">
        <v>2</v>
      </c>
      <c r="O16" s="514">
        <v>2</v>
      </c>
      <c r="P16" s="514">
        <v>2</v>
      </c>
      <c r="Q16" s="514">
        <v>2</v>
      </c>
      <c r="R16" s="514">
        <v>2</v>
      </c>
      <c r="S16" s="514" t="s">
        <v>474</v>
      </c>
      <c r="T16" s="514" t="s">
        <v>474</v>
      </c>
      <c r="U16" s="514" t="s">
        <v>475</v>
      </c>
      <c r="V16" s="514" t="s">
        <v>475</v>
      </c>
      <c r="W16" s="514" t="s">
        <v>475</v>
      </c>
      <c r="X16" s="514" t="s">
        <v>475</v>
      </c>
      <c r="Y16" s="514" t="s">
        <v>475</v>
      </c>
      <c r="Z16" s="514"/>
      <c r="AA16" s="514"/>
      <c r="AB16" s="1456">
        <v>3</v>
      </c>
      <c r="AC16" s="1456">
        <v>3</v>
      </c>
      <c r="AD16" s="1456">
        <v>3</v>
      </c>
      <c r="AE16" s="1456">
        <v>3</v>
      </c>
      <c r="AF16" s="1456">
        <v>3</v>
      </c>
      <c r="AG16" s="1551" t="s">
        <v>474</v>
      </c>
      <c r="AH16" s="505">
        <v>12</v>
      </c>
      <c r="AI16" s="506">
        <v>37</v>
      </c>
    </row>
    <row r="17" spans="1:37" ht="21.95" customHeight="1" x14ac:dyDescent="0.2">
      <c r="A17" s="501">
        <v>8546</v>
      </c>
      <c r="B17" s="346" t="s">
        <v>479</v>
      </c>
      <c r="C17" s="514">
        <v>4</v>
      </c>
      <c r="D17" s="514">
        <v>4</v>
      </c>
      <c r="E17" s="514" t="s">
        <v>476</v>
      </c>
      <c r="F17" s="514" t="s">
        <v>476</v>
      </c>
      <c r="G17" s="514" t="s">
        <v>475</v>
      </c>
      <c r="H17" s="514" t="s">
        <v>475</v>
      </c>
      <c r="I17" s="514" t="s">
        <v>475</v>
      </c>
      <c r="J17" s="514" t="s">
        <v>475</v>
      </c>
      <c r="K17" s="514" t="s">
        <v>475</v>
      </c>
      <c r="L17" s="514"/>
      <c r="M17" s="514"/>
      <c r="N17" s="514">
        <v>1</v>
      </c>
      <c r="O17" s="514">
        <v>1</v>
      </c>
      <c r="P17" s="514">
        <v>1</v>
      </c>
      <c r="Q17" s="1518">
        <v>1</v>
      </c>
      <c r="R17" s="514">
        <v>1</v>
      </c>
      <c r="S17" s="514"/>
      <c r="T17" s="514"/>
      <c r="U17" s="514">
        <v>2</v>
      </c>
      <c r="V17" s="514">
        <v>2</v>
      </c>
      <c r="W17" s="514">
        <v>2</v>
      </c>
      <c r="X17" s="514">
        <v>2</v>
      </c>
      <c r="Y17" s="514">
        <v>2</v>
      </c>
      <c r="Z17" s="514" t="s">
        <v>474</v>
      </c>
      <c r="AA17" s="514" t="s">
        <v>474</v>
      </c>
      <c r="AB17" s="514" t="s">
        <v>475</v>
      </c>
      <c r="AC17" s="514" t="s">
        <v>475</v>
      </c>
      <c r="AD17" s="1551">
        <v>2</v>
      </c>
      <c r="AE17" s="1551">
        <v>2</v>
      </c>
      <c r="AF17" s="1551">
        <v>2</v>
      </c>
      <c r="AG17" s="514"/>
      <c r="AH17" s="505">
        <v>27</v>
      </c>
      <c r="AI17" s="506">
        <v>37</v>
      </c>
    </row>
    <row r="18" spans="1:37" ht="21.95" customHeight="1" x14ac:dyDescent="0.2">
      <c r="A18" s="501">
        <v>8546</v>
      </c>
      <c r="B18" s="346" t="s">
        <v>480</v>
      </c>
      <c r="C18" s="1518">
        <v>1</v>
      </c>
      <c r="D18" s="1518">
        <v>1</v>
      </c>
      <c r="E18" s="514"/>
      <c r="F18" s="514"/>
      <c r="G18" s="514">
        <v>2</v>
      </c>
      <c r="H18" s="514">
        <v>2</v>
      </c>
      <c r="I18" s="514">
        <v>2</v>
      </c>
      <c r="J18" s="514">
        <v>2</v>
      </c>
      <c r="K18" s="514">
        <v>2</v>
      </c>
      <c r="L18" s="514" t="s">
        <v>474</v>
      </c>
      <c r="M18" s="514" t="s">
        <v>474</v>
      </c>
      <c r="N18" s="514" t="s">
        <v>475</v>
      </c>
      <c r="O18" s="514" t="s">
        <v>475</v>
      </c>
      <c r="P18" s="514" t="s">
        <v>475</v>
      </c>
      <c r="Q18" s="514" t="s">
        <v>475</v>
      </c>
      <c r="R18" s="514" t="s">
        <v>475</v>
      </c>
      <c r="S18" s="514"/>
      <c r="T18" s="514"/>
      <c r="U18" s="514">
        <v>3</v>
      </c>
      <c r="V18" s="514">
        <v>3</v>
      </c>
      <c r="W18" s="514">
        <v>3</v>
      </c>
      <c r="X18" s="514">
        <v>3</v>
      </c>
      <c r="Y18" s="514">
        <v>3</v>
      </c>
      <c r="Z18" s="514"/>
      <c r="AA18" s="514"/>
      <c r="AB18" s="1066">
        <v>4</v>
      </c>
      <c r="AC18" s="1066">
        <v>4</v>
      </c>
      <c r="AD18" s="1066">
        <v>4</v>
      </c>
      <c r="AE18" s="1066">
        <v>4</v>
      </c>
      <c r="AF18" s="1066">
        <v>4</v>
      </c>
      <c r="AG18" s="1066" t="s">
        <v>476</v>
      </c>
      <c r="AH18" s="505">
        <v>38</v>
      </c>
      <c r="AI18" s="506">
        <v>37</v>
      </c>
    </row>
    <row r="19" spans="1:37" ht="21.95" customHeight="1" x14ac:dyDescent="0.2">
      <c r="A19" s="519" t="s">
        <v>481</v>
      </c>
      <c r="B19" s="520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8"/>
      <c r="AE19" s="508"/>
      <c r="AF19" s="508"/>
      <c r="AG19" s="508"/>
      <c r="AH19" s="505"/>
      <c r="AI19" s="506"/>
    </row>
    <row r="20" spans="1:37" ht="21.95" customHeight="1" x14ac:dyDescent="0.2">
      <c r="A20" s="501">
        <v>8500</v>
      </c>
      <c r="B20" s="185" t="s">
        <v>188</v>
      </c>
      <c r="C20" s="514">
        <v>3</v>
      </c>
      <c r="D20" s="514">
        <v>3</v>
      </c>
      <c r="E20" s="514"/>
      <c r="F20" s="514"/>
      <c r="G20" s="514">
        <v>1</v>
      </c>
      <c r="H20" s="1518" t="s">
        <v>552</v>
      </c>
      <c r="I20" s="514">
        <v>3</v>
      </c>
      <c r="J20" s="514">
        <v>3</v>
      </c>
      <c r="K20" s="514">
        <v>3</v>
      </c>
      <c r="L20" s="514" t="s">
        <v>484</v>
      </c>
      <c r="M20" s="514"/>
      <c r="N20" s="1671" t="s">
        <v>552</v>
      </c>
      <c r="O20" s="1671" t="s">
        <v>552</v>
      </c>
      <c r="P20" s="1671" t="s">
        <v>552</v>
      </c>
      <c r="Q20" s="1671" t="s">
        <v>552</v>
      </c>
      <c r="R20" s="1671" t="s">
        <v>552</v>
      </c>
      <c r="S20" s="514"/>
      <c r="T20" s="514"/>
      <c r="U20" s="514">
        <v>4</v>
      </c>
      <c r="V20" s="514">
        <v>4</v>
      </c>
      <c r="W20" s="514">
        <v>4</v>
      </c>
      <c r="X20" s="514">
        <v>4</v>
      </c>
      <c r="Y20" s="514">
        <v>4</v>
      </c>
      <c r="Z20" s="514" t="s">
        <v>476</v>
      </c>
      <c r="AA20" s="514" t="s">
        <v>476</v>
      </c>
      <c r="AB20" s="514" t="s">
        <v>475</v>
      </c>
      <c r="AC20" s="514" t="s">
        <v>475</v>
      </c>
      <c r="AD20" s="514" t="s">
        <v>475</v>
      </c>
      <c r="AE20" s="514" t="s">
        <v>475</v>
      </c>
      <c r="AF20" s="514" t="s">
        <v>475</v>
      </c>
      <c r="AG20" s="514" t="s">
        <v>484</v>
      </c>
      <c r="AH20" s="505">
        <v>21</v>
      </c>
      <c r="AI20" s="506">
        <v>37</v>
      </c>
    </row>
    <row r="21" spans="1:37" ht="21.95" customHeight="1" x14ac:dyDescent="0.2">
      <c r="A21" s="501">
        <v>8500</v>
      </c>
      <c r="B21" s="152" t="s">
        <v>483</v>
      </c>
      <c r="C21" s="514">
        <v>1</v>
      </c>
      <c r="D21" s="514">
        <v>1</v>
      </c>
      <c r="E21" s="514"/>
      <c r="F21" s="514"/>
      <c r="G21" s="514" t="s">
        <v>552</v>
      </c>
      <c r="H21" s="514" t="s">
        <v>552</v>
      </c>
      <c r="I21" s="1518" t="s">
        <v>552</v>
      </c>
      <c r="J21" s="1534" t="s">
        <v>552</v>
      </c>
      <c r="K21" s="1534" t="s">
        <v>617</v>
      </c>
      <c r="L21" s="514"/>
      <c r="M21" s="514"/>
      <c r="N21" s="514" t="s">
        <v>552</v>
      </c>
      <c r="O21" s="514">
        <v>1</v>
      </c>
      <c r="P21" s="514" t="s">
        <v>552</v>
      </c>
      <c r="Q21" s="514">
        <v>1</v>
      </c>
      <c r="R21" s="514" t="s">
        <v>552</v>
      </c>
      <c r="S21" s="514"/>
      <c r="T21" s="514"/>
      <c r="U21" s="1691" t="s">
        <v>482</v>
      </c>
      <c r="V21" s="1691" t="s">
        <v>482</v>
      </c>
      <c r="W21" s="514" t="s">
        <v>482</v>
      </c>
      <c r="X21" s="514">
        <v>1</v>
      </c>
      <c r="Y21" s="514">
        <v>1</v>
      </c>
      <c r="Z21" s="514" t="s">
        <v>484</v>
      </c>
      <c r="AA21" s="514" t="s">
        <v>484</v>
      </c>
      <c r="AB21" s="514">
        <v>4</v>
      </c>
      <c r="AC21" s="514">
        <v>4</v>
      </c>
      <c r="AD21" s="514">
        <v>4</v>
      </c>
      <c r="AE21" s="514">
        <v>4</v>
      </c>
      <c r="AF21" s="514">
        <v>4</v>
      </c>
      <c r="AG21" s="514" t="s">
        <v>476</v>
      </c>
      <c r="AH21" s="505">
        <v>0</v>
      </c>
      <c r="AI21" s="506">
        <v>37</v>
      </c>
    </row>
    <row r="22" spans="1:37" ht="21.95" customHeight="1" x14ac:dyDescent="0.2">
      <c r="A22" s="501"/>
      <c r="B22" s="152"/>
      <c r="C22" s="503"/>
      <c r="D22" s="503"/>
      <c r="E22" s="503"/>
      <c r="F22" s="503"/>
      <c r="G22" s="503"/>
      <c r="H22" s="503"/>
      <c r="I22" s="503"/>
      <c r="J22" s="503"/>
      <c r="K22" s="503"/>
      <c r="L22" s="503"/>
      <c r="M22" s="503"/>
      <c r="N22" s="503"/>
      <c r="O22" s="503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22"/>
      <c r="AI22" s="523"/>
    </row>
    <row r="23" spans="1:37" ht="21.95" customHeight="1" x14ac:dyDescent="0.2">
      <c r="A23" s="524"/>
      <c r="C23" s="525"/>
      <c r="D23" s="525"/>
      <c r="E23" s="525"/>
      <c r="F23" s="525"/>
      <c r="G23" s="525"/>
      <c r="H23" s="525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  <c r="T23" s="525"/>
      <c r="U23" s="525"/>
      <c r="V23" s="525"/>
      <c r="W23" s="525"/>
      <c r="X23" s="525"/>
      <c r="Y23" s="525"/>
      <c r="Z23" s="525"/>
      <c r="AA23" s="525"/>
      <c r="AB23" s="525"/>
      <c r="AC23" s="525"/>
      <c r="AD23" s="525"/>
      <c r="AE23" s="525"/>
      <c r="AF23" s="525"/>
      <c r="AG23" s="525"/>
    </row>
    <row r="24" spans="1:37" ht="21.95" customHeight="1" x14ac:dyDescent="0.2">
      <c r="A24" s="524"/>
      <c r="C24" s="525"/>
      <c r="D24" s="525"/>
      <c r="E24" s="525"/>
      <c r="F24" s="525"/>
      <c r="G24" s="525"/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  <c r="U24" s="525"/>
      <c r="V24" s="525"/>
      <c r="W24" s="525"/>
      <c r="X24" s="525"/>
      <c r="Y24" s="525"/>
      <c r="Z24" s="525"/>
      <c r="AA24" s="525"/>
      <c r="AB24" s="525"/>
      <c r="AC24" s="525"/>
      <c r="AD24" s="525"/>
      <c r="AE24" s="525"/>
      <c r="AF24" s="525"/>
      <c r="AG24" s="525"/>
    </row>
    <row r="25" spans="1:37" ht="21.95" customHeight="1" x14ac:dyDescent="0.2">
      <c r="A25" s="524"/>
      <c r="C25" s="525"/>
      <c r="D25" s="525"/>
      <c r="E25" s="525"/>
      <c r="F25" s="525"/>
      <c r="G25" s="525"/>
      <c r="H25" s="525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5"/>
      <c r="AA25" s="525"/>
      <c r="AB25" s="525"/>
      <c r="AC25" s="525"/>
      <c r="AD25" s="525"/>
      <c r="AE25" s="525"/>
      <c r="AF25" s="525"/>
      <c r="AG25" s="525"/>
    </row>
    <row r="26" spans="1:37" ht="21.95" customHeight="1" x14ac:dyDescent="0.2">
      <c r="A26" s="524"/>
      <c r="C26" s="525"/>
      <c r="D26" s="525"/>
      <c r="E26" s="525"/>
      <c r="F26" s="525"/>
      <c r="G26" s="525"/>
      <c r="H26" s="525"/>
      <c r="I26" s="525"/>
      <c r="J26" s="525"/>
      <c r="K26" s="525"/>
      <c r="L26" s="525"/>
      <c r="M26" s="525"/>
      <c r="N26" s="525"/>
      <c r="O26" s="525"/>
      <c r="P26" s="525"/>
      <c r="Q26" s="525"/>
      <c r="R26" s="525"/>
      <c r="S26" s="525"/>
      <c r="T26" s="525"/>
      <c r="U26" s="525"/>
      <c r="V26" s="525"/>
      <c r="W26" s="525"/>
      <c r="X26" s="525"/>
      <c r="Y26" s="525"/>
      <c r="Z26" s="525"/>
      <c r="AA26" s="525"/>
      <c r="AB26" s="525"/>
      <c r="AC26" s="525"/>
      <c r="AD26" s="525"/>
      <c r="AE26" s="525"/>
      <c r="AF26" s="525"/>
      <c r="AG26" s="525"/>
    </row>
    <row r="27" spans="1:37" ht="21.95" customHeight="1" x14ac:dyDescent="0.2">
      <c r="A27" s="524"/>
      <c r="C27" s="525"/>
      <c r="D27" s="525"/>
      <c r="E27" s="525"/>
      <c r="F27" s="525"/>
      <c r="G27" s="525"/>
      <c r="H27" s="525"/>
      <c r="I27" s="525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</row>
    <row r="28" spans="1:37" ht="21.95" customHeight="1" x14ac:dyDescent="0.2">
      <c r="A28" s="524"/>
      <c r="C28" s="525"/>
      <c r="D28" s="525"/>
      <c r="E28" s="525"/>
      <c r="F28" s="525"/>
      <c r="G28" s="525"/>
      <c r="H28" s="525"/>
      <c r="I28" s="525"/>
      <c r="J28" s="525"/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</row>
    <row r="29" spans="1:37" ht="21.95" customHeight="1" x14ac:dyDescent="0.2">
      <c r="A29" s="524"/>
      <c r="C29" s="525"/>
      <c r="D29" s="525"/>
      <c r="E29" s="525"/>
      <c r="F29" s="525"/>
      <c r="G29" s="525"/>
      <c r="H29" s="525"/>
      <c r="I29" s="525"/>
      <c r="J29" s="525"/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</row>
    <row r="30" spans="1:37" ht="21.95" customHeight="1" x14ac:dyDescent="0.2">
      <c r="A30" s="1" t="s">
        <v>485</v>
      </c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360"/>
      <c r="AF30" s="360"/>
      <c r="AG30" s="360"/>
      <c r="AK30" s="1"/>
    </row>
    <row r="31" spans="1:37" ht="21.95" customHeight="1" x14ac:dyDescent="0.2">
      <c r="A31" s="204" t="s">
        <v>486</v>
      </c>
      <c r="B31" s="526"/>
      <c r="C31" s="526"/>
      <c r="D31" s="424" t="s">
        <v>487</v>
      </c>
      <c r="E31" s="527"/>
      <c r="F31" s="527"/>
      <c r="G31" s="527"/>
      <c r="H31" s="527"/>
      <c r="I31" s="527"/>
      <c r="J31" s="527"/>
      <c r="K31" s="527"/>
      <c r="L31" s="527"/>
      <c r="M31" s="27" t="s">
        <v>706</v>
      </c>
      <c r="N31" s="527"/>
      <c r="O31" s="527"/>
      <c r="P31" s="527"/>
      <c r="Q31" s="527"/>
      <c r="R31" s="527"/>
      <c r="S31" s="529"/>
      <c r="T31" s="529" t="s">
        <v>707</v>
      </c>
      <c r="U31" s="527"/>
      <c r="V31" s="527"/>
      <c r="W31" s="527"/>
      <c r="X31" s="527"/>
      <c r="Y31" s="527"/>
      <c r="Z31" s="237"/>
      <c r="AA31" s="530" t="s">
        <v>490</v>
      </c>
      <c r="AB31" s="51"/>
      <c r="AC31" s="51"/>
      <c r="AD31" s="51"/>
      <c r="AE31" s="51"/>
      <c r="AF31" s="51"/>
      <c r="AG31" s="531"/>
      <c r="AK31" s="1"/>
    </row>
    <row r="32" spans="1:37" ht="21.95" customHeight="1" x14ac:dyDescent="0.25">
      <c r="A32" s="532" t="s">
        <v>491</v>
      </c>
      <c r="B32" s="134"/>
      <c r="C32" s="134"/>
      <c r="D32" s="494" t="s">
        <v>492</v>
      </c>
      <c r="E32" s="490"/>
      <c r="F32" s="156"/>
      <c r="G32" s="156"/>
      <c r="H32" s="156"/>
      <c r="I32" s="156"/>
      <c r="J32" s="156"/>
      <c r="K32" s="156"/>
      <c r="L32" s="488"/>
      <c r="M32" s="533" t="s">
        <v>493</v>
      </c>
      <c r="N32" s="134"/>
      <c r="O32" s="534"/>
      <c r="P32" s="134"/>
      <c r="Q32" s="134"/>
      <c r="R32" s="134"/>
      <c r="S32" s="535"/>
      <c r="T32" s="494" t="s">
        <v>494</v>
      </c>
      <c r="U32" s="156"/>
      <c r="V32" s="490"/>
      <c r="W32" s="156"/>
      <c r="X32" s="156"/>
      <c r="Y32" s="156"/>
      <c r="Z32" s="488"/>
      <c r="AA32" s="1" t="s">
        <v>495</v>
      </c>
      <c r="AD32" s="495"/>
      <c r="AG32" s="536"/>
      <c r="AK32" s="1"/>
    </row>
    <row r="33" spans="1:37" ht="21.95" customHeight="1" x14ac:dyDescent="0.25">
      <c r="A33" s="537" t="s">
        <v>496</v>
      </c>
      <c r="B33" s="156"/>
      <c r="C33" s="156"/>
      <c r="D33" s="156"/>
      <c r="E33" s="156"/>
      <c r="F33" s="156"/>
      <c r="G33" s="488"/>
      <c r="H33" s="494" t="s">
        <v>497</v>
      </c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55"/>
      <c r="U33" s="538" t="s">
        <v>498</v>
      </c>
      <c r="AA33" s="534"/>
      <c r="AB33" s="134"/>
      <c r="AC33" s="134"/>
      <c r="AD33" s="134"/>
      <c r="AE33" s="134"/>
      <c r="AF33" s="134"/>
      <c r="AG33" s="539"/>
      <c r="AK33" s="311"/>
    </row>
    <row r="34" spans="1:37" ht="21.95" customHeight="1" x14ac:dyDescent="0.25">
      <c r="A34" s="540" t="s">
        <v>499</v>
      </c>
      <c r="B34" s="53"/>
      <c r="C34" s="53"/>
      <c r="D34" s="53"/>
      <c r="E34" s="53"/>
      <c r="F34" s="53"/>
      <c r="G34" s="541"/>
      <c r="H34" s="542" t="s">
        <v>500</v>
      </c>
      <c r="I34" s="541"/>
      <c r="J34" s="53"/>
      <c r="K34" s="53"/>
      <c r="L34" s="53"/>
      <c r="M34" s="53"/>
      <c r="N34" s="53"/>
      <c r="O34" s="53"/>
      <c r="P34" s="53"/>
      <c r="Q34" s="543"/>
      <c r="R34" s="543"/>
      <c r="S34" s="543"/>
      <c r="T34" s="53"/>
      <c r="U34" s="542" t="s">
        <v>501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44"/>
      <c r="AK34" s="1"/>
    </row>
    <row r="35" spans="1:37" ht="21.95" customHeight="1" x14ac:dyDescent="0.2">
      <c r="B35" s="545" t="s">
        <v>467</v>
      </c>
      <c r="C35" s="546"/>
      <c r="D35" s="546"/>
      <c r="E35" s="546"/>
      <c r="F35" s="546"/>
      <c r="G35" s="546"/>
      <c r="H35" s="546"/>
      <c r="I35" s="546"/>
      <c r="J35" s="546"/>
      <c r="K35" s="546"/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1"/>
    </row>
    <row r="36" spans="1:37" ht="21.95" customHeight="1" thickBot="1" x14ac:dyDescent="0.25">
      <c r="A36" s="547" t="s">
        <v>468</v>
      </c>
      <c r="B36" s="181" t="s">
        <v>469</v>
      </c>
      <c r="C36" s="177">
        <v>1</v>
      </c>
      <c r="D36" s="177">
        <v>2</v>
      </c>
      <c r="E36" s="497">
        <v>3</v>
      </c>
      <c r="F36" s="497">
        <v>4</v>
      </c>
      <c r="G36" s="177">
        <v>5</v>
      </c>
      <c r="H36" s="177">
        <v>6</v>
      </c>
      <c r="I36" s="177">
        <v>7</v>
      </c>
      <c r="J36" s="177">
        <v>8</v>
      </c>
      <c r="K36" s="177">
        <v>9</v>
      </c>
      <c r="L36" s="497">
        <v>10</v>
      </c>
      <c r="M36" s="497">
        <v>11</v>
      </c>
      <c r="N36" s="177">
        <v>12</v>
      </c>
      <c r="O36" s="177">
        <v>13</v>
      </c>
      <c r="P36" s="177">
        <v>14</v>
      </c>
      <c r="Q36" s="177">
        <v>15</v>
      </c>
      <c r="R36" s="177">
        <v>16</v>
      </c>
      <c r="S36" s="497">
        <v>17</v>
      </c>
      <c r="T36" s="497">
        <v>18</v>
      </c>
      <c r="U36" s="177">
        <v>19</v>
      </c>
      <c r="V36" s="177">
        <v>20</v>
      </c>
      <c r="W36" s="177">
        <v>21</v>
      </c>
      <c r="X36" s="177">
        <v>22</v>
      </c>
      <c r="Y36" s="177">
        <v>23</v>
      </c>
      <c r="Z36" s="497">
        <v>24</v>
      </c>
      <c r="AA36" s="497">
        <v>25</v>
      </c>
      <c r="AB36" s="177">
        <v>26</v>
      </c>
      <c r="AC36" s="177">
        <v>27</v>
      </c>
      <c r="AD36" s="177">
        <v>28</v>
      </c>
      <c r="AE36" s="177">
        <v>29</v>
      </c>
      <c r="AF36" s="177">
        <v>30</v>
      </c>
      <c r="AG36" s="497">
        <v>31</v>
      </c>
      <c r="AH36" s="499" t="s">
        <v>470</v>
      </c>
      <c r="AI36" s="500" t="s">
        <v>471</v>
      </c>
    </row>
    <row r="37" spans="1:37" ht="21.95" customHeight="1" x14ac:dyDescent="0.2">
      <c r="A37" s="548">
        <v>1</v>
      </c>
      <c r="B37" s="45" t="s">
        <v>502</v>
      </c>
      <c r="C37" s="549">
        <v>3</v>
      </c>
      <c r="D37" s="549">
        <v>3</v>
      </c>
      <c r="E37" s="549"/>
      <c r="F37" s="549"/>
      <c r="G37" s="549">
        <v>11</v>
      </c>
      <c r="H37" s="549">
        <v>11</v>
      </c>
      <c r="I37" s="549">
        <v>11</v>
      </c>
      <c r="J37" s="549">
        <v>11</v>
      </c>
      <c r="K37" s="549">
        <v>11</v>
      </c>
      <c r="L37" s="549" t="s">
        <v>503</v>
      </c>
      <c r="M37" s="549" t="s">
        <v>503</v>
      </c>
      <c r="N37" s="549" t="s">
        <v>475</v>
      </c>
      <c r="O37" s="549" t="s">
        <v>475</v>
      </c>
      <c r="P37" s="549" t="s">
        <v>475</v>
      </c>
      <c r="Q37" s="549" t="s">
        <v>475</v>
      </c>
      <c r="R37" s="549" t="s">
        <v>475</v>
      </c>
      <c r="S37" s="549"/>
      <c r="T37" s="549"/>
      <c r="U37" s="549">
        <v>8</v>
      </c>
      <c r="V37" s="549">
        <v>8</v>
      </c>
      <c r="W37" s="549">
        <v>8</v>
      </c>
      <c r="X37" s="1520">
        <v>8</v>
      </c>
      <c r="Y37" s="1520">
        <v>8</v>
      </c>
      <c r="Z37" s="1520" t="s">
        <v>504</v>
      </c>
      <c r="AA37" s="1520" t="s">
        <v>753</v>
      </c>
      <c r="AB37" s="553" t="s">
        <v>475</v>
      </c>
      <c r="AC37" s="549" t="s">
        <v>475</v>
      </c>
      <c r="AD37" s="549" t="s">
        <v>475</v>
      </c>
      <c r="AE37" s="549" t="s">
        <v>475</v>
      </c>
      <c r="AF37" s="549" t="s">
        <v>475</v>
      </c>
      <c r="AG37" s="550"/>
      <c r="AH37" s="505">
        <v>34</v>
      </c>
      <c r="AI37" s="506">
        <v>37</v>
      </c>
    </row>
    <row r="38" spans="1:37" ht="21.95" customHeight="1" x14ac:dyDescent="0.2">
      <c r="A38" s="551">
        <v>6</v>
      </c>
      <c r="B38" s="552" t="s">
        <v>506</v>
      </c>
      <c r="C38" s="1523">
        <v>1</v>
      </c>
      <c r="D38" s="553" t="s">
        <v>552</v>
      </c>
      <c r="E38" s="553"/>
      <c r="F38" s="553"/>
      <c r="G38" s="1560">
        <v>9</v>
      </c>
      <c r="H38" s="1560">
        <v>9</v>
      </c>
      <c r="I38" s="1560">
        <v>9</v>
      </c>
      <c r="J38" s="1687">
        <v>9</v>
      </c>
      <c r="K38" s="1687">
        <v>9</v>
      </c>
      <c r="L38" s="1687" t="s">
        <v>511</v>
      </c>
      <c r="M38" s="1687" t="s">
        <v>507</v>
      </c>
      <c r="N38" s="553" t="s">
        <v>475</v>
      </c>
      <c r="O38" s="553" t="s">
        <v>475</v>
      </c>
      <c r="P38" s="553" t="s">
        <v>475</v>
      </c>
      <c r="Q38" s="553" t="s">
        <v>475</v>
      </c>
      <c r="R38" s="553" t="s">
        <v>475</v>
      </c>
      <c r="S38" s="553"/>
      <c r="T38" s="553"/>
      <c r="U38" s="1511">
        <v>6</v>
      </c>
      <c r="V38" s="553">
        <v>6</v>
      </c>
      <c r="W38" s="553">
        <v>6</v>
      </c>
      <c r="X38" s="553">
        <v>6</v>
      </c>
      <c r="Y38" s="1560">
        <v>6</v>
      </c>
      <c r="Z38" s="553" t="s">
        <v>508</v>
      </c>
      <c r="AA38" s="553" t="s">
        <v>504</v>
      </c>
      <c r="AB38" s="553" t="s">
        <v>475</v>
      </c>
      <c r="AC38" s="553" t="s">
        <v>475</v>
      </c>
      <c r="AD38" s="553" t="s">
        <v>475</v>
      </c>
      <c r="AE38" s="553" t="s">
        <v>475</v>
      </c>
      <c r="AF38" s="553" t="s">
        <v>475</v>
      </c>
      <c r="AG38" s="554"/>
      <c r="AH38" s="505">
        <v>4.5</v>
      </c>
      <c r="AI38" s="506">
        <v>37</v>
      </c>
    </row>
    <row r="39" spans="1:37" ht="21.95" customHeight="1" thickBot="1" x14ac:dyDescent="0.25">
      <c r="A39" s="555">
        <v>11</v>
      </c>
      <c r="B39" s="552" t="s">
        <v>589</v>
      </c>
      <c r="C39" s="557">
        <v>5</v>
      </c>
      <c r="D39" s="553" t="s">
        <v>552</v>
      </c>
      <c r="E39" s="557"/>
      <c r="F39" s="557"/>
      <c r="G39" s="557">
        <v>10</v>
      </c>
      <c r="H39" s="557">
        <v>10</v>
      </c>
      <c r="I39" s="557">
        <v>10</v>
      </c>
      <c r="J39" s="557">
        <v>10</v>
      </c>
      <c r="K39" s="557">
        <v>10</v>
      </c>
      <c r="L39" s="557" t="s">
        <v>507</v>
      </c>
      <c r="M39" s="557" t="s">
        <v>507</v>
      </c>
      <c r="N39" s="557" t="s">
        <v>475</v>
      </c>
      <c r="O39" s="557" t="s">
        <v>475</v>
      </c>
      <c r="P39" s="557" t="s">
        <v>475</v>
      </c>
      <c r="Q39" s="557" t="s">
        <v>475</v>
      </c>
      <c r="R39" s="557" t="s">
        <v>475</v>
      </c>
      <c r="S39" s="1629" t="s">
        <v>505</v>
      </c>
      <c r="T39" s="1629" t="s">
        <v>505</v>
      </c>
      <c r="U39" s="557">
        <v>7</v>
      </c>
      <c r="V39" s="557">
        <v>7</v>
      </c>
      <c r="W39" s="557">
        <v>7</v>
      </c>
      <c r="X39" s="557">
        <v>7</v>
      </c>
      <c r="Y39" s="557">
        <v>7</v>
      </c>
      <c r="Z39" s="557"/>
      <c r="AA39" s="1690" t="s">
        <v>504</v>
      </c>
      <c r="AB39" s="1667">
        <v>4</v>
      </c>
      <c r="AC39" s="1667">
        <v>4</v>
      </c>
      <c r="AD39" s="1667">
        <v>4</v>
      </c>
      <c r="AE39" s="1667">
        <v>4</v>
      </c>
      <c r="AF39" s="1667">
        <v>4</v>
      </c>
      <c r="AG39" s="558"/>
      <c r="AH39" s="505">
        <v>4</v>
      </c>
      <c r="AI39" s="506">
        <v>37</v>
      </c>
    </row>
    <row r="40" spans="1:37" ht="21.95" customHeight="1" x14ac:dyDescent="0.2">
      <c r="A40" s="548">
        <v>2</v>
      </c>
      <c r="B40" s="45" t="s">
        <v>510</v>
      </c>
      <c r="C40" s="549">
        <v>11</v>
      </c>
      <c r="D40" s="549">
        <v>11</v>
      </c>
      <c r="E40" s="549" t="s">
        <v>503</v>
      </c>
      <c r="F40" s="1637" t="s">
        <v>503</v>
      </c>
      <c r="G40" s="1635" t="s">
        <v>475</v>
      </c>
      <c r="H40" s="549" t="s">
        <v>475</v>
      </c>
      <c r="I40" s="549" t="s">
        <v>475</v>
      </c>
      <c r="J40" s="549" t="s">
        <v>475</v>
      </c>
      <c r="K40" s="549" t="s">
        <v>475</v>
      </c>
      <c r="L40" s="549"/>
      <c r="M40" s="549"/>
      <c r="N40" s="1636">
        <v>8</v>
      </c>
      <c r="O40" s="549">
        <v>8</v>
      </c>
      <c r="P40" s="549">
        <v>8</v>
      </c>
      <c r="Q40" s="553">
        <v>8</v>
      </c>
      <c r="R40" s="549">
        <v>8</v>
      </c>
      <c r="S40" s="549" t="s">
        <v>504</v>
      </c>
      <c r="T40" s="549" t="s">
        <v>504</v>
      </c>
      <c r="U40" s="1635" t="s">
        <v>475</v>
      </c>
      <c r="V40" s="549" t="s">
        <v>475</v>
      </c>
      <c r="W40" s="549" t="s">
        <v>475</v>
      </c>
      <c r="X40" s="549" t="s">
        <v>475</v>
      </c>
      <c r="Y40" s="549" t="s">
        <v>475</v>
      </c>
      <c r="Z40" s="549"/>
      <c r="AA40" s="549"/>
      <c r="AB40" s="1636">
        <v>1</v>
      </c>
      <c r="AC40" s="559">
        <v>1</v>
      </c>
      <c r="AD40" s="559">
        <v>1</v>
      </c>
      <c r="AE40" s="549">
        <v>1</v>
      </c>
      <c r="AF40" s="549">
        <v>1</v>
      </c>
      <c r="AG40" s="550"/>
      <c r="AH40" s="696">
        <v>4</v>
      </c>
      <c r="AI40" s="506">
        <v>37</v>
      </c>
    </row>
    <row r="41" spans="1:37" ht="21.95" customHeight="1" thickBot="1" x14ac:dyDescent="0.25">
      <c r="A41" s="551">
        <v>7</v>
      </c>
      <c r="B41" s="152" t="s">
        <v>512</v>
      </c>
      <c r="C41" s="553">
        <v>9</v>
      </c>
      <c r="D41" s="553">
        <v>9</v>
      </c>
      <c r="E41" s="553" t="s">
        <v>511</v>
      </c>
      <c r="F41" s="553" t="s">
        <v>507</v>
      </c>
      <c r="G41" s="553" t="s">
        <v>475</v>
      </c>
      <c r="H41" s="553" t="s">
        <v>475</v>
      </c>
      <c r="I41" s="553" t="s">
        <v>475</v>
      </c>
      <c r="J41" s="553" t="s">
        <v>475</v>
      </c>
      <c r="K41" s="553" t="s">
        <v>475</v>
      </c>
      <c r="L41" s="553"/>
      <c r="M41" s="553"/>
      <c r="N41" s="553">
        <v>6</v>
      </c>
      <c r="O41" s="553">
        <v>6</v>
      </c>
      <c r="P41" s="553">
        <v>6</v>
      </c>
      <c r="Q41" s="553">
        <v>6</v>
      </c>
      <c r="R41" s="553">
        <v>6</v>
      </c>
      <c r="S41" s="553" t="s">
        <v>508</v>
      </c>
      <c r="T41" s="553" t="s">
        <v>504</v>
      </c>
      <c r="U41" s="553" t="s">
        <v>475</v>
      </c>
      <c r="V41" s="553" t="s">
        <v>475</v>
      </c>
      <c r="W41" s="553" t="s">
        <v>475</v>
      </c>
      <c r="X41" s="553" t="s">
        <v>475</v>
      </c>
      <c r="Y41" s="553" t="s">
        <v>475</v>
      </c>
      <c r="Z41" s="553"/>
      <c r="AA41" s="553"/>
      <c r="AB41" s="1064">
        <v>5</v>
      </c>
      <c r="AC41" s="1064">
        <v>5</v>
      </c>
      <c r="AD41" s="1064">
        <v>5</v>
      </c>
      <c r="AE41" s="1064">
        <v>5</v>
      </c>
      <c r="AF41" s="1064">
        <v>5</v>
      </c>
      <c r="AG41" s="1065"/>
      <c r="AH41" s="505">
        <v>0</v>
      </c>
      <c r="AI41" s="506">
        <v>16</v>
      </c>
    </row>
    <row r="42" spans="1:37" ht="21.95" customHeight="1" thickBot="1" x14ac:dyDescent="0.25">
      <c r="A42" s="555">
        <v>12</v>
      </c>
      <c r="B42" s="560" t="s">
        <v>514</v>
      </c>
      <c r="C42" s="557">
        <v>10</v>
      </c>
      <c r="D42" s="557">
        <v>10</v>
      </c>
      <c r="E42" s="557" t="s">
        <v>507</v>
      </c>
      <c r="F42" s="557" t="s">
        <v>507</v>
      </c>
      <c r="G42" s="557" t="s">
        <v>475</v>
      </c>
      <c r="H42" s="557" t="s">
        <v>475</v>
      </c>
      <c r="I42" s="557" t="s">
        <v>475</v>
      </c>
      <c r="J42" s="557" t="s">
        <v>475</v>
      </c>
      <c r="K42" s="557" t="s">
        <v>475</v>
      </c>
      <c r="L42" s="557" t="s">
        <v>505</v>
      </c>
      <c r="M42" s="557" t="s">
        <v>505</v>
      </c>
      <c r="N42" s="557">
        <v>7</v>
      </c>
      <c r="O42" s="557">
        <v>7</v>
      </c>
      <c r="P42" s="557">
        <v>7</v>
      </c>
      <c r="Q42" s="557">
        <v>7</v>
      </c>
      <c r="R42" s="549">
        <v>7</v>
      </c>
      <c r="S42" s="557"/>
      <c r="T42" s="557"/>
      <c r="U42" s="557">
        <v>4</v>
      </c>
      <c r="V42" s="557">
        <v>4</v>
      </c>
      <c r="W42" s="557">
        <v>4</v>
      </c>
      <c r="X42" s="557">
        <v>4</v>
      </c>
      <c r="Y42" s="557">
        <v>4</v>
      </c>
      <c r="Z42" s="557"/>
      <c r="AA42" s="557"/>
      <c r="AB42" s="557">
        <v>3</v>
      </c>
      <c r="AC42" s="557">
        <v>3</v>
      </c>
      <c r="AD42" s="557">
        <v>3</v>
      </c>
      <c r="AE42" s="557">
        <v>3</v>
      </c>
      <c r="AF42" s="557">
        <v>3</v>
      </c>
      <c r="AG42" s="558"/>
      <c r="AH42" s="696">
        <v>0</v>
      </c>
      <c r="AI42" s="506">
        <v>18</v>
      </c>
    </row>
    <row r="43" spans="1:37" ht="21.95" customHeight="1" x14ac:dyDescent="0.2">
      <c r="A43" s="561">
        <v>3</v>
      </c>
      <c r="B43" s="562" t="s">
        <v>515</v>
      </c>
      <c r="C43" s="514" t="s">
        <v>475</v>
      </c>
      <c r="D43" s="514" t="s">
        <v>475</v>
      </c>
      <c r="E43" s="514"/>
      <c r="F43" s="514"/>
      <c r="G43" s="1066">
        <v>8</v>
      </c>
      <c r="H43" s="1066">
        <v>8</v>
      </c>
      <c r="I43" s="1066">
        <v>8</v>
      </c>
      <c r="J43" s="1066">
        <v>8</v>
      </c>
      <c r="K43" s="1066">
        <v>8</v>
      </c>
      <c r="L43" s="1066" t="s">
        <v>504</v>
      </c>
      <c r="M43" s="1066" t="s">
        <v>504</v>
      </c>
      <c r="N43" s="514" t="s">
        <v>475</v>
      </c>
      <c r="O43" s="514" t="s">
        <v>475</v>
      </c>
      <c r="P43" s="514" t="s">
        <v>475</v>
      </c>
      <c r="Q43" s="514" t="s">
        <v>475</v>
      </c>
      <c r="R43" s="563" t="s">
        <v>475</v>
      </c>
      <c r="S43" s="514"/>
      <c r="T43" s="514"/>
      <c r="U43" s="514">
        <v>1</v>
      </c>
      <c r="V43" s="514">
        <v>1</v>
      </c>
      <c r="W43" s="514">
        <v>1</v>
      </c>
      <c r="X43" s="514">
        <v>1</v>
      </c>
      <c r="Y43" s="1518">
        <v>1</v>
      </c>
      <c r="Z43" s="514"/>
      <c r="AA43" s="514"/>
      <c r="AB43" s="1066">
        <v>9</v>
      </c>
      <c r="AC43" s="1066">
        <v>9</v>
      </c>
      <c r="AD43" s="1066">
        <v>9</v>
      </c>
      <c r="AE43" s="1066">
        <v>9</v>
      </c>
      <c r="AF43" s="1066">
        <v>9</v>
      </c>
      <c r="AG43" s="1067" t="s">
        <v>511</v>
      </c>
      <c r="AH43" s="505">
        <v>1</v>
      </c>
      <c r="AI43" s="506">
        <v>37</v>
      </c>
    </row>
    <row r="44" spans="1:37" ht="21.95" customHeight="1" x14ac:dyDescent="0.2">
      <c r="A44" s="551">
        <v>8</v>
      </c>
      <c r="B44" s="318" t="s">
        <v>516</v>
      </c>
      <c r="C44" s="553" t="s">
        <v>475</v>
      </c>
      <c r="D44" s="553" t="s">
        <v>475</v>
      </c>
      <c r="E44" s="553"/>
      <c r="F44" s="553"/>
      <c r="G44" s="525">
        <v>6</v>
      </c>
      <c r="H44" s="553">
        <v>6</v>
      </c>
      <c r="I44" s="1515">
        <v>6</v>
      </c>
      <c r="J44" s="1515">
        <v>6</v>
      </c>
      <c r="K44" s="1515">
        <v>6</v>
      </c>
      <c r="L44" s="1515" t="s">
        <v>508</v>
      </c>
      <c r="M44" s="1515" t="s">
        <v>753</v>
      </c>
      <c r="N44" s="553" t="s">
        <v>475</v>
      </c>
      <c r="O44" s="553" t="s">
        <v>475</v>
      </c>
      <c r="P44" s="553" t="s">
        <v>475</v>
      </c>
      <c r="Q44" s="565" t="s">
        <v>475</v>
      </c>
      <c r="R44" s="553" t="s">
        <v>475</v>
      </c>
      <c r="S44" s="566"/>
      <c r="T44" s="553"/>
      <c r="U44" s="553">
        <v>5</v>
      </c>
      <c r="V44" s="553">
        <v>5</v>
      </c>
      <c r="W44" s="553">
        <v>5</v>
      </c>
      <c r="X44" s="553">
        <v>5</v>
      </c>
      <c r="Y44" s="553">
        <v>6</v>
      </c>
      <c r="Z44" s="553"/>
      <c r="AA44" s="553"/>
      <c r="AB44" s="553">
        <v>10</v>
      </c>
      <c r="AC44" s="553">
        <v>10</v>
      </c>
      <c r="AD44" s="553">
        <v>10</v>
      </c>
      <c r="AE44" s="1523">
        <v>10</v>
      </c>
      <c r="AF44" s="553">
        <v>10</v>
      </c>
      <c r="AG44" s="554" t="s">
        <v>507</v>
      </c>
      <c r="AH44" s="505">
        <v>0</v>
      </c>
      <c r="AI44" s="506">
        <v>0</v>
      </c>
    </row>
    <row r="45" spans="1:37" ht="21.95" customHeight="1" x14ac:dyDescent="0.2">
      <c r="A45" s="555">
        <v>13</v>
      </c>
      <c r="B45" s="52" t="s">
        <v>517</v>
      </c>
      <c r="C45" s="557" t="s">
        <v>475</v>
      </c>
      <c r="D45" s="557" t="s">
        <v>475</v>
      </c>
      <c r="E45" s="557" t="s">
        <v>505</v>
      </c>
      <c r="F45" s="557" t="s">
        <v>505</v>
      </c>
      <c r="G45" s="557">
        <v>7</v>
      </c>
      <c r="H45" s="557">
        <v>7</v>
      </c>
      <c r="I45" s="557">
        <v>7</v>
      </c>
      <c r="J45" s="557">
        <v>7</v>
      </c>
      <c r="K45" s="557">
        <v>7</v>
      </c>
      <c r="L45" s="557"/>
      <c r="M45" s="557"/>
      <c r="N45" s="557">
        <v>4</v>
      </c>
      <c r="O45" s="557">
        <v>4</v>
      </c>
      <c r="P45" s="557">
        <v>4</v>
      </c>
      <c r="Q45" s="557">
        <v>4</v>
      </c>
      <c r="R45" s="567">
        <v>4</v>
      </c>
      <c r="S45" s="557"/>
      <c r="T45" s="557"/>
      <c r="U45" s="557">
        <v>3</v>
      </c>
      <c r="V45" s="557">
        <v>3</v>
      </c>
      <c r="W45" s="557">
        <v>3</v>
      </c>
      <c r="X45" s="557">
        <v>3</v>
      </c>
      <c r="Y45" s="557">
        <v>3</v>
      </c>
      <c r="Z45" s="557"/>
      <c r="AA45" s="557"/>
      <c r="AB45" s="557">
        <v>11</v>
      </c>
      <c r="AC45" s="557">
        <v>11</v>
      </c>
      <c r="AD45" s="557">
        <v>11</v>
      </c>
      <c r="AE45" s="557">
        <v>11</v>
      </c>
      <c r="AF45" s="557">
        <v>11</v>
      </c>
      <c r="AG45" s="1673" t="s">
        <v>503</v>
      </c>
      <c r="AH45" s="505">
        <v>56</v>
      </c>
      <c r="AI45" s="506">
        <v>37</v>
      </c>
    </row>
    <row r="46" spans="1:37" ht="21.95" customHeight="1" x14ac:dyDescent="0.2">
      <c r="A46" s="561">
        <v>4</v>
      </c>
      <c r="B46" s="318" t="s">
        <v>518</v>
      </c>
      <c r="C46" s="514">
        <v>8</v>
      </c>
      <c r="D46" s="514">
        <v>8</v>
      </c>
      <c r="E46" s="514" t="s">
        <v>504</v>
      </c>
      <c r="F46" s="514" t="s">
        <v>504</v>
      </c>
      <c r="G46" s="514" t="s">
        <v>475</v>
      </c>
      <c r="H46" s="514" t="s">
        <v>475</v>
      </c>
      <c r="I46" s="514" t="s">
        <v>475</v>
      </c>
      <c r="J46" s="514" t="s">
        <v>475</v>
      </c>
      <c r="K46" s="514" t="s">
        <v>475</v>
      </c>
      <c r="L46" s="514"/>
      <c r="M46" s="514"/>
      <c r="N46" s="1569">
        <v>1</v>
      </c>
      <c r="O46" s="1569">
        <v>1</v>
      </c>
      <c r="P46" s="1569">
        <v>1</v>
      </c>
      <c r="Q46" s="1569">
        <v>1</v>
      </c>
      <c r="R46" s="1569">
        <v>1</v>
      </c>
      <c r="S46" s="1569"/>
      <c r="T46" s="1569"/>
      <c r="U46" s="1569">
        <v>9</v>
      </c>
      <c r="V46" s="1569">
        <v>9</v>
      </c>
      <c r="W46" s="1569">
        <v>9</v>
      </c>
      <c r="X46" s="1569">
        <v>9</v>
      </c>
      <c r="Y46" s="1569">
        <v>9</v>
      </c>
      <c r="Z46" s="1569" t="s">
        <v>511</v>
      </c>
      <c r="AA46" s="1518" t="s">
        <v>507</v>
      </c>
      <c r="AB46" s="514" t="s">
        <v>475</v>
      </c>
      <c r="AC46" s="514" t="s">
        <v>475</v>
      </c>
      <c r="AD46" s="514" t="s">
        <v>475</v>
      </c>
      <c r="AE46" s="514" t="s">
        <v>475</v>
      </c>
      <c r="AF46" s="514" t="s">
        <v>475</v>
      </c>
      <c r="AG46" s="515"/>
      <c r="AH46" s="505">
        <v>0</v>
      </c>
      <c r="AI46" s="506">
        <v>0</v>
      </c>
    </row>
    <row r="47" spans="1:37" ht="21.95" customHeight="1" x14ac:dyDescent="0.2">
      <c r="A47" s="551">
        <v>9</v>
      </c>
      <c r="B47" s="318" t="s">
        <v>519</v>
      </c>
      <c r="C47" s="553">
        <v>6</v>
      </c>
      <c r="D47" s="553">
        <v>6</v>
      </c>
      <c r="E47" s="553" t="s">
        <v>508</v>
      </c>
      <c r="F47" s="553" t="s">
        <v>504</v>
      </c>
      <c r="G47" s="553" t="s">
        <v>475</v>
      </c>
      <c r="H47" s="553" t="s">
        <v>475</v>
      </c>
      <c r="I47" s="553" t="s">
        <v>475</v>
      </c>
      <c r="J47" s="553" t="s">
        <v>475</v>
      </c>
      <c r="K47" s="553" t="s">
        <v>475</v>
      </c>
      <c r="L47" s="553"/>
      <c r="M47" s="553"/>
      <c r="N47" s="553">
        <v>5</v>
      </c>
      <c r="O47" s="553">
        <v>5</v>
      </c>
      <c r="P47" s="553">
        <v>5</v>
      </c>
      <c r="Q47" s="553">
        <v>5</v>
      </c>
      <c r="R47" s="553">
        <v>5</v>
      </c>
      <c r="S47" s="553"/>
      <c r="T47" s="553"/>
      <c r="U47" s="553">
        <v>10</v>
      </c>
      <c r="V47" s="553">
        <v>10</v>
      </c>
      <c r="W47" s="553">
        <v>10</v>
      </c>
      <c r="X47" s="553">
        <v>10</v>
      </c>
      <c r="Y47" s="553">
        <v>10</v>
      </c>
      <c r="Z47" s="553" t="s">
        <v>507</v>
      </c>
      <c r="AA47" s="553" t="s">
        <v>507</v>
      </c>
      <c r="AB47" s="553" t="s">
        <v>475</v>
      </c>
      <c r="AC47" s="553" t="s">
        <v>475</v>
      </c>
      <c r="AD47" s="553" t="s">
        <v>475</v>
      </c>
      <c r="AE47" s="553" t="s">
        <v>475</v>
      </c>
      <c r="AF47" s="553" t="s">
        <v>475</v>
      </c>
      <c r="AG47" s="565" t="s">
        <v>505</v>
      </c>
      <c r="AH47" s="505">
        <v>1</v>
      </c>
      <c r="AI47" s="506">
        <v>37</v>
      </c>
    </row>
    <row r="48" spans="1:37" ht="21.95" customHeight="1" x14ac:dyDescent="0.2">
      <c r="A48" s="555">
        <v>14</v>
      </c>
      <c r="B48" s="560" t="s">
        <v>520</v>
      </c>
      <c r="C48" s="557">
        <v>7</v>
      </c>
      <c r="D48" s="557">
        <v>7</v>
      </c>
      <c r="E48" s="557"/>
      <c r="F48" s="557"/>
      <c r="G48" s="557">
        <v>4</v>
      </c>
      <c r="H48" s="557">
        <v>4</v>
      </c>
      <c r="I48" s="557">
        <v>4</v>
      </c>
      <c r="J48" s="557">
        <v>4</v>
      </c>
      <c r="K48" s="557">
        <v>4</v>
      </c>
      <c r="L48" s="1690" t="s">
        <v>508</v>
      </c>
      <c r="M48" s="1690" t="s">
        <v>504</v>
      </c>
      <c r="N48" s="1061">
        <v>3</v>
      </c>
      <c r="O48" s="1061">
        <v>3</v>
      </c>
      <c r="P48" s="1061">
        <v>3</v>
      </c>
      <c r="Q48" s="1061">
        <v>3</v>
      </c>
      <c r="R48" s="1061">
        <v>3</v>
      </c>
      <c r="S48" s="1061"/>
      <c r="T48" s="1061"/>
      <c r="U48" s="557">
        <v>11</v>
      </c>
      <c r="V48" s="557">
        <v>11</v>
      </c>
      <c r="W48" s="557">
        <v>11</v>
      </c>
      <c r="X48" s="557">
        <v>11</v>
      </c>
      <c r="Y48" s="557">
        <v>11</v>
      </c>
      <c r="Z48" s="557" t="s">
        <v>503</v>
      </c>
      <c r="AA48" s="557" t="s">
        <v>503</v>
      </c>
      <c r="AB48" s="557" t="s">
        <v>475</v>
      </c>
      <c r="AC48" s="557" t="s">
        <v>475</v>
      </c>
      <c r="AD48" s="557" t="s">
        <v>475</v>
      </c>
      <c r="AE48" s="557" t="s">
        <v>475</v>
      </c>
      <c r="AF48" s="557" t="s">
        <v>475</v>
      </c>
      <c r="AG48" s="568"/>
      <c r="AH48" s="505">
        <v>8</v>
      </c>
      <c r="AI48" s="506">
        <v>37</v>
      </c>
    </row>
    <row r="49" spans="1:35" ht="21.95" customHeight="1" x14ac:dyDescent="0.2">
      <c r="A49" s="548">
        <v>5</v>
      </c>
      <c r="B49" s="552" t="s">
        <v>521</v>
      </c>
      <c r="C49" s="549" t="s">
        <v>475</v>
      </c>
      <c r="D49" s="549" t="s">
        <v>475</v>
      </c>
      <c r="E49" s="549"/>
      <c r="F49" s="549"/>
      <c r="G49" s="549">
        <v>1</v>
      </c>
      <c r="H49" s="549">
        <v>1</v>
      </c>
      <c r="I49" s="549">
        <v>1</v>
      </c>
      <c r="J49" s="549">
        <v>1</v>
      </c>
      <c r="K49" s="549">
        <v>1</v>
      </c>
      <c r="L49" s="549"/>
      <c r="M49" s="549"/>
      <c r="N49" s="549">
        <v>9</v>
      </c>
      <c r="O49" s="549">
        <v>9</v>
      </c>
      <c r="P49" s="549">
        <v>9</v>
      </c>
      <c r="Q49" s="549">
        <v>9</v>
      </c>
      <c r="R49" s="549">
        <v>9</v>
      </c>
      <c r="S49" s="549" t="s">
        <v>511</v>
      </c>
      <c r="T49" s="549" t="s">
        <v>507</v>
      </c>
      <c r="U49" s="549" t="s">
        <v>475</v>
      </c>
      <c r="V49" s="549" t="s">
        <v>475</v>
      </c>
      <c r="W49" s="549" t="s">
        <v>475</v>
      </c>
      <c r="X49" s="549" t="s">
        <v>475</v>
      </c>
      <c r="Y49" s="549" t="s">
        <v>475</v>
      </c>
      <c r="Z49" s="549"/>
      <c r="AA49" s="549"/>
      <c r="AB49" s="549">
        <v>6</v>
      </c>
      <c r="AC49" s="549">
        <v>6</v>
      </c>
      <c r="AD49" s="549">
        <v>6</v>
      </c>
      <c r="AE49" s="569">
        <v>6</v>
      </c>
      <c r="AF49" s="549">
        <v>6</v>
      </c>
      <c r="AG49" s="569" t="s">
        <v>508</v>
      </c>
      <c r="AH49" s="505">
        <v>40</v>
      </c>
      <c r="AI49" s="506">
        <v>0</v>
      </c>
    </row>
    <row r="50" spans="1:35" ht="21.95" customHeight="1" x14ac:dyDescent="0.2">
      <c r="A50" s="551">
        <v>10</v>
      </c>
      <c r="B50" s="318" t="s">
        <v>523</v>
      </c>
      <c r="C50" s="553" t="s">
        <v>475</v>
      </c>
      <c r="D50" s="553" t="s">
        <v>475</v>
      </c>
      <c r="E50" s="553"/>
      <c r="F50" s="553"/>
      <c r="G50" s="553">
        <v>5</v>
      </c>
      <c r="H50" s="553">
        <v>5</v>
      </c>
      <c r="I50" s="553">
        <v>5</v>
      </c>
      <c r="J50" s="1087" t="s">
        <v>531</v>
      </c>
      <c r="K50" s="553">
        <v>5</v>
      </c>
      <c r="L50" s="553"/>
      <c r="M50" s="553"/>
      <c r="N50" s="1064">
        <v>10</v>
      </c>
      <c r="O50" s="1064">
        <v>10</v>
      </c>
      <c r="P50" s="1064">
        <v>10</v>
      </c>
      <c r="Q50" s="1064">
        <v>10</v>
      </c>
      <c r="R50" s="1064">
        <v>10</v>
      </c>
      <c r="S50" s="1064" t="s">
        <v>507</v>
      </c>
      <c r="T50" s="1064" t="s">
        <v>507</v>
      </c>
      <c r="U50" s="553" t="s">
        <v>475</v>
      </c>
      <c r="V50" s="553" t="s">
        <v>475</v>
      </c>
      <c r="W50" s="553" t="s">
        <v>475</v>
      </c>
      <c r="X50" s="553" t="s">
        <v>475</v>
      </c>
      <c r="Y50" s="553" t="s">
        <v>475</v>
      </c>
      <c r="Z50" s="553" t="s">
        <v>505</v>
      </c>
      <c r="AA50" s="553" t="s">
        <v>505</v>
      </c>
      <c r="AB50" s="553">
        <v>7</v>
      </c>
      <c r="AC50" s="553">
        <v>7</v>
      </c>
      <c r="AD50" s="553">
        <v>7</v>
      </c>
      <c r="AE50" s="565">
        <v>7</v>
      </c>
      <c r="AF50" s="553">
        <v>7</v>
      </c>
      <c r="AG50" s="565"/>
      <c r="AH50" s="505">
        <v>0</v>
      </c>
      <c r="AI50" s="506">
        <v>0</v>
      </c>
    </row>
    <row r="51" spans="1:35" ht="21.95" customHeight="1" x14ac:dyDescent="0.2">
      <c r="A51" s="555">
        <v>15</v>
      </c>
      <c r="B51" s="52" t="s">
        <v>524</v>
      </c>
      <c r="C51" s="557">
        <v>4</v>
      </c>
      <c r="D51" s="557">
        <v>4</v>
      </c>
      <c r="E51" s="557"/>
      <c r="F51" s="557"/>
      <c r="G51" s="1514">
        <v>3</v>
      </c>
      <c r="H51" s="1514">
        <v>3</v>
      </c>
      <c r="I51" s="1514">
        <v>3</v>
      </c>
      <c r="J51" s="1514">
        <v>3</v>
      </c>
      <c r="K51" s="1514" t="s">
        <v>685</v>
      </c>
      <c r="L51" s="557"/>
      <c r="M51" s="557"/>
      <c r="N51" s="557">
        <v>11</v>
      </c>
      <c r="O51" s="557">
        <v>11</v>
      </c>
      <c r="P51" s="557">
        <v>11</v>
      </c>
      <c r="Q51" s="557">
        <v>11</v>
      </c>
      <c r="R51" s="557">
        <v>11</v>
      </c>
      <c r="S51" s="557" t="s">
        <v>503</v>
      </c>
      <c r="T51" s="557" t="s">
        <v>503</v>
      </c>
      <c r="U51" s="557" t="s">
        <v>475</v>
      </c>
      <c r="V51" s="557" t="s">
        <v>475</v>
      </c>
      <c r="W51" s="557" t="s">
        <v>475</v>
      </c>
      <c r="X51" s="557" t="s">
        <v>475</v>
      </c>
      <c r="Y51" s="557" t="s">
        <v>475</v>
      </c>
      <c r="Z51" s="557"/>
      <c r="AA51" s="557"/>
      <c r="AB51" s="557">
        <v>8</v>
      </c>
      <c r="AC51" s="557">
        <v>8</v>
      </c>
      <c r="AD51" s="557">
        <v>8</v>
      </c>
      <c r="AE51" s="568">
        <v>8</v>
      </c>
      <c r="AF51" s="557">
        <v>8</v>
      </c>
      <c r="AG51" s="568" t="s">
        <v>504</v>
      </c>
      <c r="AH51" s="651">
        <v>0</v>
      </c>
      <c r="AI51" s="523">
        <v>27</v>
      </c>
    </row>
    <row r="52" spans="1:35" ht="21.95" customHeight="1" x14ac:dyDescent="0.2">
      <c r="A52" s="524"/>
      <c r="C52" s="546"/>
      <c r="D52" s="546"/>
      <c r="E52" s="546"/>
      <c r="F52" s="546"/>
      <c r="G52" s="546"/>
      <c r="H52" s="546"/>
      <c r="I52" s="546"/>
      <c r="J52" s="546"/>
      <c r="K52" s="546"/>
      <c r="L52" s="546"/>
      <c r="M52" s="546"/>
      <c r="N52" s="546"/>
      <c r="O52" s="546"/>
      <c r="P52" s="546"/>
      <c r="Q52" s="546"/>
      <c r="R52" s="546"/>
      <c r="S52" s="546"/>
      <c r="T52" s="546"/>
      <c r="U52" s="546"/>
      <c r="V52" s="546"/>
      <c r="W52" s="546"/>
      <c r="X52" s="546"/>
      <c r="Y52" s="546"/>
      <c r="Z52" s="546"/>
      <c r="AA52" s="546"/>
      <c r="AB52" s="546"/>
      <c r="AC52" s="546"/>
      <c r="AD52" s="546"/>
      <c r="AE52" s="546"/>
      <c r="AF52" s="546"/>
      <c r="AG52" s="546"/>
      <c r="AH52" s="1"/>
    </row>
    <row r="53" spans="1:35" ht="21.95" customHeight="1" x14ac:dyDescent="0.2">
      <c r="A53" s="524"/>
      <c r="AH53" s="1"/>
    </row>
    <row r="54" spans="1:35" ht="21.95" customHeight="1" x14ac:dyDescent="0.2">
      <c r="A54" s="524"/>
      <c r="AH54" s="1"/>
    </row>
    <row r="55" spans="1:35" ht="21.95" customHeight="1" x14ac:dyDescent="0.2">
      <c r="A55" s="524"/>
    </row>
    <row r="56" spans="1:35" ht="21.95" customHeight="1" x14ac:dyDescent="0.2">
      <c r="A56" s="1" t="s">
        <v>526</v>
      </c>
      <c r="D56" s="360"/>
      <c r="E56" s="360"/>
      <c r="F56" s="360"/>
      <c r="G56" s="57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</row>
    <row r="57" spans="1:35" ht="21.95" customHeight="1" x14ac:dyDescent="0.2">
      <c r="A57" s="1"/>
      <c r="B57" s="571" t="s">
        <v>527</v>
      </c>
      <c r="C57" s="7"/>
      <c r="D57" s="413" t="s">
        <v>2</v>
      </c>
      <c r="E57" s="572"/>
      <c r="F57" s="7"/>
      <c r="G57" s="6" t="s">
        <v>3</v>
      </c>
      <c r="H57" s="573"/>
      <c r="I57" s="118"/>
      <c r="J57" s="6" t="s">
        <v>4</v>
      </c>
      <c r="K57" s="412"/>
      <c r="L57" s="118"/>
      <c r="M57" s="119" t="s">
        <v>5</v>
      </c>
      <c r="N57" s="412"/>
      <c r="O57" s="118"/>
      <c r="P57" s="6" t="s">
        <v>6</v>
      </c>
      <c r="Q57" s="574"/>
      <c r="R57" s="118"/>
      <c r="S57" s="6" t="s">
        <v>7</v>
      </c>
      <c r="T57" s="575"/>
      <c r="U57" s="118"/>
      <c r="V57" s="6" t="s">
        <v>8</v>
      </c>
      <c r="W57" s="574"/>
      <c r="X57" s="527" t="s">
        <v>9</v>
      </c>
      <c r="Y57" s="576"/>
      <c r="Z57" s="577"/>
      <c r="AA57" s="578"/>
      <c r="AC57" s="69"/>
      <c r="AD57" s="69"/>
      <c r="AE57" s="360"/>
      <c r="AF57" s="360"/>
      <c r="AG57" s="360"/>
    </row>
    <row r="58" spans="1:35" ht="21.95" customHeight="1" x14ac:dyDescent="0.2">
      <c r="A58" s="1"/>
      <c r="B58" s="170" t="s">
        <v>106</v>
      </c>
      <c r="C58" s="318" t="s">
        <v>295</v>
      </c>
      <c r="D58" s="152"/>
      <c r="E58" s="152"/>
      <c r="F58" s="318" t="s">
        <v>295</v>
      </c>
      <c r="G58" s="714"/>
      <c r="H58" s="152"/>
      <c r="I58" s="318" t="s">
        <v>295</v>
      </c>
      <c r="J58" s="152"/>
      <c r="K58" s="152"/>
      <c r="L58" s="318" t="s">
        <v>295</v>
      </c>
      <c r="M58" s="152"/>
      <c r="N58" s="152"/>
      <c r="O58" s="318" t="s">
        <v>67</v>
      </c>
      <c r="P58" s="152"/>
      <c r="Q58" s="152"/>
      <c r="R58" s="154"/>
      <c r="S58" s="156"/>
      <c r="T58" s="488"/>
      <c r="U58" s="154"/>
      <c r="V58" s="156"/>
      <c r="W58" s="488"/>
      <c r="X58" s="154"/>
      <c r="Y58" s="156">
        <v>37</v>
      </c>
      <c r="Z58" s="700"/>
      <c r="AA58" s="489"/>
      <c r="AE58" s="360"/>
      <c r="AF58" s="360"/>
      <c r="AG58" s="360"/>
    </row>
    <row r="59" spans="1:35" ht="21.95" customHeight="1" x14ac:dyDescent="0.2">
      <c r="A59" s="1"/>
      <c r="B59" s="47"/>
      <c r="C59" s="57"/>
      <c r="D59" s="53"/>
      <c r="E59" s="541"/>
      <c r="F59" s="57"/>
      <c r="G59" s="583"/>
      <c r="H59" s="53"/>
      <c r="I59" s="57"/>
      <c r="J59" s="53"/>
      <c r="K59" s="541"/>
      <c r="L59" s="57"/>
      <c r="M59" s="53"/>
      <c r="N59" s="541"/>
      <c r="O59" s="57"/>
      <c r="P59" s="53"/>
      <c r="Q59" s="541"/>
      <c r="R59" s="581"/>
      <c r="S59" s="53"/>
      <c r="T59" s="541"/>
      <c r="U59" s="581"/>
      <c r="V59" s="53"/>
      <c r="W59" s="541"/>
      <c r="X59" s="581"/>
      <c r="Y59" s="53"/>
      <c r="Z59" s="582"/>
      <c r="AA59" s="544"/>
      <c r="AE59" s="360"/>
      <c r="AF59" s="360"/>
      <c r="AG59" s="360"/>
    </row>
    <row r="60" spans="1:35" ht="21.95" customHeight="1" x14ac:dyDescent="0.2">
      <c r="A60" s="1"/>
      <c r="B60" s="311"/>
      <c r="C60" s="353"/>
      <c r="F60" s="353"/>
      <c r="G60" s="570"/>
      <c r="I60" s="353"/>
      <c r="L60" s="353"/>
      <c r="O60" s="353"/>
      <c r="R60" s="353"/>
      <c r="Z60" s="584"/>
      <c r="AE60" s="360"/>
      <c r="AF60" s="360"/>
      <c r="AG60" s="360"/>
    </row>
    <row r="61" spans="1:35" ht="21.95" customHeight="1" x14ac:dyDescent="0.2">
      <c r="A61" s="585"/>
      <c r="B61" s="296" t="s">
        <v>469</v>
      </c>
      <c r="C61" s="177">
        <v>1</v>
      </c>
      <c r="D61" s="177">
        <v>2</v>
      </c>
      <c r="E61" s="497">
        <v>3</v>
      </c>
      <c r="F61" s="497">
        <v>4</v>
      </c>
      <c r="G61" s="177">
        <v>5</v>
      </c>
      <c r="H61" s="177">
        <v>6</v>
      </c>
      <c r="I61" s="177">
        <v>7</v>
      </c>
      <c r="J61" s="177">
        <v>8</v>
      </c>
      <c r="K61" s="177">
        <v>9</v>
      </c>
      <c r="L61" s="497">
        <v>10</v>
      </c>
      <c r="M61" s="497">
        <v>11</v>
      </c>
      <c r="N61" s="177">
        <v>12</v>
      </c>
      <c r="O61" s="177">
        <v>13</v>
      </c>
      <c r="P61" s="177">
        <v>14</v>
      </c>
      <c r="Q61" s="177">
        <v>15</v>
      </c>
      <c r="R61" s="177">
        <v>16</v>
      </c>
      <c r="S61" s="497">
        <v>17</v>
      </c>
      <c r="T61" s="497">
        <v>18</v>
      </c>
      <c r="U61" s="177">
        <v>19</v>
      </c>
      <c r="V61" s="177">
        <v>20</v>
      </c>
      <c r="W61" s="177">
        <v>21</v>
      </c>
      <c r="X61" s="177">
        <v>22</v>
      </c>
      <c r="Y61" s="177">
        <v>23</v>
      </c>
      <c r="Z61" s="497">
        <v>24</v>
      </c>
      <c r="AA61" s="497">
        <v>25</v>
      </c>
      <c r="AB61" s="177">
        <v>26</v>
      </c>
      <c r="AC61" s="177">
        <v>27</v>
      </c>
      <c r="AD61" s="177">
        <v>28</v>
      </c>
      <c r="AE61" s="177">
        <v>29</v>
      </c>
      <c r="AF61" s="177">
        <v>30</v>
      </c>
      <c r="AG61" s="497">
        <v>31</v>
      </c>
      <c r="AH61" s="499" t="s">
        <v>470</v>
      </c>
      <c r="AI61" s="500" t="s">
        <v>471</v>
      </c>
    </row>
    <row r="62" spans="1:35" ht="21.95" customHeight="1" x14ac:dyDescent="0.2">
      <c r="A62" s="586">
        <v>1</v>
      </c>
      <c r="B62" s="152" t="s">
        <v>528</v>
      </c>
      <c r="C62" s="587" t="s">
        <v>529</v>
      </c>
      <c r="D62" s="587" t="s">
        <v>529</v>
      </c>
      <c r="E62" s="587"/>
      <c r="F62" s="587"/>
      <c r="G62" s="587" t="s">
        <v>529</v>
      </c>
      <c r="H62" s="587" t="s">
        <v>529</v>
      </c>
      <c r="I62" s="587" t="s">
        <v>529</v>
      </c>
      <c r="J62" s="587" t="s">
        <v>529</v>
      </c>
      <c r="K62" s="587" t="s">
        <v>529</v>
      </c>
      <c r="L62" s="587"/>
      <c r="M62" s="587"/>
      <c r="N62" s="587" t="s">
        <v>529</v>
      </c>
      <c r="O62" s="587" t="s">
        <v>529</v>
      </c>
      <c r="P62" s="587" t="s">
        <v>529</v>
      </c>
      <c r="Q62" s="587" t="s">
        <v>529</v>
      </c>
      <c r="R62" s="587" t="s">
        <v>529</v>
      </c>
      <c r="S62" s="587"/>
      <c r="T62" s="587"/>
      <c r="U62" s="587" t="s">
        <v>529</v>
      </c>
      <c r="V62" s="587" t="s">
        <v>529</v>
      </c>
      <c r="W62" s="587" t="s">
        <v>529</v>
      </c>
      <c r="X62" s="587" t="s">
        <v>529</v>
      </c>
      <c r="Y62" s="587" t="s">
        <v>529</v>
      </c>
      <c r="Z62" s="587"/>
      <c r="AA62" s="587"/>
      <c r="AB62" s="587" t="s">
        <v>529</v>
      </c>
      <c r="AC62" s="587" t="s">
        <v>529</v>
      </c>
      <c r="AD62" s="587" t="s">
        <v>529</v>
      </c>
      <c r="AE62" s="587" t="s">
        <v>529</v>
      </c>
      <c r="AF62" s="587" t="s">
        <v>529</v>
      </c>
      <c r="AG62" s="587"/>
      <c r="AH62" s="505"/>
      <c r="AI62" s="506"/>
    </row>
    <row r="63" spans="1:35" ht="21.95" customHeight="1" x14ac:dyDescent="0.2">
      <c r="A63" s="586">
        <v>2</v>
      </c>
      <c r="B63" s="552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87"/>
      <c r="AA63" s="587"/>
      <c r="AB63" s="587"/>
      <c r="AC63" s="587"/>
      <c r="AD63" s="587"/>
      <c r="AE63" s="587"/>
      <c r="AF63" s="587"/>
      <c r="AG63" s="588"/>
      <c r="AH63" s="505"/>
      <c r="AI63" s="506"/>
    </row>
    <row r="64" spans="1:35" ht="21.95" customHeight="1" x14ac:dyDescent="0.2">
      <c r="A64" s="589"/>
      <c r="C64" s="590"/>
      <c r="D64" s="590"/>
      <c r="E64" s="590"/>
      <c r="F64" s="590"/>
      <c r="G64" s="590"/>
      <c r="H64" s="590"/>
      <c r="I64" s="590"/>
      <c r="J64" s="590"/>
      <c r="K64" s="590"/>
      <c r="L64" s="590"/>
      <c r="M64" s="590"/>
      <c r="N64" s="590"/>
      <c r="O64" s="590"/>
      <c r="P64" s="590"/>
      <c r="Q64" s="590"/>
      <c r="R64" s="590"/>
      <c r="S64" s="590"/>
      <c r="T64" s="590"/>
      <c r="U64" s="590"/>
      <c r="V64" s="590"/>
      <c r="W64" s="590"/>
      <c r="X64" s="590"/>
      <c r="Y64" s="590"/>
      <c r="Z64" s="590"/>
      <c r="AA64" s="590"/>
      <c r="AB64" s="590"/>
      <c r="AC64" s="590"/>
      <c r="AD64" s="590"/>
      <c r="AE64" s="590"/>
      <c r="AF64" s="590"/>
      <c r="AG64" s="590"/>
      <c r="AH64" s="591"/>
      <c r="AI64" s="591"/>
    </row>
    <row r="65" spans="1:35" ht="21.95" customHeight="1" thickBot="1" x14ac:dyDescent="0.25">
      <c r="A65" s="589"/>
      <c r="C65" s="590"/>
      <c r="D65" s="590"/>
      <c r="E65" s="590"/>
      <c r="F65" s="590"/>
      <c r="G65" s="590"/>
      <c r="H65" s="590"/>
      <c r="I65" s="590"/>
      <c r="J65" s="590"/>
      <c r="K65" s="590"/>
      <c r="L65" s="590"/>
      <c r="M65" s="590"/>
      <c r="N65" s="590"/>
      <c r="O65" s="590"/>
      <c r="P65" s="590"/>
      <c r="Q65" s="590"/>
      <c r="R65" s="590"/>
      <c r="S65" s="590"/>
      <c r="T65" s="590"/>
      <c r="U65" s="590"/>
      <c r="V65" s="590"/>
      <c r="W65" s="590"/>
      <c r="X65" s="590"/>
      <c r="Y65" s="590"/>
      <c r="Z65" s="590"/>
      <c r="AA65" s="590"/>
      <c r="AB65" s="590"/>
      <c r="AC65" s="590"/>
      <c r="AD65" s="590"/>
      <c r="AE65" s="590"/>
      <c r="AF65" s="590"/>
      <c r="AG65" s="590"/>
      <c r="AH65" s="591"/>
      <c r="AI65" s="591"/>
    </row>
    <row r="66" spans="1:35" ht="21.95" customHeight="1" x14ac:dyDescent="0.2">
      <c r="A66" s="360"/>
      <c r="B66" s="23" t="s">
        <v>532</v>
      </c>
      <c r="C66" s="7"/>
      <c r="D66" s="413" t="s">
        <v>2</v>
      </c>
      <c r="E66" s="572"/>
      <c r="F66" s="7"/>
      <c r="G66" s="6" t="s">
        <v>3</v>
      </c>
      <c r="H66" s="573"/>
      <c r="I66" s="118"/>
      <c r="J66" s="6" t="s">
        <v>4</v>
      </c>
      <c r="K66" s="412"/>
      <c r="L66" s="118"/>
      <c r="M66" s="119" t="s">
        <v>5</v>
      </c>
      <c r="N66" s="412"/>
      <c r="O66" s="118"/>
      <c r="P66" s="6" t="s">
        <v>6</v>
      </c>
      <c r="Q66" s="574"/>
      <c r="R66" s="118"/>
      <c r="S66" s="6" t="s">
        <v>7</v>
      </c>
      <c r="T66" s="575"/>
      <c r="U66" s="118"/>
      <c r="V66" s="6" t="s">
        <v>8</v>
      </c>
      <c r="W66" s="574"/>
      <c r="X66" s="348" t="s">
        <v>9</v>
      </c>
      <c r="Y66" s="593"/>
      <c r="Z66" s="593"/>
      <c r="AA66" s="594"/>
      <c r="AB66" s="27" t="s">
        <v>10</v>
      </c>
      <c r="AC66" s="576"/>
      <c r="AD66" s="576"/>
      <c r="AE66" s="595"/>
      <c r="AF66" s="595"/>
      <c r="AG66" s="596"/>
    </row>
    <row r="67" spans="1:35" ht="21.95" customHeight="1" x14ac:dyDescent="0.2">
      <c r="A67" s="360"/>
      <c r="B67" s="305" t="s">
        <v>533</v>
      </c>
      <c r="C67" s="598" t="s">
        <v>534</v>
      </c>
      <c r="D67" s="482"/>
      <c r="E67" s="483"/>
      <c r="F67" s="598" t="s">
        <v>534</v>
      </c>
      <c r="G67" s="482"/>
      <c r="H67" s="483"/>
      <c r="I67" s="598" t="s">
        <v>534</v>
      </c>
      <c r="J67" s="482"/>
      <c r="K67" s="483"/>
      <c r="L67" s="598" t="s">
        <v>534</v>
      </c>
      <c r="M67" s="482"/>
      <c r="N67" s="483"/>
      <c r="O67" s="598" t="s">
        <v>116</v>
      </c>
      <c r="P67" s="482"/>
      <c r="Q67" s="483"/>
      <c r="R67" s="598"/>
      <c r="S67" s="482"/>
      <c r="T67" s="483"/>
      <c r="U67" s="598"/>
      <c r="V67" s="482"/>
      <c r="W67" s="483"/>
      <c r="X67" s="598"/>
      <c r="Y67" s="482"/>
      <c r="Z67" s="482"/>
      <c r="AA67" s="482"/>
      <c r="AB67" s="475"/>
      <c r="AC67" s="482"/>
      <c r="AD67" s="482"/>
      <c r="AE67" s="482"/>
      <c r="AF67" s="482"/>
      <c r="AG67" s="599"/>
    </row>
    <row r="68" spans="1:35" ht="21.95" customHeight="1" x14ac:dyDescent="0.2">
      <c r="A68" s="360"/>
      <c r="B68" s="305" t="s">
        <v>535</v>
      </c>
      <c r="C68" s="598" t="s">
        <v>147</v>
      </c>
      <c r="D68" s="482"/>
      <c r="E68" s="483"/>
      <c r="F68" s="598" t="s">
        <v>147</v>
      </c>
      <c r="G68" s="482"/>
      <c r="H68" s="483"/>
      <c r="I68" s="598" t="s">
        <v>147</v>
      </c>
      <c r="J68" s="482"/>
      <c r="K68" s="483"/>
      <c r="L68" s="598" t="s">
        <v>147</v>
      </c>
      <c r="M68" s="482"/>
      <c r="N68" s="483"/>
      <c r="O68" s="598" t="s">
        <v>536</v>
      </c>
      <c r="P68" s="482"/>
      <c r="Q68" s="483"/>
      <c r="R68" s="598"/>
      <c r="S68" s="482"/>
      <c r="T68" s="483"/>
      <c r="U68" s="598"/>
      <c r="V68" s="482"/>
      <c r="W68" s="483"/>
      <c r="X68" s="598"/>
      <c r="Y68" s="482"/>
      <c r="Z68" s="482"/>
      <c r="AA68" s="482"/>
      <c r="AB68" s="475"/>
      <c r="AC68" s="482"/>
      <c r="AD68" s="482"/>
      <c r="AE68" s="482"/>
      <c r="AF68" s="482"/>
      <c r="AG68" s="599"/>
    </row>
    <row r="69" spans="1:35" ht="21.95" customHeight="1" x14ac:dyDescent="0.2">
      <c r="A69" s="360"/>
      <c r="B69" s="69"/>
      <c r="C69" s="360"/>
      <c r="D69" s="360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</row>
    <row r="70" spans="1:35" ht="21.95" customHeight="1" x14ac:dyDescent="0.2">
      <c r="A70" s="585" t="s">
        <v>468</v>
      </c>
      <c r="B70" s="296" t="s">
        <v>469</v>
      </c>
      <c r="C70" s="177">
        <v>1</v>
      </c>
      <c r="D70" s="177">
        <v>2</v>
      </c>
      <c r="E70" s="497">
        <v>3</v>
      </c>
      <c r="F70" s="497">
        <v>4</v>
      </c>
      <c r="G70" s="177">
        <v>5</v>
      </c>
      <c r="H70" s="177">
        <v>6</v>
      </c>
      <c r="I70" s="177">
        <v>7</v>
      </c>
      <c r="J70" s="177">
        <v>8</v>
      </c>
      <c r="K70" s="177">
        <v>9</v>
      </c>
      <c r="L70" s="497">
        <v>10</v>
      </c>
      <c r="M70" s="497">
        <v>11</v>
      </c>
      <c r="N70" s="177">
        <v>12</v>
      </c>
      <c r="O70" s="177">
        <v>13</v>
      </c>
      <c r="P70" s="177">
        <v>14</v>
      </c>
      <c r="Q70" s="177">
        <v>15</v>
      </c>
      <c r="R70" s="177">
        <v>16</v>
      </c>
      <c r="S70" s="497">
        <v>17</v>
      </c>
      <c r="T70" s="497">
        <v>18</v>
      </c>
      <c r="U70" s="177">
        <v>19</v>
      </c>
      <c r="V70" s="177">
        <v>20</v>
      </c>
      <c r="W70" s="177">
        <v>21</v>
      </c>
      <c r="X70" s="177">
        <v>22</v>
      </c>
      <c r="Y70" s="177">
        <v>23</v>
      </c>
      <c r="Z70" s="497">
        <v>24</v>
      </c>
      <c r="AA70" s="497">
        <v>25</v>
      </c>
      <c r="AB70" s="177">
        <v>26</v>
      </c>
      <c r="AC70" s="177">
        <v>27</v>
      </c>
      <c r="AD70" s="177">
        <v>28</v>
      </c>
      <c r="AE70" s="177">
        <v>29</v>
      </c>
      <c r="AF70" s="177">
        <v>30</v>
      </c>
      <c r="AG70" s="497">
        <v>31</v>
      </c>
      <c r="AH70" s="499" t="s">
        <v>470</v>
      </c>
      <c r="AI70" s="500" t="s">
        <v>471</v>
      </c>
    </row>
    <row r="71" spans="1:35" ht="21.95" customHeight="1" x14ac:dyDescent="0.2">
      <c r="A71" s="185">
        <v>8520</v>
      </c>
      <c r="B71" s="185" t="s">
        <v>537</v>
      </c>
      <c r="C71" s="1555" t="s">
        <v>726</v>
      </c>
      <c r="D71" s="521" t="s">
        <v>538</v>
      </c>
      <c r="E71" s="521"/>
      <c r="F71" s="521"/>
      <c r="G71" s="521" t="s">
        <v>538</v>
      </c>
      <c r="H71" s="521" t="s">
        <v>538</v>
      </c>
      <c r="I71" s="521" t="s">
        <v>538</v>
      </c>
      <c r="J71" s="521" t="s">
        <v>538</v>
      </c>
      <c r="K71" s="521" t="s">
        <v>538</v>
      </c>
      <c r="L71" s="521"/>
      <c r="M71" s="521"/>
      <c r="N71" s="521" t="s">
        <v>538</v>
      </c>
      <c r="O71" s="521" t="s">
        <v>538</v>
      </c>
      <c r="P71" s="521" t="s">
        <v>538</v>
      </c>
      <c r="Q71" s="521" t="s">
        <v>538</v>
      </c>
      <c r="R71" s="521" t="s">
        <v>538</v>
      </c>
      <c r="S71" s="521"/>
      <c r="T71" s="521"/>
      <c r="U71" s="521" t="s">
        <v>538</v>
      </c>
      <c r="V71" s="521" t="s">
        <v>538</v>
      </c>
      <c r="W71" s="521" t="s">
        <v>538</v>
      </c>
      <c r="X71" s="521" t="s">
        <v>538</v>
      </c>
      <c r="Y71" s="521" t="s">
        <v>538</v>
      </c>
      <c r="Z71" s="521"/>
      <c r="AA71" s="521"/>
      <c r="AB71" s="521" t="s">
        <v>538</v>
      </c>
      <c r="AC71" s="521" t="s">
        <v>538</v>
      </c>
      <c r="AD71" s="521" t="s">
        <v>538</v>
      </c>
      <c r="AE71" s="521" t="s">
        <v>538</v>
      </c>
      <c r="AF71" s="521" t="s">
        <v>538</v>
      </c>
      <c r="AG71" s="521"/>
      <c r="AH71" s="505">
        <v>13</v>
      </c>
      <c r="AI71" s="506">
        <v>31</v>
      </c>
    </row>
    <row r="72" spans="1:35" ht="21.95" customHeight="1" x14ac:dyDescent="0.2">
      <c r="A72" s="185">
        <v>8521</v>
      </c>
      <c r="B72" s="185" t="s">
        <v>539</v>
      </c>
      <c r="C72" s="553" t="s">
        <v>540</v>
      </c>
      <c r="D72" s="553" t="s">
        <v>540</v>
      </c>
      <c r="E72" s="553"/>
      <c r="F72" s="553"/>
      <c r="G72" s="553" t="s">
        <v>540</v>
      </c>
      <c r="H72" s="553" t="s">
        <v>540</v>
      </c>
      <c r="I72" s="553" t="s">
        <v>540</v>
      </c>
      <c r="J72" s="553" t="s">
        <v>540</v>
      </c>
      <c r="K72" s="553" t="s">
        <v>540</v>
      </c>
      <c r="L72" s="553"/>
      <c r="M72" s="553"/>
      <c r="N72" s="553" t="s">
        <v>540</v>
      </c>
      <c r="O72" s="553" t="s">
        <v>540</v>
      </c>
      <c r="P72" s="553" t="s">
        <v>540</v>
      </c>
      <c r="Q72" s="553" t="s">
        <v>540</v>
      </c>
      <c r="R72" s="553" t="s">
        <v>540</v>
      </c>
      <c r="S72" s="553"/>
      <c r="T72" s="553"/>
      <c r="U72" s="553" t="s">
        <v>540</v>
      </c>
      <c r="V72" s="553" t="s">
        <v>540</v>
      </c>
      <c r="W72" s="553" t="s">
        <v>540</v>
      </c>
      <c r="X72" s="553" t="s">
        <v>540</v>
      </c>
      <c r="Y72" s="553" t="s">
        <v>540</v>
      </c>
      <c r="Z72" s="553"/>
      <c r="AA72" s="553"/>
      <c r="AB72" s="553" t="s">
        <v>540</v>
      </c>
      <c r="AC72" s="553" t="s">
        <v>540</v>
      </c>
      <c r="AD72" s="553" t="s">
        <v>540</v>
      </c>
      <c r="AE72" s="553" t="s">
        <v>540</v>
      </c>
      <c r="AF72" s="553" t="s">
        <v>540</v>
      </c>
      <c r="AG72" s="553"/>
      <c r="AH72" s="505">
        <v>29</v>
      </c>
      <c r="AI72" s="506">
        <v>37</v>
      </c>
    </row>
    <row r="73" spans="1:35" ht="21.95" customHeight="1" x14ac:dyDescent="0.2">
      <c r="A73" s="360"/>
      <c r="B73" s="360"/>
      <c r="C73" s="546"/>
      <c r="D73" s="525"/>
      <c r="E73" s="525"/>
      <c r="F73" s="525"/>
      <c r="G73" s="525"/>
      <c r="H73" s="525"/>
      <c r="I73" s="525"/>
      <c r="J73" s="525"/>
      <c r="K73" s="525"/>
      <c r="L73" s="525"/>
      <c r="M73" s="525"/>
      <c r="N73" s="525"/>
      <c r="O73" s="525"/>
      <c r="P73" s="525"/>
      <c r="Q73" s="525"/>
      <c r="R73" s="525"/>
      <c r="S73" s="525"/>
      <c r="T73" s="525"/>
      <c r="U73" s="525"/>
      <c r="V73" s="525"/>
      <c r="W73" s="525"/>
      <c r="X73" s="525"/>
      <c r="Y73" s="525"/>
      <c r="Z73" s="525"/>
      <c r="AA73" s="525"/>
      <c r="AB73" s="525"/>
      <c r="AC73" s="525"/>
      <c r="AD73" s="525"/>
      <c r="AE73" s="525"/>
      <c r="AF73" s="525"/>
      <c r="AG73" s="525"/>
      <c r="AH73" s="591"/>
      <c r="AI73" s="591"/>
    </row>
    <row r="74" spans="1:35" ht="21.95" customHeight="1" x14ac:dyDescent="0.2">
      <c r="A74" s="360"/>
      <c r="B74" s="360"/>
      <c r="C74" s="546"/>
      <c r="D74" s="525"/>
      <c r="E74" s="525"/>
      <c r="F74" s="525"/>
      <c r="G74" s="525"/>
      <c r="H74" s="525"/>
      <c r="I74" s="525"/>
      <c r="J74" s="525"/>
      <c r="K74" s="525"/>
      <c r="L74" s="525"/>
      <c r="M74" s="525"/>
      <c r="N74" s="525"/>
      <c r="O74" s="525"/>
      <c r="P74" s="525"/>
      <c r="Q74" s="525"/>
      <c r="R74" s="525"/>
      <c r="S74" s="525"/>
      <c r="T74" s="525"/>
      <c r="U74" s="525"/>
      <c r="V74" s="525"/>
      <c r="W74" s="525"/>
      <c r="X74" s="525"/>
      <c r="Y74" s="525"/>
      <c r="Z74" s="525"/>
      <c r="AA74" s="525"/>
      <c r="AB74" s="525"/>
      <c r="AC74" s="525"/>
      <c r="AD74" s="525"/>
      <c r="AE74" s="525"/>
      <c r="AF74" s="525"/>
      <c r="AG74" s="525"/>
      <c r="AH74" s="591"/>
      <c r="AI74" s="591"/>
    </row>
    <row r="75" spans="1:35" ht="21.95" customHeight="1" x14ac:dyDescent="0.2">
      <c r="A75" s="360"/>
      <c r="B75" s="360"/>
      <c r="C75" s="546"/>
      <c r="D75" s="525"/>
      <c r="E75" s="525"/>
      <c r="F75" s="525"/>
      <c r="G75" s="525"/>
      <c r="H75" s="525"/>
      <c r="I75" s="525"/>
      <c r="J75" s="525"/>
      <c r="K75" s="525"/>
      <c r="L75" s="525"/>
      <c r="M75" s="525"/>
      <c r="N75" s="525"/>
      <c r="O75" s="525"/>
      <c r="P75" s="525"/>
      <c r="Q75" s="525"/>
      <c r="R75" s="525"/>
      <c r="S75" s="525"/>
      <c r="T75" s="525"/>
      <c r="U75" s="525"/>
      <c r="V75" s="525"/>
      <c r="W75" s="525"/>
      <c r="X75" s="525"/>
      <c r="Y75" s="525"/>
      <c r="Z75" s="525"/>
      <c r="AA75" s="525"/>
      <c r="AB75" s="525"/>
      <c r="AC75" s="525"/>
      <c r="AD75" s="525"/>
      <c r="AE75" s="525"/>
      <c r="AF75" s="525"/>
      <c r="AG75" s="525"/>
      <c r="AH75" s="591"/>
      <c r="AI75" s="591"/>
    </row>
    <row r="76" spans="1:35" ht="21.95" customHeight="1" x14ac:dyDescent="0.2">
      <c r="A76" s="1" t="s">
        <v>541</v>
      </c>
      <c r="D76" s="360"/>
      <c r="E76" s="360"/>
      <c r="F76" s="360"/>
      <c r="G76" s="570"/>
      <c r="H76" s="360"/>
      <c r="I76" s="360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</row>
    <row r="77" spans="1:35" ht="21.95" customHeight="1" x14ac:dyDescent="0.2">
      <c r="A77" s="1"/>
      <c r="B77" s="23" t="s">
        <v>542</v>
      </c>
      <c r="C77" s="7"/>
      <c r="D77" s="530" t="s">
        <v>2</v>
      </c>
      <c r="E77" s="51"/>
      <c r="F77" s="573"/>
      <c r="G77" s="7"/>
      <c r="H77" s="530" t="s">
        <v>3</v>
      </c>
      <c r="I77" s="51"/>
      <c r="J77" s="573"/>
      <c r="K77" s="7"/>
      <c r="L77" s="530" t="s">
        <v>4</v>
      </c>
      <c r="M77" s="51"/>
      <c r="N77" s="573"/>
      <c r="O77" s="7"/>
      <c r="P77" s="530" t="s">
        <v>5</v>
      </c>
      <c r="Q77" s="51"/>
      <c r="R77" s="573"/>
      <c r="S77" s="7"/>
      <c r="T77" s="530" t="s">
        <v>6</v>
      </c>
      <c r="U77" s="51"/>
      <c r="V77" s="573"/>
      <c r="W77" s="7"/>
      <c r="X77" s="530" t="s">
        <v>7</v>
      </c>
      <c r="Y77" s="51"/>
      <c r="Z77" s="573"/>
      <c r="AA77" s="7"/>
      <c r="AB77" s="530" t="s">
        <v>8</v>
      </c>
      <c r="AC77" s="51"/>
      <c r="AD77" s="51"/>
      <c r="AE77" s="348" t="s">
        <v>9</v>
      </c>
      <c r="AF77" s="51"/>
      <c r="AG77" s="51"/>
      <c r="AH77" s="51"/>
      <c r="AI77" s="531"/>
    </row>
    <row r="78" spans="1:35" ht="21.95" customHeight="1" x14ac:dyDescent="0.2">
      <c r="A78" s="1"/>
      <c r="B78" s="129" t="s">
        <v>324</v>
      </c>
      <c r="C78" s="611" t="s">
        <v>543</v>
      </c>
      <c r="E78" s="156"/>
      <c r="F78" s="612"/>
      <c r="G78" s="611" t="s">
        <v>543</v>
      </c>
      <c r="H78" s="156"/>
      <c r="I78" s="156"/>
      <c r="J78" s="612"/>
      <c r="K78" s="611" t="s">
        <v>543</v>
      </c>
      <c r="L78" s="156"/>
      <c r="M78" s="156"/>
      <c r="N78" s="612"/>
      <c r="O78" s="611" t="s">
        <v>543</v>
      </c>
      <c r="P78" s="156"/>
      <c r="Q78" s="156"/>
      <c r="R78" s="612"/>
      <c r="S78" s="611" t="s">
        <v>544</v>
      </c>
      <c r="T78" s="156"/>
      <c r="U78" s="156"/>
      <c r="V78" s="613"/>
      <c r="W78" s="1055"/>
      <c r="X78" s="1056"/>
      <c r="Y78" s="1056"/>
      <c r="Z78" s="1057"/>
      <c r="AA78" s="613"/>
      <c r="AB78" s="156"/>
      <c r="AC78" s="156"/>
      <c r="AD78" s="613"/>
      <c r="AE78" s="121">
        <v>37</v>
      </c>
      <c r="AG78" s="156"/>
      <c r="AH78" s="613"/>
      <c r="AI78" s="489"/>
    </row>
    <row r="79" spans="1:35" ht="21.95" customHeight="1" x14ac:dyDescent="0.2">
      <c r="A79" s="1"/>
      <c r="B79" s="129" t="s">
        <v>325</v>
      </c>
      <c r="C79" s="611" t="s">
        <v>545</v>
      </c>
      <c r="D79" s="156"/>
      <c r="E79" s="156"/>
      <c r="F79" s="612"/>
      <c r="G79" s="611" t="s">
        <v>545</v>
      </c>
      <c r="H79" s="156"/>
      <c r="I79" s="156"/>
      <c r="J79" s="612"/>
      <c r="K79" s="611" t="s">
        <v>545</v>
      </c>
      <c r="L79" s="156"/>
      <c r="M79" s="156"/>
      <c r="N79" s="612"/>
      <c r="O79" s="611" t="s">
        <v>545</v>
      </c>
      <c r="P79" s="156"/>
      <c r="Q79" s="156"/>
      <c r="R79" s="612"/>
      <c r="S79" s="611" t="s">
        <v>546</v>
      </c>
      <c r="T79" s="156"/>
      <c r="U79" s="156"/>
      <c r="V79" s="612"/>
      <c r="W79" s="660" t="s">
        <v>547</v>
      </c>
      <c r="X79" s="55"/>
      <c r="Y79" s="55"/>
      <c r="Z79" s="55"/>
      <c r="AA79" s="611" t="s">
        <v>548</v>
      </c>
      <c r="AB79" s="611"/>
      <c r="AC79" s="611"/>
      <c r="AD79" s="611"/>
      <c r="AE79" s="154">
        <v>68.25</v>
      </c>
      <c r="AF79" s="156"/>
      <c r="AG79" s="615"/>
      <c r="AH79" s="616"/>
      <c r="AI79" s="617"/>
    </row>
    <row r="80" spans="1:35" ht="21.95" customHeight="1" x14ac:dyDescent="0.2">
      <c r="A80" s="1"/>
      <c r="B80" s="129" t="s">
        <v>326</v>
      </c>
      <c r="C80" s="1053" t="s">
        <v>167</v>
      </c>
      <c r="D80" s="156"/>
      <c r="E80" s="156"/>
      <c r="F80" s="612"/>
      <c r="G80" s="156" t="s">
        <v>167</v>
      </c>
      <c r="H80" s="156"/>
      <c r="I80" s="156"/>
      <c r="J80" s="612"/>
      <c r="K80" s="156" t="s">
        <v>167</v>
      </c>
      <c r="L80" s="156"/>
      <c r="M80" s="156"/>
      <c r="N80" s="612"/>
      <c r="O80" s="156" t="s">
        <v>167</v>
      </c>
      <c r="P80" s="156"/>
      <c r="Q80" s="156"/>
      <c r="R80" s="612"/>
      <c r="S80" s="156" t="s">
        <v>167</v>
      </c>
      <c r="T80" s="156"/>
      <c r="U80" s="156"/>
      <c r="V80" s="612"/>
      <c r="W80" s="611"/>
      <c r="X80" s="156"/>
      <c r="Y80" s="156"/>
      <c r="Z80" s="612"/>
      <c r="AA80" s="611"/>
      <c r="AB80" s="156"/>
      <c r="AC80" s="156"/>
      <c r="AD80" s="613"/>
      <c r="AE80" s="614">
        <v>0</v>
      </c>
      <c r="AF80" s="615"/>
      <c r="AG80" s="156"/>
      <c r="AH80" s="613"/>
      <c r="AI80" s="489"/>
    </row>
    <row r="81" spans="1:35" ht="21.95" customHeight="1" x14ac:dyDescent="0.2">
      <c r="A81" s="1"/>
      <c r="B81" s="47"/>
      <c r="C81" s="618"/>
      <c r="D81" s="53"/>
      <c r="E81" s="53"/>
      <c r="F81" s="619"/>
      <c r="G81" s="618"/>
      <c r="H81" s="53"/>
      <c r="I81" s="53"/>
      <c r="J81" s="619"/>
      <c r="K81" s="618"/>
      <c r="L81" s="53"/>
      <c r="M81" s="53"/>
      <c r="N81" s="619"/>
      <c r="O81" s="618"/>
      <c r="P81" s="53"/>
      <c r="Q81" s="53"/>
      <c r="R81" s="619"/>
      <c r="S81" s="618"/>
      <c r="T81" s="53"/>
      <c r="U81" s="53"/>
      <c r="V81" s="619"/>
      <c r="W81" s="53"/>
      <c r="X81" s="53"/>
      <c r="Y81" s="53"/>
      <c r="Z81" s="53"/>
      <c r="AA81" s="53"/>
      <c r="AB81" s="53"/>
      <c r="AC81" s="53"/>
      <c r="AD81" s="53"/>
      <c r="AE81" s="581"/>
      <c r="AF81" s="53"/>
      <c r="AG81" s="53"/>
      <c r="AH81" s="620"/>
      <c r="AI81" s="544"/>
    </row>
    <row r="82" spans="1:35" ht="21.95" customHeight="1" x14ac:dyDescent="0.2">
      <c r="A82" s="621"/>
      <c r="B82" s="1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</row>
    <row r="83" spans="1:35" ht="21.95" customHeight="1" x14ac:dyDescent="0.2">
      <c r="A83" s="585"/>
      <c r="B83" s="296" t="s">
        <v>469</v>
      </c>
      <c r="C83" s="177">
        <v>1</v>
      </c>
      <c r="D83" s="177">
        <v>2</v>
      </c>
      <c r="E83" s="497">
        <v>3</v>
      </c>
      <c r="F83" s="497">
        <v>4</v>
      </c>
      <c r="G83" s="177">
        <v>5</v>
      </c>
      <c r="H83" s="177">
        <v>6</v>
      </c>
      <c r="I83" s="177">
        <v>7</v>
      </c>
      <c r="J83" s="177">
        <v>8</v>
      </c>
      <c r="K83" s="177">
        <v>9</v>
      </c>
      <c r="L83" s="497">
        <v>10</v>
      </c>
      <c r="M83" s="497">
        <v>11</v>
      </c>
      <c r="N83" s="177">
        <v>12</v>
      </c>
      <c r="O83" s="177">
        <v>13</v>
      </c>
      <c r="P83" s="177">
        <v>14</v>
      </c>
      <c r="Q83" s="177">
        <v>15</v>
      </c>
      <c r="R83" s="177">
        <v>16</v>
      </c>
      <c r="S83" s="497">
        <v>17</v>
      </c>
      <c r="T83" s="497">
        <v>18</v>
      </c>
      <c r="U83" s="177">
        <v>19</v>
      </c>
      <c r="V83" s="177">
        <v>20</v>
      </c>
      <c r="W83" s="177">
        <v>21</v>
      </c>
      <c r="X83" s="177">
        <v>22</v>
      </c>
      <c r="Y83" s="177">
        <v>23</v>
      </c>
      <c r="Z83" s="497">
        <v>24</v>
      </c>
      <c r="AA83" s="497">
        <v>25</v>
      </c>
      <c r="AB83" s="177">
        <v>26</v>
      </c>
      <c r="AC83" s="177">
        <v>27</v>
      </c>
      <c r="AD83" s="177">
        <v>28</v>
      </c>
      <c r="AE83" s="177">
        <v>29</v>
      </c>
      <c r="AF83" s="177">
        <v>30</v>
      </c>
      <c r="AG83" s="497">
        <v>31</v>
      </c>
      <c r="AH83" s="499" t="s">
        <v>470</v>
      </c>
      <c r="AI83" s="500" t="s">
        <v>471</v>
      </c>
    </row>
    <row r="84" spans="1:35" ht="21.95" customHeight="1" x14ac:dyDescent="0.2">
      <c r="A84" s="622">
        <v>1</v>
      </c>
      <c r="B84" s="152" t="s">
        <v>549</v>
      </c>
      <c r="C84" s="587" t="s">
        <v>551</v>
      </c>
      <c r="D84" s="587" t="s">
        <v>551</v>
      </c>
      <c r="E84" s="587"/>
      <c r="F84" s="587"/>
      <c r="G84" s="1632" t="s">
        <v>513</v>
      </c>
      <c r="H84" s="587" t="s">
        <v>551</v>
      </c>
      <c r="I84" s="587" t="s">
        <v>551</v>
      </c>
      <c r="J84" s="1516" t="s">
        <v>551</v>
      </c>
      <c r="K84" s="1516" t="s">
        <v>551</v>
      </c>
      <c r="L84" s="1516" t="s">
        <v>550</v>
      </c>
      <c r="M84" s="1516" t="s">
        <v>687</v>
      </c>
      <c r="N84" s="1632" t="s">
        <v>475</v>
      </c>
      <c r="O84" s="587" t="s">
        <v>475</v>
      </c>
      <c r="P84" s="587" t="s">
        <v>475</v>
      </c>
      <c r="Q84" s="587" t="s">
        <v>475</v>
      </c>
      <c r="R84" s="587" t="s">
        <v>475</v>
      </c>
      <c r="S84" s="587"/>
      <c r="T84" s="587"/>
      <c r="U84" s="1632" t="s">
        <v>551</v>
      </c>
      <c r="V84" s="587" t="s">
        <v>551</v>
      </c>
      <c r="W84" s="587" t="s">
        <v>551</v>
      </c>
      <c r="X84" s="587" t="s">
        <v>551</v>
      </c>
      <c r="Y84" s="587" t="s">
        <v>551</v>
      </c>
      <c r="Z84" s="587"/>
      <c r="AA84" s="587"/>
      <c r="AB84" s="1632" t="s">
        <v>513</v>
      </c>
      <c r="AC84" s="587" t="s">
        <v>513</v>
      </c>
      <c r="AD84" s="587" t="s">
        <v>513</v>
      </c>
      <c r="AE84" s="587" t="s">
        <v>513</v>
      </c>
      <c r="AF84" s="587" t="s">
        <v>513</v>
      </c>
      <c r="AG84" s="587" t="s">
        <v>550</v>
      </c>
      <c r="AH84" s="505">
        <v>0</v>
      </c>
      <c r="AI84" s="506">
        <v>19</v>
      </c>
    </row>
    <row r="85" spans="1:35" ht="21.95" customHeight="1" x14ac:dyDescent="0.2">
      <c r="A85" s="622">
        <v>2</v>
      </c>
      <c r="B85" s="318" t="s">
        <v>553</v>
      </c>
      <c r="C85" s="1582" t="s">
        <v>513</v>
      </c>
      <c r="D85" s="1582" t="s">
        <v>513</v>
      </c>
      <c r="E85" s="1582" t="s">
        <v>550</v>
      </c>
      <c r="F85" s="1582" t="s">
        <v>550</v>
      </c>
      <c r="G85" s="1582" t="s">
        <v>475</v>
      </c>
      <c r="H85" s="1582" t="s">
        <v>475</v>
      </c>
      <c r="I85" s="1582" t="s">
        <v>475</v>
      </c>
      <c r="J85" s="1582" t="s">
        <v>475</v>
      </c>
      <c r="K85" s="1582" t="s">
        <v>475</v>
      </c>
      <c r="L85" s="1582"/>
      <c r="M85" s="1582"/>
      <c r="N85" s="1582" t="s">
        <v>551</v>
      </c>
      <c r="O85" s="1582" t="s">
        <v>551</v>
      </c>
      <c r="P85" s="1582" t="s">
        <v>551</v>
      </c>
      <c r="Q85" s="1582" t="s">
        <v>551</v>
      </c>
      <c r="R85" s="1582" t="s">
        <v>551</v>
      </c>
      <c r="S85" s="1582"/>
      <c r="T85" s="1582"/>
      <c r="U85" s="1582" t="s">
        <v>513</v>
      </c>
      <c r="V85" s="1582" t="s">
        <v>513</v>
      </c>
      <c r="W85" s="1582" t="s">
        <v>513</v>
      </c>
      <c r="X85" s="1582" t="s">
        <v>513</v>
      </c>
      <c r="Y85" s="1556" t="s">
        <v>766</v>
      </c>
      <c r="Z85" s="1582" t="s">
        <v>550</v>
      </c>
      <c r="AA85" s="1582" t="s">
        <v>550</v>
      </c>
      <c r="AB85" s="1582" t="s">
        <v>475</v>
      </c>
      <c r="AC85" s="1582" t="s">
        <v>475</v>
      </c>
      <c r="AD85" s="1582" t="s">
        <v>475</v>
      </c>
      <c r="AE85" s="1582" t="s">
        <v>475</v>
      </c>
      <c r="AF85" s="1582" t="s">
        <v>475</v>
      </c>
      <c r="AG85" s="587"/>
      <c r="AH85" s="505">
        <v>42</v>
      </c>
      <c r="AI85" s="506">
        <v>37</v>
      </c>
    </row>
    <row r="86" spans="1:35" ht="21.95" customHeight="1" x14ac:dyDescent="0.2">
      <c r="A86" s="622">
        <v>3</v>
      </c>
      <c r="B86" s="552" t="s">
        <v>554</v>
      </c>
      <c r="C86" s="587" t="s">
        <v>475</v>
      </c>
      <c r="D86" s="587" t="s">
        <v>475</v>
      </c>
      <c r="E86" s="587"/>
      <c r="F86" s="587"/>
      <c r="G86" s="587" t="s">
        <v>513</v>
      </c>
      <c r="H86" s="587" t="s">
        <v>513</v>
      </c>
      <c r="I86" s="587" t="s">
        <v>513</v>
      </c>
      <c r="J86" s="587" t="s">
        <v>513</v>
      </c>
      <c r="K86" s="587" t="s">
        <v>513</v>
      </c>
      <c r="L86" s="587"/>
      <c r="M86" s="587"/>
      <c r="N86" s="587" t="s">
        <v>513</v>
      </c>
      <c r="O86" s="587" t="s">
        <v>513</v>
      </c>
      <c r="P86" s="587" t="s">
        <v>513</v>
      </c>
      <c r="Q86" s="587" t="s">
        <v>513</v>
      </c>
      <c r="R86" s="587" t="s">
        <v>513</v>
      </c>
      <c r="S86" s="587" t="s">
        <v>550</v>
      </c>
      <c r="T86" s="587" t="s">
        <v>550</v>
      </c>
      <c r="U86" s="587" t="s">
        <v>475</v>
      </c>
      <c r="V86" s="587" t="s">
        <v>475</v>
      </c>
      <c r="W86" s="587" t="s">
        <v>475</v>
      </c>
      <c r="X86" s="587" t="s">
        <v>475</v>
      </c>
      <c r="Y86" s="587" t="s">
        <v>475</v>
      </c>
      <c r="Z86" s="587"/>
      <c r="AA86" s="587"/>
      <c r="AB86" s="553">
        <v>1</v>
      </c>
      <c r="AC86" s="587" t="s">
        <v>551</v>
      </c>
      <c r="AD86" s="587" t="s">
        <v>551</v>
      </c>
      <c r="AE86" s="587" t="s">
        <v>551</v>
      </c>
      <c r="AF86" s="587" t="s">
        <v>551</v>
      </c>
      <c r="AG86" s="587"/>
      <c r="AH86" s="505">
        <v>0</v>
      </c>
      <c r="AI86" s="506">
        <v>0</v>
      </c>
    </row>
    <row r="87" spans="1:35" ht="21.95" customHeight="1" x14ac:dyDescent="0.2"/>
    <row r="88" spans="1:35" ht="21.95" customHeight="1" x14ac:dyDescent="0.2">
      <c r="A88" s="623"/>
      <c r="B88" s="353"/>
      <c r="C88" s="590"/>
      <c r="D88" s="590"/>
      <c r="E88" s="590"/>
      <c r="F88" s="590"/>
      <c r="G88" s="590"/>
      <c r="H88" s="590"/>
      <c r="I88" s="590"/>
      <c r="J88" s="590"/>
      <c r="K88" s="590"/>
      <c r="L88" s="590"/>
      <c r="M88" s="590"/>
      <c r="N88" s="590"/>
      <c r="O88" s="590"/>
      <c r="P88" s="590"/>
      <c r="Q88" s="590"/>
      <c r="R88" s="590"/>
      <c r="S88" s="590"/>
      <c r="T88" s="590"/>
      <c r="U88" s="590"/>
      <c r="V88" s="590"/>
      <c r="W88" s="590"/>
      <c r="X88" s="590"/>
      <c r="Y88" s="590"/>
      <c r="Z88" s="590"/>
      <c r="AA88" s="590"/>
      <c r="AB88" s="590"/>
      <c r="AC88" s="590"/>
      <c r="AD88" s="590"/>
      <c r="AE88" s="590"/>
      <c r="AF88" s="590"/>
      <c r="AH88" s="591"/>
      <c r="AI88" s="591"/>
    </row>
    <row r="89" spans="1:35" ht="21.95" customHeight="1" x14ac:dyDescent="0.2">
      <c r="A89" s="1" t="s">
        <v>555</v>
      </c>
      <c r="D89" s="360"/>
      <c r="E89" s="360"/>
      <c r="F89" s="360"/>
      <c r="G89" s="57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</row>
    <row r="90" spans="1:35" ht="21.95" customHeight="1" x14ac:dyDescent="0.2">
      <c r="A90" s="1"/>
      <c r="B90" s="23" t="s">
        <v>556</v>
      </c>
      <c r="C90" s="7"/>
      <c r="D90" s="530" t="s">
        <v>2</v>
      </c>
      <c r="E90" s="51"/>
      <c r="F90" s="573"/>
      <c r="G90" s="7"/>
      <c r="H90" s="530" t="s">
        <v>3</v>
      </c>
      <c r="I90" s="51"/>
      <c r="J90" s="573"/>
      <c r="K90" s="7"/>
      <c r="L90" s="530" t="s">
        <v>4</v>
      </c>
      <c r="M90" s="51"/>
      <c r="N90" s="573"/>
      <c r="O90" s="7"/>
      <c r="P90" s="530" t="s">
        <v>5</v>
      </c>
      <c r="Q90" s="51"/>
      <c r="R90" s="573"/>
      <c r="S90" s="7"/>
      <c r="T90" s="530" t="s">
        <v>6</v>
      </c>
      <c r="U90" s="51"/>
      <c r="V90" s="573"/>
      <c r="W90" s="7"/>
      <c r="X90" s="530" t="s">
        <v>7</v>
      </c>
      <c r="Y90" s="51"/>
      <c r="Z90" s="573"/>
      <c r="AA90" s="7"/>
      <c r="AB90" s="530" t="s">
        <v>8</v>
      </c>
      <c r="AC90" s="51"/>
      <c r="AD90" s="51"/>
      <c r="AE90" s="424" t="s">
        <v>10</v>
      </c>
      <c r="AF90" s="51"/>
      <c r="AG90" s="51"/>
      <c r="AH90" s="51"/>
      <c r="AI90" s="531"/>
    </row>
    <row r="91" spans="1:35" ht="21.95" customHeight="1" x14ac:dyDescent="0.2">
      <c r="A91" s="1"/>
      <c r="B91" s="129" t="s">
        <v>324</v>
      </c>
      <c r="C91" s="611"/>
      <c r="D91" s="156" t="s">
        <v>167</v>
      </c>
      <c r="E91" s="156"/>
      <c r="F91" s="612"/>
      <c r="G91" s="611"/>
      <c r="H91" s="156" t="s">
        <v>167</v>
      </c>
      <c r="I91" s="156"/>
      <c r="J91" s="612"/>
      <c r="K91" s="611" t="s">
        <v>557</v>
      </c>
      <c r="L91" s="156"/>
      <c r="M91" s="156"/>
      <c r="N91" s="612"/>
      <c r="O91" s="611" t="s">
        <v>557</v>
      </c>
      <c r="P91" s="156"/>
      <c r="Q91" s="156"/>
      <c r="R91" s="612"/>
      <c r="S91" s="611" t="s">
        <v>557</v>
      </c>
      <c r="T91" s="156"/>
      <c r="U91" s="156"/>
      <c r="V91" s="612"/>
      <c r="W91" s="611" t="s">
        <v>558</v>
      </c>
      <c r="X91" s="624"/>
      <c r="Y91" s="624"/>
      <c r="Z91" s="625"/>
      <c r="AA91" s="611" t="s">
        <v>559</v>
      </c>
      <c r="AB91" s="156"/>
      <c r="AC91" s="156"/>
      <c r="AD91" s="613"/>
      <c r="AE91" s="128">
        <v>56</v>
      </c>
      <c r="AF91" s="156"/>
      <c r="AG91" s="156" t="s">
        <v>28</v>
      </c>
      <c r="AH91" s="613"/>
      <c r="AI91" s="489"/>
    </row>
    <row r="92" spans="1:35" ht="21.95" customHeight="1" x14ac:dyDescent="0.2">
      <c r="A92" s="1"/>
      <c r="B92" s="129" t="s">
        <v>325</v>
      </c>
      <c r="C92" s="611"/>
      <c r="D92" s="156" t="s">
        <v>167</v>
      </c>
      <c r="E92" s="156"/>
      <c r="F92" s="612"/>
      <c r="G92" s="611"/>
      <c r="H92" s="156" t="s">
        <v>167</v>
      </c>
      <c r="I92" s="156"/>
      <c r="J92" s="612"/>
      <c r="K92" s="611"/>
      <c r="L92" s="156" t="s">
        <v>167</v>
      </c>
      <c r="M92" s="156"/>
      <c r="N92" s="612"/>
      <c r="O92" s="611"/>
      <c r="P92" s="156" t="s">
        <v>167</v>
      </c>
      <c r="Q92" s="156"/>
      <c r="R92" s="612"/>
      <c r="S92" s="611"/>
      <c r="T92" s="156" t="s">
        <v>167</v>
      </c>
      <c r="U92" s="156"/>
      <c r="V92" s="612"/>
      <c r="W92" s="611"/>
      <c r="X92" s="156" t="s">
        <v>167</v>
      </c>
      <c r="Y92" s="156"/>
      <c r="Z92" s="612"/>
      <c r="AA92" s="156" t="s">
        <v>167</v>
      </c>
      <c r="AB92" s="156"/>
      <c r="AC92" s="156"/>
      <c r="AD92" s="613"/>
      <c r="AE92" s="128">
        <v>0</v>
      </c>
      <c r="AF92" s="156"/>
      <c r="AG92" s="156"/>
      <c r="AH92" s="613"/>
      <c r="AI92" s="489"/>
    </row>
    <row r="93" spans="1:35" ht="21.95" customHeight="1" x14ac:dyDescent="0.2">
      <c r="A93" s="1"/>
      <c r="B93" s="129" t="s">
        <v>326</v>
      </c>
      <c r="C93" s="611" t="s">
        <v>557</v>
      </c>
      <c r="D93" s="156"/>
      <c r="E93" s="156"/>
      <c r="F93" s="612"/>
      <c r="G93" s="611" t="s">
        <v>557</v>
      </c>
      <c r="H93" s="156"/>
      <c r="I93" s="156"/>
      <c r="J93" s="612"/>
      <c r="K93" s="121"/>
      <c r="L93" s="156" t="s">
        <v>167</v>
      </c>
      <c r="M93" s="156"/>
      <c r="N93" s="612"/>
      <c r="O93" s="121"/>
      <c r="P93" s="156" t="s">
        <v>167</v>
      </c>
      <c r="Q93" s="156"/>
      <c r="R93" s="612"/>
      <c r="S93" s="121"/>
      <c r="T93" s="156" t="s">
        <v>167</v>
      </c>
      <c r="U93" s="156"/>
      <c r="V93" s="612"/>
      <c r="W93" s="626" t="s">
        <v>560</v>
      </c>
      <c r="X93" s="134"/>
      <c r="Y93" s="134"/>
      <c r="Z93" s="627"/>
      <c r="AA93" s="626" t="s">
        <v>561</v>
      </c>
      <c r="AB93" s="134"/>
      <c r="AC93" s="134"/>
      <c r="AD93" s="628"/>
      <c r="AE93" s="128">
        <v>46</v>
      </c>
      <c r="AF93" s="156"/>
      <c r="AG93" s="156"/>
      <c r="AH93" s="613"/>
      <c r="AI93" s="489"/>
    </row>
    <row r="94" spans="1:35" ht="21.95" customHeight="1" x14ac:dyDescent="0.2">
      <c r="A94" s="1"/>
      <c r="B94" s="16" t="s">
        <v>236</v>
      </c>
      <c r="C94" s="618" t="s">
        <v>420</v>
      </c>
      <c r="D94" s="53"/>
      <c r="E94" s="53"/>
      <c r="F94" s="619"/>
      <c r="G94" s="618" t="s">
        <v>421</v>
      </c>
      <c r="H94" s="53"/>
      <c r="I94" s="53"/>
      <c r="J94" s="619"/>
      <c r="K94" s="618" t="s">
        <v>421</v>
      </c>
      <c r="L94" s="53"/>
      <c r="M94" s="53"/>
      <c r="N94" s="619"/>
      <c r="O94" s="618" t="s">
        <v>421</v>
      </c>
      <c r="P94" s="53"/>
      <c r="Q94" s="53"/>
      <c r="R94" s="619"/>
      <c r="S94" s="618" t="s">
        <v>422</v>
      </c>
      <c r="T94" s="53"/>
      <c r="U94" s="53"/>
      <c r="V94" s="620"/>
      <c r="W94" s="57"/>
      <c r="X94" s="620" t="s">
        <v>167</v>
      </c>
      <c r="Y94" s="53"/>
      <c r="Z94" s="619"/>
      <c r="AA94" s="57"/>
      <c r="AB94" s="620" t="s">
        <v>167</v>
      </c>
      <c r="AC94" s="53"/>
      <c r="AD94" s="619"/>
      <c r="AE94" s="629">
        <v>37.5</v>
      </c>
      <c r="AF94" s="53"/>
      <c r="AG94" s="53"/>
      <c r="AH94" s="620"/>
      <c r="AI94" s="544"/>
    </row>
    <row r="95" spans="1:35" ht="21.95" customHeight="1" x14ac:dyDescent="0.2">
      <c r="A95" s="621"/>
      <c r="B95" s="1"/>
      <c r="C95" s="360"/>
      <c r="D95" s="360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</row>
    <row r="96" spans="1:35" ht="21.95" customHeight="1" x14ac:dyDescent="0.2">
      <c r="A96" s="585"/>
      <c r="B96" s="296" t="s">
        <v>469</v>
      </c>
      <c r="C96" s="177">
        <v>1</v>
      </c>
      <c r="D96" s="177">
        <v>2</v>
      </c>
      <c r="E96" s="497">
        <v>3</v>
      </c>
      <c r="F96" s="497">
        <v>4</v>
      </c>
      <c r="G96" s="177">
        <v>5</v>
      </c>
      <c r="H96" s="177">
        <v>6</v>
      </c>
      <c r="I96" s="177">
        <v>7</v>
      </c>
      <c r="J96" s="177">
        <v>8</v>
      </c>
      <c r="K96" s="177">
        <v>9</v>
      </c>
      <c r="L96" s="497">
        <v>10</v>
      </c>
      <c r="M96" s="497">
        <v>11</v>
      </c>
      <c r="N96" s="177">
        <v>12</v>
      </c>
      <c r="O96" s="177">
        <v>13</v>
      </c>
      <c r="P96" s="177">
        <v>14</v>
      </c>
      <c r="Q96" s="177">
        <v>15</v>
      </c>
      <c r="R96" s="177">
        <v>16</v>
      </c>
      <c r="S96" s="497">
        <v>17</v>
      </c>
      <c r="T96" s="497">
        <v>18</v>
      </c>
      <c r="U96" s="177">
        <v>19</v>
      </c>
      <c r="V96" s="177">
        <v>20</v>
      </c>
      <c r="W96" s="177">
        <v>21</v>
      </c>
      <c r="X96" s="177">
        <v>22</v>
      </c>
      <c r="Y96" s="177">
        <v>23</v>
      </c>
      <c r="Z96" s="497">
        <v>24</v>
      </c>
      <c r="AA96" s="497">
        <v>25</v>
      </c>
      <c r="AB96" s="177">
        <v>26</v>
      </c>
      <c r="AC96" s="177">
        <v>27</v>
      </c>
      <c r="AD96" s="177">
        <v>28</v>
      </c>
      <c r="AE96" s="177">
        <v>29</v>
      </c>
      <c r="AF96" s="177">
        <v>30</v>
      </c>
      <c r="AG96" s="497">
        <v>31</v>
      </c>
      <c r="AH96" s="499" t="s">
        <v>470</v>
      </c>
      <c r="AI96" s="500" t="s">
        <v>471</v>
      </c>
    </row>
    <row r="97" spans="1:35" ht="21.95" customHeight="1" x14ac:dyDescent="0.2">
      <c r="A97" s="622">
        <v>1</v>
      </c>
      <c r="B97" s="318" t="s">
        <v>562</v>
      </c>
      <c r="C97" s="587" t="s">
        <v>475</v>
      </c>
      <c r="D97" s="587" t="s">
        <v>475</v>
      </c>
      <c r="E97" s="587" t="s">
        <v>475</v>
      </c>
      <c r="F97" s="587" t="s">
        <v>475</v>
      </c>
      <c r="G97" s="587" t="s">
        <v>522</v>
      </c>
      <c r="H97" s="587" t="s">
        <v>522</v>
      </c>
      <c r="I97" s="587" t="s">
        <v>475</v>
      </c>
      <c r="J97" s="587" t="s">
        <v>475</v>
      </c>
      <c r="K97" s="587" t="s">
        <v>475</v>
      </c>
      <c r="L97" s="587" t="s">
        <v>563</v>
      </c>
      <c r="M97" s="587" t="s">
        <v>564</v>
      </c>
      <c r="N97" s="1524" t="s">
        <v>565</v>
      </c>
      <c r="O97" s="1524" t="s">
        <v>566</v>
      </c>
      <c r="P97" s="1524" t="s">
        <v>566</v>
      </c>
      <c r="Q97" s="1524" t="s">
        <v>566</v>
      </c>
      <c r="R97" s="1524" t="s">
        <v>567</v>
      </c>
      <c r="S97" s="587" t="s">
        <v>475</v>
      </c>
      <c r="T97" s="587" t="s">
        <v>475</v>
      </c>
      <c r="U97" s="587" t="s">
        <v>475</v>
      </c>
      <c r="V97" s="587" t="s">
        <v>475</v>
      </c>
      <c r="W97" s="587" t="s">
        <v>522</v>
      </c>
      <c r="X97" s="587" t="s">
        <v>522</v>
      </c>
      <c r="Y97" s="587" t="s">
        <v>522</v>
      </c>
      <c r="Z97" s="587" t="s">
        <v>568</v>
      </c>
      <c r="AA97" s="587" t="s">
        <v>569</v>
      </c>
      <c r="AB97" s="587" t="s">
        <v>475</v>
      </c>
      <c r="AC97" s="587" t="s">
        <v>475</v>
      </c>
      <c r="AD97" s="587" t="s">
        <v>475</v>
      </c>
      <c r="AE97" s="587" t="s">
        <v>475</v>
      </c>
      <c r="AF97" s="587" t="s">
        <v>475</v>
      </c>
      <c r="AG97" s="587" t="s">
        <v>475</v>
      </c>
      <c r="AH97" s="505">
        <v>0</v>
      </c>
      <c r="AI97" s="506">
        <v>0</v>
      </c>
    </row>
    <row r="98" spans="1:35" ht="21.95" customHeight="1" x14ac:dyDescent="0.2">
      <c r="A98" s="622">
        <v>2</v>
      </c>
      <c r="B98" s="318" t="s">
        <v>570</v>
      </c>
      <c r="C98" s="1064" t="s">
        <v>475</v>
      </c>
      <c r="D98" s="1060" t="s">
        <v>475</v>
      </c>
      <c r="E98" s="1075" t="s">
        <v>563</v>
      </c>
      <c r="F98" s="1060" t="s">
        <v>564</v>
      </c>
      <c r="G98" s="1060" t="s">
        <v>565</v>
      </c>
      <c r="H98" s="1060" t="s">
        <v>566</v>
      </c>
      <c r="I98" s="1060" t="s">
        <v>566</v>
      </c>
      <c r="J98" s="1075" t="s">
        <v>566</v>
      </c>
      <c r="K98" s="1060" t="s">
        <v>567</v>
      </c>
      <c r="L98" s="1060" t="s">
        <v>475</v>
      </c>
      <c r="M98" s="1075" t="s">
        <v>475</v>
      </c>
      <c r="N98" s="587" t="s">
        <v>475</v>
      </c>
      <c r="O98" s="587" t="s">
        <v>475</v>
      </c>
      <c r="P98" s="587" t="s">
        <v>522</v>
      </c>
      <c r="Q98" s="587" t="s">
        <v>522</v>
      </c>
      <c r="R98" s="587" t="s">
        <v>522</v>
      </c>
      <c r="S98" s="587" t="s">
        <v>568</v>
      </c>
      <c r="T98" s="587" t="s">
        <v>569</v>
      </c>
      <c r="U98" s="587" t="s">
        <v>475</v>
      </c>
      <c r="V98" s="587" t="s">
        <v>475</v>
      </c>
      <c r="W98" s="587" t="s">
        <v>475</v>
      </c>
      <c r="X98" s="587" t="s">
        <v>475</v>
      </c>
      <c r="Y98" s="587" t="s">
        <v>475</v>
      </c>
      <c r="Z98" s="587" t="s">
        <v>475</v>
      </c>
      <c r="AA98" s="553" t="s">
        <v>475</v>
      </c>
      <c r="AB98" s="553" t="s">
        <v>522</v>
      </c>
      <c r="AC98" s="553" t="s">
        <v>522</v>
      </c>
      <c r="AD98" s="553" t="s">
        <v>475</v>
      </c>
      <c r="AE98" s="553" t="s">
        <v>475</v>
      </c>
      <c r="AF98" s="587" t="s">
        <v>475</v>
      </c>
      <c r="AG98" s="588" t="s">
        <v>563</v>
      </c>
      <c r="AH98" s="505">
        <v>0</v>
      </c>
      <c r="AI98" s="506">
        <v>5</v>
      </c>
    </row>
    <row r="99" spans="1:35" ht="21.95" customHeight="1" x14ac:dyDescent="0.2">
      <c r="A99" s="622">
        <v>3</v>
      </c>
      <c r="B99" s="552" t="s">
        <v>572</v>
      </c>
      <c r="C99" s="588" t="s">
        <v>522</v>
      </c>
      <c r="D99" s="587" t="s">
        <v>522</v>
      </c>
      <c r="E99" s="587" t="s">
        <v>568</v>
      </c>
      <c r="F99" s="588" t="s">
        <v>569</v>
      </c>
      <c r="G99" s="587" t="s">
        <v>475</v>
      </c>
      <c r="H99" s="587" t="s">
        <v>475</v>
      </c>
      <c r="I99" s="587" t="s">
        <v>475</v>
      </c>
      <c r="J99" s="587" t="s">
        <v>475</v>
      </c>
      <c r="K99" s="587" t="s">
        <v>475</v>
      </c>
      <c r="L99" s="587" t="s">
        <v>475</v>
      </c>
      <c r="M99" s="588" t="s">
        <v>475</v>
      </c>
      <c r="N99" s="587" t="s">
        <v>522</v>
      </c>
      <c r="O99" s="587" t="s">
        <v>522</v>
      </c>
      <c r="P99" s="587" t="s">
        <v>475</v>
      </c>
      <c r="Q99" s="587" t="s">
        <v>475</v>
      </c>
      <c r="R99" s="587" t="s">
        <v>475</v>
      </c>
      <c r="S99" s="588" t="s">
        <v>563</v>
      </c>
      <c r="T99" s="587" t="s">
        <v>564</v>
      </c>
      <c r="U99" s="587" t="s">
        <v>522</v>
      </c>
      <c r="V99" s="587" t="s">
        <v>522</v>
      </c>
      <c r="W99" s="587" t="s">
        <v>475</v>
      </c>
      <c r="X99" s="588" t="s">
        <v>475</v>
      </c>
      <c r="Y99" s="587" t="s">
        <v>475</v>
      </c>
      <c r="Z99" s="587" t="s">
        <v>563</v>
      </c>
      <c r="AA99" s="587" t="s">
        <v>564</v>
      </c>
      <c r="AB99" s="587" t="s">
        <v>475</v>
      </c>
      <c r="AC99" s="587" t="s">
        <v>475</v>
      </c>
      <c r="AD99" s="587" t="s">
        <v>522</v>
      </c>
      <c r="AE99" s="588" t="s">
        <v>522</v>
      </c>
      <c r="AF99" s="587" t="s">
        <v>522</v>
      </c>
      <c r="AG99" s="587" t="s">
        <v>568</v>
      </c>
      <c r="AH99" s="651">
        <v>43</v>
      </c>
      <c r="AI99" s="523">
        <v>0</v>
      </c>
    </row>
    <row r="100" spans="1:35" ht="21.95" customHeight="1" x14ac:dyDescent="0.2">
      <c r="A100" s="622">
        <v>4</v>
      </c>
      <c r="B100" s="552" t="s">
        <v>573</v>
      </c>
      <c r="C100" s="588" t="s">
        <v>475</v>
      </c>
      <c r="D100" s="587" t="s">
        <v>475</v>
      </c>
      <c r="E100" s="587" t="s">
        <v>563</v>
      </c>
      <c r="F100" s="587" t="s">
        <v>564</v>
      </c>
      <c r="G100" s="587" t="s">
        <v>475</v>
      </c>
      <c r="H100" s="587" t="s">
        <v>475</v>
      </c>
      <c r="I100" s="587" t="s">
        <v>522</v>
      </c>
      <c r="J100" s="588" t="s">
        <v>522</v>
      </c>
      <c r="K100" s="587" t="s">
        <v>522</v>
      </c>
      <c r="L100" s="587" t="s">
        <v>568</v>
      </c>
      <c r="M100" s="588" t="s">
        <v>569</v>
      </c>
      <c r="N100" s="587" t="s">
        <v>475</v>
      </c>
      <c r="O100" s="587" t="s">
        <v>475</v>
      </c>
      <c r="P100" s="587" t="s">
        <v>475</v>
      </c>
      <c r="Q100" s="587" t="s">
        <v>475</v>
      </c>
      <c r="R100" s="587" t="s">
        <v>475</v>
      </c>
      <c r="S100" s="587" t="s">
        <v>475</v>
      </c>
      <c r="T100" s="587" t="s">
        <v>475</v>
      </c>
      <c r="U100" s="1060" t="s">
        <v>522</v>
      </c>
      <c r="V100" s="1060" t="s">
        <v>522</v>
      </c>
      <c r="W100" s="1060" t="s">
        <v>475</v>
      </c>
      <c r="X100" s="1060" t="s">
        <v>475</v>
      </c>
      <c r="Y100" s="1060" t="s">
        <v>475</v>
      </c>
      <c r="Z100" s="1075" t="s">
        <v>563</v>
      </c>
      <c r="AA100" s="1060" t="s">
        <v>564</v>
      </c>
      <c r="AB100" s="1606" t="s">
        <v>565</v>
      </c>
      <c r="AC100" s="1672" t="s">
        <v>566</v>
      </c>
      <c r="AD100" s="1672" t="s">
        <v>566</v>
      </c>
      <c r="AE100" s="1672" t="s">
        <v>566</v>
      </c>
      <c r="AF100" s="1606" t="s">
        <v>567</v>
      </c>
      <c r="AG100" s="587" t="s">
        <v>475</v>
      </c>
      <c r="AH100" s="651">
        <v>0</v>
      </c>
      <c r="AI100" s="523">
        <v>5</v>
      </c>
    </row>
    <row r="101" spans="1:35" ht="21.95" customHeight="1" x14ac:dyDescent="0.2">
      <c r="A101" s="623"/>
      <c r="B101" s="630"/>
      <c r="C101" s="590"/>
      <c r="D101" s="590"/>
      <c r="E101" s="590"/>
      <c r="F101" s="590"/>
      <c r="G101" s="590"/>
      <c r="H101" s="590"/>
      <c r="I101" s="590"/>
      <c r="J101" s="590"/>
      <c r="K101" s="590"/>
      <c r="L101" s="590"/>
      <c r="M101" s="590"/>
      <c r="N101" s="590"/>
      <c r="O101" s="590"/>
      <c r="P101" s="590"/>
      <c r="Q101" s="590"/>
      <c r="R101" s="590"/>
      <c r="S101" s="590"/>
      <c r="T101" s="590"/>
      <c r="U101" s="590"/>
      <c r="V101" s="590"/>
      <c r="W101" s="590"/>
      <c r="X101" s="590"/>
      <c r="Y101" s="590"/>
      <c r="Z101" s="590"/>
      <c r="AA101" s="590"/>
      <c r="AB101" s="590"/>
      <c r="AC101" s="590"/>
      <c r="AD101" s="590"/>
      <c r="AE101" s="590"/>
      <c r="AF101" s="590"/>
      <c r="AG101" s="590"/>
      <c r="AH101" s="591"/>
      <c r="AI101" s="591"/>
    </row>
    <row r="102" spans="1:35" ht="21.95" customHeight="1" x14ac:dyDescent="0.2">
      <c r="A102" s="1" t="s">
        <v>574</v>
      </c>
      <c r="D102" s="360"/>
      <c r="E102" s="360"/>
      <c r="F102" s="360"/>
      <c r="G102" s="57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</row>
    <row r="103" spans="1:35" ht="21.95" customHeight="1" x14ac:dyDescent="0.2">
      <c r="A103" s="1"/>
      <c r="B103" s="23" t="s">
        <v>556</v>
      </c>
      <c r="C103" s="7"/>
      <c r="D103" s="530" t="s">
        <v>2</v>
      </c>
      <c r="E103" s="51"/>
      <c r="F103" s="573"/>
      <c r="G103" s="7"/>
      <c r="H103" s="530" t="s">
        <v>3</v>
      </c>
      <c r="I103" s="51"/>
      <c r="J103" s="573"/>
      <c r="K103" s="7"/>
      <c r="L103" s="530" t="s">
        <v>4</v>
      </c>
      <c r="M103" s="51"/>
      <c r="N103" s="573"/>
      <c r="O103" s="7"/>
      <c r="P103" s="530" t="s">
        <v>5</v>
      </c>
      <c r="Q103" s="51"/>
      <c r="R103" s="573"/>
      <c r="S103" s="7"/>
      <c r="T103" s="530" t="s">
        <v>6</v>
      </c>
      <c r="U103" s="51"/>
      <c r="V103" s="573"/>
      <c r="W103" s="7"/>
      <c r="X103" s="530" t="s">
        <v>7</v>
      </c>
      <c r="Y103" s="51"/>
      <c r="Z103" s="573"/>
      <c r="AA103" s="7"/>
      <c r="AB103" s="530" t="s">
        <v>8</v>
      </c>
      <c r="AC103" s="51"/>
      <c r="AD103" s="51"/>
      <c r="AE103" s="424" t="s">
        <v>10</v>
      </c>
      <c r="AF103" s="51"/>
      <c r="AG103" s="51"/>
      <c r="AH103" s="51"/>
      <c r="AI103" s="531"/>
    </row>
    <row r="104" spans="1:35" ht="21.95" customHeight="1" x14ac:dyDescent="0.2">
      <c r="A104" s="1"/>
      <c r="B104" s="129" t="s">
        <v>324</v>
      </c>
      <c r="C104" s="121" t="s">
        <v>167</v>
      </c>
      <c r="D104" s="156"/>
      <c r="E104" s="156"/>
      <c r="F104" s="612"/>
      <c r="G104" s="121" t="s">
        <v>709</v>
      </c>
      <c r="H104" s="156"/>
      <c r="I104" s="156"/>
      <c r="J104" s="612"/>
      <c r="K104" s="121" t="s">
        <v>709</v>
      </c>
      <c r="L104" s="156"/>
      <c r="M104" s="156"/>
      <c r="N104" s="612"/>
      <c r="O104" s="121" t="s">
        <v>709</v>
      </c>
      <c r="P104" s="156"/>
      <c r="Q104" s="156"/>
      <c r="R104" s="612"/>
      <c r="S104" s="121" t="s">
        <v>697</v>
      </c>
      <c r="T104" s="156"/>
      <c r="U104" s="156"/>
      <c r="V104" s="612"/>
      <c r="W104" s="611" t="s">
        <v>579</v>
      </c>
      <c r="X104" s="624"/>
      <c r="Y104" s="624"/>
      <c r="Z104" s="625"/>
      <c r="AA104" s="611"/>
      <c r="AB104" s="156"/>
      <c r="AC104" s="156"/>
      <c r="AD104" s="613"/>
      <c r="AE104" s="128"/>
      <c r="AF104" s="156"/>
      <c r="AG104" s="156" t="s">
        <v>28</v>
      </c>
      <c r="AH104" s="613"/>
      <c r="AI104" s="489"/>
    </row>
    <row r="105" spans="1:35" ht="21.95" customHeight="1" x14ac:dyDescent="0.2">
      <c r="A105" s="1"/>
      <c r="B105" s="129" t="s">
        <v>325</v>
      </c>
      <c r="C105" s="121" t="s">
        <v>711</v>
      </c>
      <c r="D105" s="156"/>
      <c r="E105" s="156"/>
      <c r="F105" s="612"/>
      <c r="G105" s="121" t="s">
        <v>711</v>
      </c>
      <c r="H105" s="156"/>
      <c r="I105" s="156"/>
      <c r="J105" s="612"/>
      <c r="K105" s="121" t="s">
        <v>711</v>
      </c>
      <c r="L105" s="156"/>
      <c r="M105" s="156"/>
      <c r="N105" s="612"/>
      <c r="O105" s="121" t="s">
        <v>711</v>
      </c>
      <c r="P105" s="156"/>
      <c r="Q105" s="156"/>
      <c r="R105" s="612"/>
      <c r="S105" s="121" t="s">
        <v>167</v>
      </c>
      <c r="T105" s="156"/>
      <c r="U105" s="156"/>
      <c r="V105" s="612"/>
      <c r="W105" s="121"/>
      <c r="X105" s="156"/>
      <c r="Y105" s="156"/>
      <c r="Z105" s="612"/>
      <c r="AA105" s="156"/>
      <c r="AB105" s="156"/>
      <c r="AC105" s="156"/>
      <c r="AD105" s="613"/>
      <c r="AE105" s="128"/>
      <c r="AF105" s="156"/>
      <c r="AG105" s="156"/>
      <c r="AH105" s="613"/>
      <c r="AI105" s="489"/>
    </row>
    <row r="106" spans="1:35" ht="21.95" customHeight="1" x14ac:dyDescent="0.2">
      <c r="A106" s="1"/>
      <c r="B106" s="129" t="s">
        <v>326</v>
      </c>
      <c r="C106" s="121" t="s">
        <v>575</v>
      </c>
      <c r="D106" s="156"/>
      <c r="E106" s="156"/>
      <c r="F106" s="612"/>
      <c r="G106" s="121" t="s">
        <v>712</v>
      </c>
      <c r="H106" s="156"/>
      <c r="I106" s="156"/>
      <c r="J106" s="612"/>
      <c r="K106" s="121" t="s">
        <v>712</v>
      </c>
      <c r="L106" s="156"/>
      <c r="M106" s="156"/>
      <c r="N106" s="612"/>
      <c r="O106" s="121" t="s">
        <v>712</v>
      </c>
      <c r="P106" s="156"/>
      <c r="Q106" s="156"/>
      <c r="R106" s="612"/>
      <c r="S106" s="121" t="s">
        <v>713</v>
      </c>
      <c r="T106" s="156"/>
      <c r="U106" s="156"/>
      <c r="V106" s="612"/>
      <c r="W106" s="631" t="s">
        <v>579</v>
      </c>
      <c r="X106" s="134"/>
      <c r="Y106" s="134"/>
      <c r="Z106" s="627"/>
      <c r="AA106" s="626"/>
      <c r="AB106" s="134"/>
      <c r="AC106" s="134"/>
      <c r="AD106" s="628"/>
      <c r="AE106" s="128"/>
      <c r="AF106" s="156"/>
      <c r="AG106" s="156"/>
      <c r="AH106" s="613"/>
      <c r="AI106" s="489"/>
    </row>
    <row r="107" spans="1:35" ht="21.95" customHeight="1" thickBot="1" x14ac:dyDescent="0.25">
      <c r="A107" s="1"/>
      <c r="B107" s="129" t="s">
        <v>236</v>
      </c>
      <c r="C107" s="57" t="s">
        <v>714</v>
      </c>
      <c r="D107" s="53"/>
      <c r="E107" s="53"/>
      <c r="F107" s="619"/>
      <c r="G107" s="57" t="s">
        <v>714</v>
      </c>
      <c r="H107" s="53"/>
      <c r="I107" s="53"/>
      <c r="J107" s="619"/>
      <c r="K107" s="57" t="s">
        <v>714</v>
      </c>
      <c r="L107" s="53"/>
      <c r="M107" s="53"/>
      <c r="N107" s="619"/>
      <c r="O107" s="57" t="s">
        <v>714</v>
      </c>
      <c r="P107" s="53"/>
      <c r="Q107" s="53"/>
      <c r="R107" s="619"/>
      <c r="S107" s="57" t="s">
        <v>715</v>
      </c>
      <c r="T107" s="53"/>
      <c r="U107" s="53"/>
      <c r="V107" s="620"/>
      <c r="W107" s="57"/>
      <c r="X107" s="620"/>
      <c r="Y107" s="53"/>
      <c r="Z107" s="619"/>
      <c r="AA107" s="57"/>
      <c r="AB107" s="620"/>
      <c r="AC107" s="53"/>
      <c r="AD107" s="619"/>
      <c r="AE107" s="629"/>
      <c r="AF107" s="53"/>
      <c r="AG107" s="53"/>
      <c r="AH107" s="620"/>
      <c r="AI107" s="544"/>
    </row>
    <row r="108" spans="1:35" ht="21.95" customHeight="1" thickBot="1" x14ac:dyDescent="0.25">
      <c r="A108" s="621"/>
      <c r="B108" s="1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</row>
    <row r="109" spans="1:35" ht="21.95" customHeight="1" x14ac:dyDescent="0.2">
      <c r="A109" s="585"/>
      <c r="B109" s="296" t="s">
        <v>469</v>
      </c>
      <c r="C109" s="177">
        <v>1</v>
      </c>
      <c r="D109" s="177">
        <v>2</v>
      </c>
      <c r="E109" s="497">
        <v>3</v>
      </c>
      <c r="F109" s="497">
        <v>4</v>
      </c>
      <c r="G109" s="177">
        <v>5</v>
      </c>
      <c r="H109" s="177">
        <v>6</v>
      </c>
      <c r="I109" s="177">
        <v>7</v>
      </c>
      <c r="J109" s="177">
        <v>8</v>
      </c>
      <c r="K109" s="177">
        <v>9</v>
      </c>
      <c r="L109" s="497">
        <v>10</v>
      </c>
      <c r="M109" s="497">
        <v>11</v>
      </c>
      <c r="N109" s="177">
        <v>12</v>
      </c>
      <c r="O109" s="177">
        <v>13</v>
      </c>
      <c r="P109" s="177">
        <v>14</v>
      </c>
      <c r="Q109" s="177">
        <v>15</v>
      </c>
      <c r="R109" s="177">
        <v>16</v>
      </c>
      <c r="S109" s="497">
        <v>17</v>
      </c>
      <c r="T109" s="497">
        <v>18</v>
      </c>
      <c r="U109" s="177">
        <v>19</v>
      </c>
      <c r="V109" s="177">
        <v>20</v>
      </c>
      <c r="W109" s="177">
        <v>21</v>
      </c>
      <c r="X109" s="177">
        <v>22</v>
      </c>
      <c r="Y109" s="177">
        <v>23</v>
      </c>
      <c r="Z109" s="497">
        <v>24</v>
      </c>
      <c r="AA109" s="497">
        <v>25</v>
      </c>
      <c r="AB109" s="177">
        <v>26</v>
      </c>
      <c r="AC109" s="177">
        <v>27</v>
      </c>
      <c r="AD109" s="177">
        <v>28</v>
      </c>
      <c r="AE109" s="177">
        <v>29</v>
      </c>
      <c r="AF109" s="177">
        <v>30</v>
      </c>
      <c r="AG109" s="497">
        <v>31</v>
      </c>
      <c r="AH109" s="499" t="s">
        <v>470</v>
      </c>
      <c r="AI109" s="500" t="s">
        <v>471</v>
      </c>
    </row>
    <row r="110" spans="1:35" ht="21.95" customHeight="1" x14ac:dyDescent="0.2">
      <c r="A110" s="622">
        <v>1</v>
      </c>
      <c r="B110" s="1748" t="s">
        <v>530</v>
      </c>
      <c r="C110" s="1523">
        <v>2</v>
      </c>
      <c r="D110" s="553" t="s">
        <v>475</v>
      </c>
      <c r="E110" s="553"/>
      <c r="F110" s="587"/>
      <c r="G110" s="553">
        <v>3</v>
      </c>
      <c r="H110" s="553">
        <v>3</v>
      </c>
      <c r="I110" s="553">
        <v>3</v>
      </c>
      <c r="J110" s="1087" t="s">
        <v>531</v>
      </c>
      <c r="K110" s="553">
        <v>3</v>
      </c>
      <c r="L110" s="553">
        <v>3</v>
      </c>
      <c r="M110" s="553"/>
      <c r="N110" s="553">
        <v>4</v>
      </c>
      <c r="O110" s="553">
        <v>4</v>
      </c>
      <c r="P110" s="553">
        <v>4</v>
      </c>
      <c r="Q110" s="553">
        <v>4</v>
      </c>
      <c r="R110" s="1523">
        <v>4</v>
      </c>
      <c r="S110" s="553"/>
      <c r="T110" s="587"/>
      <c r="U110" s="1060" t="s">
        <v>475</v>
      </c>
      <c r="V110" s="1064">
        <v>1</v>
      </c>
      <c r="W110" s="1064">
        <v>1</v>
      </c>
      <c r="X110" s="1064">
        <v>1</v>
      </c>
      <c r="Y110" s="1064">
        <v>1</v>
      </c>
      <c r="Z110" s="1064">
        <v>1</v>
      </c>
      <c r="AA110" s="1064"/>
      <c r="AB110" s="553">
        <v>2</v>
      </c>
      <c r="AC110" s="553">
        <v>2</v>
      </c>
      <c r="AD110" s="553">
        <v>2</v>
      </c>
      <c r="AE110" s="553">
        <v>2</v>
      </c>
      <c r="AF110" s="553" t="s">
        <v>475</v>
      </c>
      <c r="AG110" s="553"/>
      <c r="AH110" s="505">
        <v>33</v>
      </c>
      <c r="AI110" s="506">
        <v>16</v>
      </c>
    </row>
    <row r="111" spans="1:35" ht="21.95" customHeight="1" x14ac:dyDescent="0.2">
      <c r="A111" s="622">
        <v>2</v>
      </c>
      <c r="B111" s="1749" t="s">
        <v>583</v>
      </c>
      <c r="C111" s="553">
        <v>3</v>
      </c>
      <c r="D111" s="553">
        <v>3</v>
      </c>
      <c r="E111" s="553">
        <v>3</v>
      </c>
      <c r="F111" s="553"/>
      <c r="G111" s="553">
        <v>4</v>
      </c>
      <c r="H111" s="1523">
        <v>4</v>
      </c>
      <c r="I111" s="553">
        <v>4</v>
      </c>
      <c r="J111" s="553">
        <v>4</v>
      </c>
      <c r="K111" s="553">
        <v>4</v>
      </c>
      <c r="L111" s="553"/>
      <c r="M111" s="587"/>
      <c r="N111" s="587" t="s">
        <v>475</v>
      </c>
      <c r="O111" s="553">
        <v>1</v>
      </c>
      <c r="P111" s="553">
        <v>1</v>
      </c>
      <c r="Q111" s="553">
        <v>1</v>
      </c>
      <c r="R111" s="553">
        <v>1</v>
      </c>
      <c r="S111" s="553">
        <v>1</v>
      </c>
      <c r="T111" s="553"/>
      <c r="U111" s="553">
        <v>2</v>
      </c>
      <c r="V111" s="553">
        <v>2</v>
      </c>
      <c r="W111" s="553">
        <v>2</v>
      </c>
      <c r="X111" s="553">
        <v>2</v>
      </c>
      <c r="Y111" s="553" t="s">
        <v>475</v>
      </c>
      <c r="Z111" s="553"/>
      <c r="AA111" s="587"/>
      <c r="AB111" s="1064">
        <v>3</v>
      </c>
      <c r="AC111" s="1064">
        <v>3</v>
      </c>
      <c r="AD111" s="1064">
        <v>3</v>
      </c>
      <c r="AE111" s="1064">
        <v>3</v>
      </c>
      <c r="AF111" s="1064">
        <v>3</v>
      </c>
      <c r="AG111" s="1064">
        <v>3</v>
      </c>
      <c r="AH111" s="505">
        <v>0</v>
      </c>
      <c r="AI111" s="506">
        <v>0</v>
      </c>
    </row>
    <row r="112" spans="1:35" ht="21.95" customHeight="1" x14ac:dyDescent="0.2">
      <c r="A112" s="622">
        <v>3</v>
      </c>
      <c r="B112" s="1748" t="s">
        <v>584</v>
      </c>
      <c r="C112" s="1515">
        <v>4</v>
      </c>
      <c r="D112" s="1515" t="s">
        <v>727</v>
      </c>
      <c r="E112" s="587"/>
      <c r="F112" s="587"/>
      <c r="G112" s="587" t="s">
        <v>475</v>
      </c>
      <c r="H112" s="553">
        <v>1</v>
      </c>
      <c r="I112" s="553">
        <v>1</v>
      </c>
      <c r="J112" s="553">
        <v>1</v>
      </c>
      <c r="K112" s="553">
        <v>1</v>
      </c>
      <c r="L112" s="553">
        <v>1</v>
      </c>
      <c r="M112" s="587"/>
      <c r="N112" s="553">
        <v>2</v>
      </c>
      <c r="O112" s="553">
        <v>2</v>
      </c>
      <c r="P112" s="553">
        <v>2</v>
      </c>
      <c r="Q112" s="553">
        <v>2</v>
      </c>
      <c r="R112" s="587" t="s">
        <v>475</v>
      </c>
      <c r="S112" s="587"/>
      <c r="T112" s="587"/>
      <c r="U112" s="553">
        <v>3</v>
      </c>
      <c r="V112" s="553">
        <v>3</v>
      </c>
      <c r="W112" s="553">
        <v>3</v>
      </c>
      <c r="X112" s="553">
        <v>3</v>
      </c>
      <c r="Y112" s="553">
        <v>3</v>
      </c>
      <c r="Z112" s="553">
        <v>3</v>
      </c>
      <c r="AA112" s="587"/>
      <c r="AB112" s="553">
        <v>4</v>
      </c>
      <c r="AC112" s="553">
        <v>4</v>
      </c>
      <c r="AD112" s="553">
        <v>4</v>
      </c>
      <c r="AE112" s="553">
        <v>4</v>
      </c>
      <c r="AF112" s="553">
        <v>4</v>
      </c>
      <c r="AG112" s="587"/>
      <c r="AH112" s="505">
        <v>3</v>
      </c>
      <c r="AI112" s="506">
        <v>10</v>
      </c>
    </row>
    <row r="113" spans="1:36" ht="21.95" customHeight="1" thickBot="1" x14ac:dyDescent="0.25">
      <c r="A113" s="622">
        <v>4</v>
      </c>
      <c r="B113" s="1748" t="s">
        <v>289</v>
      </c>
      <c r="C113" s="1515">
        <v>1</v>
      </c>
      <c r="D113" s="1515" t="s">
        <v>737</v>
      </c>
      <c r="E113" s="553">
        <v>1</v>
      </c>
      <c r="F113" s="587"/>
      <c r="G113" s="1064">
        <v>2</v>
      </c>
      <c r="H113" s="1064">
        <v>2</v>
      </c>
      <c r="I113" s="1064">
        <v>2</v>
      </c>
      <c r="J113" s="1064">
        <v>2</v>
      </c>
      <c r="K113" s="1060" t="s">
        <v>475</v>
      </c>
      <c r="L113" s="1060"/>
      <c r="M113" s="1064"/>
      <c r="N113" s="553">
        <v>3</v>
      </c>
      <c r="O113" s="553">
        <v>3</v>
      </c>
      <c r="P113" s="553">
        <v>3</v>
      </c>
      <c r="Q113" s="553">
        <v>3</v>
      </c>
      <c r="R113" s="553">
        <v>3</v>
      </c>
      <c r="S113" s="553">
        <v>3</v>
      </c>
      <c r="T113" s="587"/>
      <c r="U113" s="553">
        <v>4</v>
      </c>
      <c r="V113" s="553">
        <v>4</v>
      </c>
      <c r="W113" s="553">
        <v>4</v>
      </c>
      <c r="X113" s="553">
        <v>4</v>
      </c>
      <c r="Y113" s="553">
        <v>4</v>
      </c>
      <c r="Z113" s="553"/>
      <c r="AA113" s="587"/>
      <c r="AB113" s="587" t="s">
        <v>475</v>
      </c>
      <c r="AC113" s="553">
        <v>1</v>
      </c>
      <c r="AD113" s="553">
        <v>1</v>
      </c>
      <c r="AE113" s="553">
        <v>1</v>
      </c>
      <c r="AF113" s="553">
        <v>1</v>
      </c>
      <c r="AG113" s="553">
        <v>1</v>
      </c>
      <c r="AH113" s="717">
        <v>33</v>
      </c>
      <c r="AI113" s="718">
        <v>4</v>
      </c>
    </row>
    <row r="114" spans="1:36" ht="21.95" customHeight="1" x14ac:dyDescent="0.2">
      <c r="A114" s="623"/>
      <c r="B114" s="630"/>
      <c r="C114" s="590"/>
      <c r="D114" s="590"/>
      <c r="E114" s="590"/>
      <c r="F114" s="590"/>
      <c r="G114" s="590"/>
      <c r="H114" s="590"/>
      <c r="I114" s="590"/>
      <c r="J114" s="590"/>
      <c r="K114" s="590"/>
      <c r="L114" s="590"/>
      <c r="M114" s="590"/>
      <c r="N114" s="590"/>
      <c r="O114" s="590"/>
      <c r="P114" s="590"/>
      <c r="Q114" s="590"/>
      <c r="R114" s="590"/>
      <c r="S114" s="590"/>
      <c r="T114" s="590"/>
      <c r="U114" s="590"/>
      <c r="V114" s="590"/>
      <c r="W114" s="590"/>
      <c r="X114" s="590"/>
      <c r="Y114" s="590"/>
      <c r="Z114" s="590"/>
      <c r="AA114" s="590"/>
      <c r="AB114" s="590"/>
      <c r="AC114" s="590"/>
      <c r="AD114" s="590"/>
      <c r="AE114" s="590"/>
      <c r="AF114" s="590"/>
      <c r="AG114" s="590"/>
      <c r="AH114" s="591"/>
      <c r="AI114" s="591"/>
    </row>
    <row r="115" spans="1:36" ht="21.95" customHeight="1" x14ac:dyDescent="0.2">
      <c r="A115" s="311" t="s">
        <v>585</v>
      </c>
      <c r="C115" s="590"/>
      <c r="D115" s="590"/>
      <c r="E115" s="590"/>
      <c r="F115" s="590"/>
      <c r="G115" s="590"/>
      <c r="H115" s="590"/>
      <c r="I115" s="590"/>
      <c r="J115" s="590"/>
      <c r="K115" s="590"/>
      <c r="L115" s="590"/>
      <c r="M115" s="590"/>
      <c r="N115" s="590"/>
      <c r="O115" s="590"/>
      <c r="P115" s="590"/>
      <c r="Q115" s="590"/>
      <c r="R115" s="590"/>
      <c r="S115" s="590"/>
      <c r="T115" s="590"/>
      <c r="U115" s="590"/>
      <c r="V115" s="590"/>
      <c r="W115" s="590"/>
      <c r="X115" s="590"/>
      <c r="Y115" s="590"/>
      <c r="Z115" s="590"/>
      <c r="AA115" s="590"/>
      <c r="AB115" s="590"/>
      <c r="AC115" s="590"/>
      <c r="AD115" s="590"/>
      <c r="AE115" s="590"/>
      <c r="AF115" s="590"/>
      <c r="AG115" s="590"/>
      <c r="AH115" s="591"/>
      <c r="AI115" s="591"/>
      <c r="AJ115" s="360"/>
    </row>
    <row r="116" spans="1:36" ht="21.95" customHeight="1" x14ac:dyDescent="0.2">
      <c r="A116" s="298" t="s">
        <v>468</v>
      </c>
      <c r="B116" s="298"/>
      <c r="C116" s="152"/>
      <c r="D116" s="298" t="s">
        <v>2</v>
      </c>
      <c r="E116" s="185"/>
      <c r="F116" s="152"/>
      <c r="G116" s="298" t="s">
        <v>3</v>
      </c>
      <c r="H116" s="185"/>
      <c r="I116" s="152"/>
      <c r="J116" s="298" t="s">
        <v>4</v>
      </c>
      <c r="K116" s="185"/>
      <c r="L116" s="152"/>
      <c r="M116" s="298" t="s">
        <v>5</v>
      </c>
      <c r="N116" s="185"/>
      <c r="O116" s="152"/>
      <c r="P116" s="298" t="s">
        <v>6</v>
      </c>
      <c r="Q116" s="185"/>
      <c r="R116" s="133"/>
      <c r="S116" s="198" t="s">
        <v>7</v>
      </c>
      <c r="T116" s="185"/>
      <c r="U116" s="152"/>
      <c r="V116" s="298" t="s">
        <v>8</v>
      </c>
      <c r="W116" s="185"/>
      <c r="X116" s="632" t="s">
        <v>10</v>
      </c>
      <c r="Y116" s="185"/>
      <c r="Z116" s="185"/>
      <c r="AA116" s="598"/>
      <c r="AB116" s="482"/>
      <c r="AC116" s="482"/>
      <c r="AD116" s="482"/>
      <c r="AE116" s="482"/>
      <c r="AF116" s="482"/>
      <c r="AG116" s="483"/>
      <c r="AH116" s="360"/>
      <c r="AI116" s="360"/>
      <c r="AJ116" s="360"/>
    </row>
    <row r="117" spans="1:36" ht="21.95" customHeight="1" x14ac:dyDescent="0.2">
      <c r="A117" s="1786">
        <v>8517</v>
      </c>
      <c r="B117" s="501" t="s">
        <v>586</v>
      </c>
      <c r="C117" s="631" t="s">
        <v>124</v>
      </c>
      <c r="D117" s="628"/>
      <c r="E117" s="633"/>
      <c r="F117" s="631" t="s">
        <v>124</v>
      </c>
      <c r="G117" s="634"/>
      <c r="H117" s="633"/>
      <c r="I117" s="121" t="s">
        <v>124</v>
      </c>
      <c r="J117" s="613"/>
      <c r="K117" s="635"/>
      <c r="L117" s="121" t="s">
        <v>124</v>
      </c>
      <c r="M117" s="613"/>
      <c r="N117" s="635"/>
      <c r="O117" s="121" t="s">
        <v>125</v>
      </c>
      <c r="P117" s="613"/>
      <c r="Q117" s="476"/>
      <c r="R117" s="636" t="s">
        <v>28</v>
      </c>
      <c r="S117" s="613"/>
      <c r="T117" s="635"/>
      <c r="U117" s="613" t="s">
        <v>28</v>
      </c>
      <c r="V117" s="613"/>
      <c r="W117" s="476"/>
      <c r="X117" s="144" t="s">
        <v>28</v>
      </c>
      <c r="Y117" s="360"/>
      <c r="Z117" s="360"/>
      <c r="AA117" s="360"/>
      <c r="AB117" s="360"/>
      <c r="AC117" s="360"/>
      <c r="AD117" s="360"/>
      <c r="AE117" s="360"/>
      <c r="AF117" s="360"/>
      <c r="AG117" s="637"/>
      <c r="AH117" s="360"/>
      <c r="AI117" s="360"/>
      <c r="AJ117" s="360"/>
    </row>
    <row r="118" spans="1:36" ht="21.95" customHeight="1" x14ac:dyDescent="0.2">
      <c r="A118" s="638">
        <v>8502</v>
      </c>
      <c r="B118" s="639" t="s">
        <v>587</v>
      </c>
      <c r="C118" s="121" t="s">
        <v>11</v>
      </c>
      <c r="D118" s="613"/>
      <c r="E118" s="476"/>
      <c r="F118" s="121" t="s">
        <v>11</v>
      </c>
      <c r="G118" s="613"/>
      <c r="H118" s="635"/>
      <c r="I118" s="121" t="s">
        <v>11</v>
      </c>
      <c r="J118" s="613"/>
      <c r="K118" s="635"/>
      <c r="L118" s="121" t="s">
        <v>11</v>
      </c>
      <c r="M118" s="613"/>
      <c r="N118" s="635"/>
      <c r="O118" s="121" t="s">
        <v>12</v>
      </c>
      <c r="P118" s="613"/>
      <c r="Q118" s="476"/>
      <c r="R118" s="640"/>
      <c r="S118" s="641"/>
      <c r="T118" s="635"/>
      <c r="U118" s="613"/>
      <c r="V118" s="613"/>
      <c r="W118" s="476"/>
      <c r="X118" s="475"/>
      <c r="Y118" s="482"/>
      <c r="Z118" s="482"/>
      <c r="AA118" s="482"/>
      <c r="AB118" s="482"/>
      <c r="AC118" s="482"/>
      <c r="AD118" s="482"/>
      <c r="AE118" s="482"/>
      <c r="AF118" s="482"/>
      <c r="AG118" s="483"/>
      <c r="AH118" s="360"/>
      <c r="AI118" s="360"/>
      <c r="AJ118" s="360"/>
    </row>
    <row r="119" spans="1:36" ht="21.95" customHeight="1" x14ac:dyDescent="0.2">
      <c r="A119" s="273"/>
      <c r="B119" s="524"/>
      <c r="C119" s="353"/>
      <c r="D119" s="353"/>
      <c r="E119" s="73"/>
      <c r="F119" s="353"/>
      <c r="G119" s="353"/>
      <c r="H119" s="73"/>
      <c r="I119" s="353"/>
      <c r="J119" s="353"/>
      <c r="K119" s="73"/>
      <c r="L119" s="353"/>
      <c r="M119" s="353"/>
      <c r="N119" s="73"/>
      <c r="O119" s="353"/>
      <c r="P119" s="353"/>
      <c r="Q119" s="73"/>
      <c r="R119" s="167"/>
      <c r="S119" s="353"/>
      <c r="T119" s="73"/>
      <c r="U119" s="353"/>
      <c r="V119" s="353"/>
      <c r="W119" s="73"/>
      <c r="X119" s="73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</row>
    <row r="120" spans="1:36" ht="21.95" customHeight="1" x14ac:dyDescent="0.2">
      <c r="A120" s="642"/>
      <c r="B120" s="181" t="s">
        <v>469</v>
      </c>
      <c r="C120" s="738">
        <v>1</v>
      </c>
      <c r="D120" s="738">
        <v>2</v>
      </c>
      <c r="E120" s="739">
        <v>3</v>
      </c>
      <c r="F120" s="739">
        <v>4</v>
      </c>
      <c r="G120" s="738">
        <v>5</v>
      </c>
      <c r="H120" s="738">
        <v>6</v>
      </c>
      <c r="I120" s="738">
        <v>7</v>
      </c>
      <c r="J120" s="738">
        <v>8</v>
      </c>
      <c r="K120" s="738">
        <v>9</v>
      </c>
      <c r="L120" s="739">
        <v>10</v>
      </c>
      <c r="M120" s="739">
        <v>11</v>
      </c>
      <c r="N120" s="738">
        <v>12</v>
      </c>
      <c r="O120" s="738">
        <v>13</v>
      </c>
      <c r="P120" s="738">
        <v>14</v>
      </c>
      <c r="Q120" s="738">
        <v>15</v>
      </c>
      <c r="R120" s="738">
        <v>16</v>
      </c>
      <c r="S120" s="739">
        <v>17</v>
      </c>
      <c r="T120" s="739">
        <v>18</v>
      </c>
      <c r="U120" s="738">
        <v>19</v>
      </c>
      <c r="V120" s="738">
        <v>20</v>
      </c>
      <c r="W120" s="738">
        <v>21</v>
      </c>
      <c r="X120" s="738">
        <v>22</v>
      </c>
      <c r="Y120" s="738">
        <v>23</v>
      </c>
      <c r="Z120" s="739">
        <v>24</v>
      </c>
      <c r="AA120" s="739">
        <v>25</v>
      </c>
      <c r="AB120" s="738">
        <v>26</v>
      </c>
      <c r="AC120" s="738">
        <v>27</v>
      </c>
      <c r="AD120" s="738">
        <v>28</v>
      </c>
      <c r="AE120" s="738">
        <v>29</v>
      </c>
      <c r="AF120" s="738">
        <v>30</v>
      </c>
      <c r="AG120" s="739">
        <v>31</v>
      </c>
      <c r="AH120" s="643" t="s">
        <v>470</v>
      </c>
      <c r="AI120" s="644" t="s">
        <v>471</v>
      </c>
    </row>
    <row r="121" spans="1:36" ht="21.95" customHeight="1" x14ac:dyDescent="0.2">
      <c r="A121" s="645">
        <v>1</v>
      </c>
      <c r="B121" s="552" t="s">
        <v>588</v>
      </c>
      <c r="C121" s="1534" t="s">
        <v>552</v>
      </c>
      <c r="D121" s="1534" t="s">
        <v>552</v>
      </c>
      <c r="E121" s="1534"/>
      <c r="F121" s="1534"/>
      <c r="G121" s="1534" t="s">
        <v>552</v>
      </c>
      <c r="H121" s="1534" t="s">
        <v>552</v>
      </c>
      <c r="I121" s="1534" t="s">
        <v>552</v>
      </c>
      <c r="J121" s="1534" t="s">
        <v>552</v>
      </c>
      <c r="K121" s="1534" t="s">
        <v>552</v>
      </c>
      <c r="L121" s="1534"/>
      <c r="M121" s="1534"/>
      <c r="N121" s="1534" t="s">
        <v>552</v>
      </c>
      <c r="O121" s="1534" t="s">
        <v>552</v>
      </c>
      <c r="P121" s="1534" t="s">
        <v>552</v>
      </c>
      <c r="Q121" s="1534" t="s">
        <v>552</v>
      </c>
      <c r="R121" s="1534" t="s">
        <v>552</v>
      </c>
      <c r="S121" s="1534"/>
      <c r="T121" s="1534"/>
      <c r="U121" s="1534" t="s">
        <v>552</v>
      </c>
      <c r="V121" s="1534" t="s">
        <v>552</v>
      </c>
      <c r="W121" s="1534" t="s">
        <v>552</v>
      </c>
      <c r="X121" s="1534" t="s">
        <v>552</v>
      </c>
      <c r="Y121" s="1534" t="s">
        <v>552</v>
      </c>
      <c r="Z121" s="1534"/>
      <c r="AA121" s="1534"/>
      <c r="AB121" s="1534" t="s">
        <v>552</v>
      </c>
      <c r="AC121" s="1534" t="s">
        <v>552</v>
      </c>
      <c r="AD121" s="1534" t="s">
        <v>552</v>
      </c>
      <c r="AE121" s="1534" t="s">
        <v>552</v>
      </c>
      <c r="AF121" s="1534" t="s">
        <v>552</v>
      </c>
      <c r="AG121" s="514"/>
      <c r="AH121" s="646">
        <v>37</v>
      </c>
      <c r="AI121" s="647">
        <v>37</v>
      </c>
    </row>
    <row r="122" spans="1:36" ht="21.95" customHeight="1" x14ac:dyDescent="0.2">
      <c r="A122" s="645">
        <v>2</v>
      </c>
      <c r="B122" s="552" t="s">
        <v>590</v>
      </c>
      <c r="C122" s="514">
        <v>2</v>
      </c>
      <c r="D122" s="514" t="s">
        <v>475</v>
      </c>
      <c r="E122" s="514"/>
      <c r="F122" s="514"/>
      <c r="G122" s="514">
        <v>8</v>
      </c>
      <c r="H122" s="514">
        <v>8</v>
      </c>
      <c r="I122" s="514">
        <v>8</v>
      </c>
      <c r="J122" s="514">
        <v>8</v>
      </c>
      <c r="K122" s="514">
        <v>8</v>
      </c>
      <c r="L122" s="514" t="s">
        <v>504</v>
      </c>
      <c r="M122" s="514" t="s">
        <v>504</v>
      </c>
      <c r="N122" s="514" t="s">
        <v>475</v>
      </c>
      <c r="O122" s="514" t="s">
        <v>475</v>
      </c>
      <c r="P122" s="514" t="s">
        <v>475</v>
      </c>
      <c r="Q122" s="514" t="s">
        <v>475</v>
      </c>
      <c r="R122" s="514" t="s">
        <v>475</v>
      </c>
      <c r="S122" s="514"/>
      <c r="T122" s="514"/>
      <c r="U122" s="514" t="s">
        <v>475</v>
      </c>
      <c r="V122" s="514">
        <v>1</v>
      </c>
      <c r="W122" s="514">
        <v>1</v>
      </c>
      <c r="X122" s="514">
        <v>1</v>
      </c>
      <c r="Y122" s="514">
        <v>1</v>
      </c>
      <c r="Z122" s="514" t="s">
        <v>504</v>
      </c>
      <c r="AA122" s="514"/>
      <c r="AB122" s="514">
        <v>4</v>
      </c>
      <c r="AC122" s="514">
        <v>4</v>
      </c>
      <c r="AD122" s="514">
        <v>4</v>
      </c>
      <c r="AE122" s="514">
        <v>4</v>
      </c>
      <c r="AF122" s="514">
        <v>4</v>
      </c>
      <c r="AG122" s="514"/>
      <c r="AH122" s="505">
        <v>3</v>
      </c>
      <c r="AI122" s="506">
        <v>37</v>
      </c>
    </row>
    <row r="123" spans="1:36" ht="21.95" customHeight="1" x14ac:dyDescent="0.2">
      <c r="A123" s="645">
        <v>3</v>
      </c>
      <c r="B123" s="152" t="s">
        <v>591</v>
      </c>
      <c r="C123" s="1634" t="s">
        <v>552</v>
      </c>
      <c r="D123" s="1634" t="s">
        <v>552</v>
      </c>
      <c r="E123" s="1634"/>
      <c r="F123" s="1634"/>
      <c r="G123" s="1634" t="s">
        <v>552</v>
      </c>
      <c r="H123" s="1634" t="s">
        <v>552</v>
      </c>
      <c r="I123" s="1634" t="s">
        <v>552</v>
      </c>
      <c r="J123" s="1634" t="s">
        <v>552</v>
      </c>
      <c r="K123" s="1634" t="s">
        <v>552</v>
      </c>
      <c r="L123" s="1634"/>
      <c r="M123" s="1634"/>
      <c r="N123" s="1634" t="s">
        <v>552</v>
      </c>
      <c r="O123" s="1634" t="s">
        <v>552</v>
      </c>
      <c r="P123" s="1634" t="s">
        <v>552</v>
      </c>
      <c r="Q123" s="1634" t="s">
        <v>552</v>
      </c>
      <c r="R123" s="1634" t="s">
        <v>552</v>
      </c>
      <c r="S123" s="1634"/>
      <c r="T123" s="1634"/>
      <c r="U123" s="1634" t="s">
        <v>552</v>
      </c>
      <c r="V123" s="1634" t="s">
        <v>552</v>
      </c>
      <c r="W123" s="1634" t="s">
        <v>552</v>
      </c>
      <c r="X123" s="1634" t="s">
        <v>552</v>
      </c>
      <c r="Y123" s="1634" t="s">
        <v>552</v>
      </c>
      <c r="Z123" s="1634"/>
      <c r="AA123" s="1634"/>
      <c r="AB123" s="1634" t="s">
        <v>552</v>
      </c>
      <c r="AC123" s="1634" t="s">
        <v>552</v>
      </c>
      <c r="AD123" s="1634" t="s">
        <v>552</v>
      </c>
      <c r="AE123" s="1543" t="s">
        <v>552</v>
      </c>
      <c r="AF123" s="1543" t="s">
        <v>552</v>
      </c>
      <c r="AG123" s="514"/>
      <c r="AH123" s="505">
        <v>0</v>
      </c>
      <c r="AI123" s="506">
        <v>37</v>
      </c>
    </row>
    <row r="124" spans="1:36" ht="21.95" customHeight="1" x14ac:dyDescent="0.2">
      <c r="A124" s="645">
        <v>4</v>
      </c>
      <c r="B124" s="152" t="s">
        <v>592</v>
      </c>
      <c r="C124" s="514" t="s">
        <v>513</v>
      </c>
      <c r="D124" s="514" t="s">
        <v>513</v>
      </c>
      <c r="E124" s="514" t="s">
        <v>550</v>
      </c>
      <c r="F124" s="514" t="s">
        <v>550</v>
      </c>
      <c r="G124" s="514" t="s">
        <v>475</v>
      </c>
      <c r="H124" s="514" t="s">
        <v>475</v>
      </c>
      <c r="I124" s="514" t="s">
        <v>475</v>
      </c>
      <c r="J124" s="514" t="s">
        <v>475</v>
      </c>
      <c r="K124" s="514" t="s">
        <v>475</v>
      </c>
      <c r="L124" s="514"/>
      <c r="M124" s="514"/>
      <c r="N124" s="514">
        <v>3</v>
      </c>
      <c r="O124" s="514">
        <v>3</v>
      </c>
      <c r="P124" s="514">
        <v>3</v>
      </c>
      <c r="Q124" s="514">
        <v>3</v>
      </c>
      <c r="R124" s="514">
        <v>3</v>
      </c>
      <c r="S124" s="514"/>
      <c r="T124" s="514"/>
      <c r="U124" s="514">
        <v>6</v>
      </c>
      <c r="V124" s="1518" t="s">
        <v>552</v>
      </c>
      <c r="W124" s="1518" t="s">
        <v>552</v>
      </c>
      <c r="X124" s="1518" t="s">
        <v>552</v>
      </c>
      <c r="Y124" s="1534">
        <v>1</v>
      </c>
      <c r="Z124" s="1534"/>
      <c r="AA124" s="1534"/>
      <c r="AB124" s="514">
        <v>5</v>
      </c>
      <c r="AC124" s="514">
        <v>5</v>
      </c>
      <c r="AD124" s="514">
        <v>5</v>
      </c>
      <c r="AE124" s="514" t="s">
        <v>552</v>
      </c>
      <c r="AF124" s="514" t="s">
        <v>552</v>
      </c>
      <c r="AG124" s="514"/>
      <c r="AH124" s="505">
        <v>6</v>
      </c>
      <c r="AI124" s="506">
        <v>37</v>
      </c>
    </row>
    <row r="125" spans="1:36" ht="21.95" customHeight="1" x14ac:dyDescent="0.2">
      <c r="A125" s="645">
        <v>5</v>
      </c>
      <c r="B125" s="552" t="s">
        <v>690</v>
      </c>
      <c r="C125" s="1534">
        <v>1</v>
      </c>
      <c r="D125" s="1534" t="s">
        <v>737</v>
      </c>
      <c r="E125" s="514"/>
      <c r="F125" s="514" t="s">
        <v>503</v>
      </c>
      <c r="G125" s="514">
        <v>9</v>
      </c>
      <c r="H125" s="1518">
        <v>9</v>
      </c>
      <c r="I125" s="514">
        <v>9</v>
      </c>
      <c r="J125" s="514">
        <v>5</v>
      </c>
      <c r="K125" s="514" t="s">
        <v>475</v>
      </c>
      <c r="L125" s="514"/>
      <c r="M125" s="514" t="s">
        <v>550</v>
      </c>
      <c r="N125" s="514">
        <v>8</v>
      </c>
      <c r="O125" s="514" t="s">
        <v>540</v>
      </c>
      <c r="P125" s="514" t="s">
        <v>681</v>
      </c>
      <c r="Q125" s="514" t="s">
        <v>681</v>
      </c>
      <c r="R125" s="514">
        <v>1</v>
      </c>
      <c r="S125" s="514" t="s">
        <v>505</v>
      </c>
      <c r="T125" s="514" t="s">
        <v>505</v>
      </c>
      <c r="U125" s="514" t="s">
        <v>475</v>
      </c>
      <c r="V125" s="514" t="s">
        <v>475</v>
      </c>
      <c r="W125" s="514" t="s">
        <v>475</v>
      </c>
      <c r="X125" s="514" t="s">
        <v>475</v>
      </c>
      <c r="Y125" s="514" t="s">
        <v>475</v>
      </c>
      <c r="Z125" s="514"/>
      <c r="AA125" s="514"/>
      <c r="AB125" s="514">
        <v>9</v>
      </c>
      <c r="AC125" s="514">
        <v>9</v>
      </c>
      <c r="AD125" s="514">
        <v>9</v>
      </c>
      <c r="AE125" s="514">
        <v>9</v>
      </c>
      <c r="AF125" s="514">
        <v>9</v>
      </c>
      <c r="AG125" s="514" t="s">
        <v>511</v>
      </c>
      <c r="AH125" s="505">
        <v>0</v>
      </c>
      <c r="AI125" s="506">
        <v>0</v>
      </c>
    </row>
    <row r="126" spans="1:36" ht="21.95" customHeight="1" x14ac:dyDescent="0.2">
      <c r="A126" s="645">
        <v>6</v>
      </c>
      <c r="B126" s="152" t="s">
        <v>692</v>
      </c>
      <c r="C126" s="1518" t="s">
        <v>552</v>
      </c>
      <c r="D126" s="1518" t="s">
        <v>552</v>
      </c>
      <c r="E126" s="514"/>
      <c r="F126" s="514"/>
      <c r="G126" s="514" t="s">
        <v>475</v>
      </c>
      <c r="H126" s="514" t="s">
        <v>475</v>
      </c>
      <c r="I126" s="514" t="s">
        <v>475</v>
      </c>
      <c r="J126" s="514" t="s">
        <v>475</v>
      </c>
      <c r="K126" s="514" t="s">
        <v>475</v>
      </c>
      <c r="L126" s="514" t="s">
        <v>550</v>
      </c>
      <c r="M126" s="514"/>
      <c r="N126" s="514">
        <v>1</v>
      </c>
      <c r="O126" s="514">
        <v>1</v>
      </c>
      <c r="P126" s="514">
        <v>1</v>
      </c>
      <c r="Q126" s="514">
        <v>1</v>
      </c>
      <c r="R126" s="514">
        <v>1</v>
      </c>
      <c r="S126" s="514"/>
      <c r="T126" s="514"/>
      <c r="U126" s="514" t="s">
        <v>513</v>
      </c>
      <c r="V126" s="514" t="s">
        <v>513</v>
      </c>
      <c r="W126" s="514" t="s">
        <v>513</v>
      </c>
      <c r="X126" s="514" t="s">
        <v>513</v>
      </c>
      <c r="Y126" s="514" t="s">
        <v>513</v>
      </c>
      <c r="Z126" s="514" t="s">
        <v>550</v>
      </c>
      <c r="AA126" s="514" t="s">
        <v>550</v>
      </c>
      <c r="AB126" s="514" t="s">
        <v>475</v>
      </c>
      <c r="AC126" s="514" t="s">
        <v>475</v>
      </c>
      <c r="AD126" s="514" t="s">
        <v>475</v>
      </c>
      <c r="AE126" s="514" t="s">
        <v>475</v>
      </c>
      <c r="AF126" s="514" t="s">
        <v>475</v>
      </c>
      <c r="AG126" s="514"/>
      <c r="AH126" s="505">
        <v>0</v>
      </c>
      <c r="AI126" s="506">
        <v>0</v>
      </c>
    </row>
    <row r="127" spans="1:36" ht="21.95" customHeight="1" x14ac:dyDescent="0.2">
      <c r="A127" s="645">
        <v>7</v>
      </c>
      <c r="B127" s="152" t="s">
        <v>594</v>
      </c>
      <c r="C127" s="1568" t="s">
        <v>538</v>
      </c>
      <c r="D127" s="1568">
        <v>3</v>
      </c>
      <c r="E127" s="1568"/>
      <c r="F127" s="1568"/>
      <c r="G127" s="514">
        <v>2</v>
      </c>
      <c r="H127" s="514">
        <v>3</v>
      </c>
      <c r="I127" s="514">
        <v>3</v>
      </c>
      <c r="J127" s="514">
        <v>3</v>
      </c>
      <c r="K127" s="514">
        <v>3</v>
      </c>
      <c r="L127" s="514"/>
      <c r="M127" s="514" t="s">
        <v>484</v>
      </c>
      <c r="N127" s="514">
        <v>10</v>
      </c>
      <c r="O127" s="514">
        <v>10</v>
      </c>
      <c r="P127" s="514">
        <v>10</v>
      </c>
      <c r="Q127" s="514">
        <v>10</v>
      </c>
      <c r="R127" s="514">
        <v>10</v>
      </c>
      <c r="S127" s="514" t="s">
        <v>507</v>
      </c>
      <c r="T127" s="514" t="s">
        <v>507</v>
      </c>
      <c r="U127" s="514" t="s">
        <v>475</v>
      </c>
      <c r="V127" s="514" t="s">
        <v>475</v>
      </c>
      <c r="W127" s="514" t="s">
        <v>475</v>
      </c>
      <c r="X127" s="514" t="s">
        <v>475</v>
      </c>
      <c r="Y127" s="514" t="s">
        <v>475</v>
      </c>
      <c r="Z127" s="514" t="s">
        <v>484</v>
      </c>
      <c r="AA127" s="514" t="s">
        <v>484</v>
      </c>
      <c r="AB127" s="514" t="s">
        <v>513</v>
      </c>
      <c r="AC127" s="514" t="s">
        <v>475</v>
      </c>
      <c r="AD127" s="514" t="s">
        <v>475</v>
      </c>
      <c r="AE127" s="514">
        <v>5</v>
      </c>
      <c r="AF127" s="514">
        <v>5</v>
      </c>
      <c r="AG127" s="514" t="s">
        <v>503</v>
      </c>
      <c r="AH127" s="505">
        <v>0</v>
      </c>
      <c r="AI127" s="506">
        <v>0</v>
      </c>
    </row>
    <row r="128" spans="1:36" ht="21.95" customHeight="1" x14ac:dyDescent="0.2">
      <c r="A128" s="645">
        <v>8</v>
      </c>
      <c r="B128" s="657" t="s">
        <v>718</v>
      </c>
      <c r="C128" s="514" t="s">
        <v>475</v>
      </c>
      <c r="D128" s="514">
        <v>1</v>
      </c>
      <c r="E128" s="514"/>
      <c r="F128" s="514"/>
      <c r="G128" s="1615" t="s">
        <v>513</v>
      </c>
      <c r="H128" s="514">
        <v>1</v>
      </c>
      <c r="I128" s="514">
        <v>1</v>
      </c>
      <c r="J128" s="514">
        <v>1</v>
      </c>
      <c r="K128" s="514">
        <v>9</v>
      </c>
      <c r="L128" s="514" t="s">
        <v>511</v>
      </c>
      <c r="M128" s="514" t="s">
        <v>511</v>
      </c>
      <c r="N128" s="514" t="s">
        <v>475</v>
      </c>
      <c r="O128" s="514" t="s">
        <v>475</v>
      </c>
      <c r="P128" s="514" t="s">
        <v>475</v>
      </c>
      <c r="Q128" s="514" t="s">
        <v>475</v>
      </c>
      <c r="R128" s="514" t="s">
        <v>475</v>
      </c>
      <c r="S128" s="514" t="s">
        <v>484</v>
      </c>
      <c r="T128" s="514" t="s">
        <v>484</v>
      </c>
      <c r="U128" s="514">
        <v>9</v>
      </c>
      <c r="V128" s="514">
        <v>9</v>
      </c>
      <c r="W128" s="514">
        <v>9</v>
      </c>
      <c r="X128" s="514">
        <v>9</v>
      </c>
      <c r="Y128" s="514">
        <v>9</v>
      </c>
      <c r="Z128" s="514" t="s">
        <v>511</v>
      </c>
      <c r="AA128" s="514" t="s">
        <v>511</v>
      </c>
      <c r="AB128" s="514" t="s">
        <v>475</v>
      </c>
      <c r="AC128" s="514" t="s">
        <v>475</v>
      </c>
      <c r="AD128" s="514" t="s">
        <v>475</v>
      </c>
      <c r="AE128" s="514" t="s">
        <v>475</v>
      </c>
      <c r="AF128" s="514" t="s">
        <v>475</v>
      </c>
      <c r="AG128" s="514"/>
      <c r="AH128" s="648"/>
      <c r="AI128" s="649"/>
    </row>
    <row r="129" spans="1:48" s="1602" customFormat="1" ht="21.95" customHeight="1" x14ac:dyDescent="0.2">
      <c r="A129" s="1624">
        <v>9</v>
      </c>
      <c r="B129" s="657"/>
      <c r="C129" s="514"/>
      <c r="D129" s="514"/>
      <c r="E129" s="514"/>
      <c r="F129" s="514"/>
      <c r="G129" s="514"/>
      <c r="H129" s="514"/>
      <c r="I129" s="514"/>
      <c r="J129" s="514"/>
      <c r="K129" s="514"/>
      <c r="L129" s="514"/>
      <c r="M129" s="514"/>
      <c r="N129" s="514"/>
      <c r="O129" s="514"/>
      <c r="P129" s="514"/>
      <c r="Q129" s="514"/>
      <c r="R129" s="514"/>
      <c r="S129" s="514"/>
      <c r="T129" s="514"/>
      <c r="U129" s="514"/>
      <c r="V129" s="514"/>
      <c r="W129" s="514"/>
      <c r="X129" s="514"/>
      <c r="Y129" s="514"/>
      <c r="Z129" s="514"/>
      <c r="AA129" s="514"/>
      <c r="AB129" s="514"/>
      <c r="AC129" s="514"/>
      <c r="AD129" s="514"/>
      <c r="AE129" s="514"/>
      <c r="AF129" s="514"/>
      <c r="AG129" s="1568"/>
      <c r="AH129" s="1719"/>
      <c r="AI129" s="171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</row>
    <row r="130" spans="1:48" s="1602" customFormat="1" ht="21.95" customHeight="1" x14ac:dyDescent="0.2">
      <c r="A130" s="1624">
        <v>10</v>
      </c>
      <c r="B130" s="657"/>
      <c r="C130" s="514"/>
      <c r="D130" s="514"/>
      <c r="E130" s="514"/>
      <c r="F130" s="514"/>
      <c r="G130" s="514"/>
      <c r="H130" s="514"/>
      <c r="I130" s="514"/>
      <c r="J130" s="514"/>
      <c r="K130" s="514"/>
      <c r="L130" s="514"/>
      <c r="M130" s="514"/>
      <c r="N130" s="514"/>
      <c r="O130" s="514"/>
      <c r="P130" s="514"/>
      <c r="Q130" s="514"/>
      <c r="R130" s="514"/>
      <c r="S130" s="514"/>
      <c r="T130" s="514"/>
      <c r="U130" s="514"/>
      <c r="V130" s="514"/>
      <c r="W130" s="514"/>
      <c r="X130" s="514"/>
      <c r="Y130" s="514"/>
      <c r="Z130" s="514"/>
      <c r="AA130" s="514"/>
      <c r="AB130" s="514"/>
      <c r="AC130" s="514"/>
      <c r="AD130" s="514"/>
      <c r="AE130" s="514"/>
      <c r="AF130" s="514"/>
      <c r="AG130" s="1568"/>
      <c r="AH130" s="1625"/>
      <c r="AI130" s="1626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</row>
    <row r="131" spans="1:48" ht="21.95" customHeight="1" thickBot="1" x14ac:dyDescent="0.25">
      <c r="A131" s="645">
        <v>11</v>
      </c>
      <c r="B131" s="152"/>
      <c r="C131" s="514"/>
      <c r="D131" s="514"/>
      <c r="E131" s="514"/>
      <c r="F131" s="514"/>
      <c r="G131" s="514"/>
      <c r="H131" s="514"/>
      <c r="I131" s="514"/>
      <c r="J131" s="514"/>
      <c r="K131" s="514"/>
      <c r="L131" s="514"/>
      <c r="M131" s="514"/>
      <c r="N131" s="514"/>
      <c r="O131" s="514"/>
      <c r="P131" s="514"/>
      <c r="Q131" s="514"/>
      <c r="R131" s="514"/>
      <c r="S131" s="514"/>
      <c r="T131" s="514"/>
      <c r="U131" s="514"/>
      <c r="V131" s="514"/>
      <c r="W131" s="514"/>
      <c r="X131" s="514"/>
      <c r="Y131" s="514"/>
      <c r="Z131" s="514"/>
      <c r="AA131" s="514"/>
      <c r="AB131" s="514"/>
      <c r="AC131" s="514"/>
      <c r="AD131" s="514"/>
      <c r="AE131" s="514"/>
      <c r="AF131" s="514"/>
      <c r="AG131" s="514"/>
      <c r="AH131" s="651"/>
      <c r="AI131" s="523"/>
    </row>
    <row r="132" spans="1:48" ht="21.95" customHeight="1" x14ac:dyDescent="0.2">
      <c r="A132" s="652"/>
      <c r="B132" s="273"/>
      <c r="C132" s="138"/>
      <c r="D132" s="138"/>
      <c r="E132" s="138"/>
      <c r="F132" s="138"/>
      <c r="G132" s="138"/>
      <c r="H132" s="138"/>
      <c r="I132" s="138"/>
      <c r="J132" s="138"/>
      <c r="K132" s="138"/>
      <c r="L132" s="138"/>
      <c r="M132" s="138"/>
      <c r="N132" s="138"/>
      <c r="O132" s="138"/>
      <c r="P132" s="138"/>
      <c r="Q132" s="138"/>
      <c r="R132" s="138"/>
      <c r="S132" s="138"/>
      <c r="T132" s="138"/>
      <c r="U132" s="138"/>
      <c r="V132" s="138"/>
      <c r="W132" s="138"/>
      <c r="X132" s="138"/>
      <c r="Y132" s="138"/>
      <c r="Z132" s="138"/>
      <c r="AA132" s="138"/>
      <c r="AB132" s="138"/>
      <c r="AC132" s="138"/>
      <c r="AD132" s="138"/>
      <c r="AE132" s="138"/>
      <c r="AF132" s="138"/>
      <c r="AG132" s="138"/>
      <c r="AH132" s="591"/>
      <c r="AI132" s="591"/>
    </row>
    <row r="133" spans="1:48" ht="21" customHeight="1" x14ac:dyDescent="0.25">
      <c r="A133" s="653" t="s">
        <v>695</v>
      </c>
    </row>
    <row r="134" spans="1:48" ht="21" customHeight="1" x14ac:dyDescent="0.2">
      <c r="A134" s="585"/>
      <c r="B134" s="296" t="s">
        <v>469</v>
      </c>
      <c r="C134" s="177">
        <v>1</v>
      </c>
      <c r="D134" s="177">
        <v>2</v>
      </c>
      <c r="E134" s="497">
        <v>3</v>
      </c>
      <c r="F134" s="497">
        <v>4</v>
      </c>
      <c r="G134" s="177">
        <v>5</v>
      </c>
      <c r="H134" s="177">
        <v>6</v>
      </c>
      <c r="I134" s="177">
        <v>7</v>
      </c>
      <c r="J134" s="177">
        <v>8</v>
      </c>
      <c r="K134" s="177">
        <v>9</v>
      </c>
      <c r="L134" s="497">
        <v>10</v>
      </c>
      <c r="M134" s="497">
        <v>11</v>
      </c>
      <c r="N134" s="177">
        <v>12</v>
      </c>
      <c r="O134" s="177">
        <v>13</v>
      </c>
      <c r="P134" s="177">
        <v>14</v>
      </c>
      <c r="Q134" s="177">
        <v>15</v>
      </c>
      <c r="R134" s="177">
        <v>16</v>
      </c>
      <c r="S134" s="497">
        <v>17</v>
      </c>
      <c r="T134" s="497">
        <v>18</v>
      </c>
      <c r="U134" s="177">
        <v>19</v>
      </c>
      <c r="V134" s="177">
        <v>20</v>
      </c>
      <c r="W134" s="177">
        <v>21</v>
      </c>
      <c r="X134" s="177">
        <v>22</v>
      </c>
      <c r="Y134" s="177">
        <v>23</v>
      </c>
      <c r="Z134" s="497">
        <v>24</v>
      </c>
      <c r="AA134" s="497">
        <v>25</v>
      </c>
      <c r="AB134" s="177">
        <v>26</v>
      </c>
      <c r="AC134" s="177">
        <v>27</v>
      </c>
      <c r="AD134" s="177">
        <v>28</v>
      </c>
      <c r="AE134" s="177">
        <v>29</v>
      </c>
      <c r="AF134" s="177">
        <v>30</v>
      </c>
      <c r="AG134" s="497">
        <v>31</v>
      </c>
      <c r="AH134" s="655"/>
    </row>
    <row r="135" spans="1:48" ht="21" customHeight="1" x14ac:dyDescent="0.2">
      <c r="A135" s="585">
        <v>1</v>
      </c>
      <c r="B135" s="1688" t="s">
        <v>719</v>
      </c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656"/>
      <c r="O135" s="171"/>
      <c r="P135" s="171"/>
      <c r="Q135" s="171"/>
      <c r="R135" s="171"/>
      <c r="S135" s="171"/>
      <c r="T135" s="171"/>
      <c r="U135" s="1564" t="s">
        <v>552</v>
      </c>
      <c r="V135" s="1564" t="s">
        <v>552</v>
      </c>
      <c r="W135" s="1564">
        <v>1</v>
      </c>
      <c r="X135" s="1564">
        <v>1</v>
      </c>
      <c r="Y135" s="1564">
        <v>1</v>
      </c>
      <c r="Z135" s="171"/>
      <c r="AA135" s="171"/>
      <c r="AB135" s="1564">
        <v>8</v>
      </c>
      <c r="AC135" s="1564">
        <v>8</v>
      </c>
      <c r="AD135" s="1564">
        <v>8</v>
      </c>
      <c r="AE135" s="1564">
        <v>8</v>
      </c>
      <c r="AF135" s="1564">
        <v>8</v>
      </c>
      <c r="AG135" s="171"/>
      <c r="AH135" s="655"/>
    </row>
    <row r="136" spans="1:48" ht="21" customHeight="1" x14ac:dyDescent="0.2">
      <c r="A136" s="585">
        <v>2</v>
      </c>
      <c r="B136" s="657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655"/>
    </row>
    <row r="137" spans="1:48" ht="21" customHeight="1" x14ac:dyDescent="0.2">
      <c r="A137" s="585">
        <v>3</v>
      </c>
      <c r="B137" s="552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656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655"/>
    </row>
    <row r="138" spans="1:48" ht="21" customHeight="1" x14ac:dyDescent="0.2">
      <c r="A138" s="585">
        <v>4</v>
      </c>
      <c r="B138" s="552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656"/>
      <c r="AC138" s="171"/>
      <c r="AD138" s="171"/>
      <c r="AE138" s="171"/>
      <c r="AF138" s="171"/>
      <c r="AG138" s="171"/>
      <c r="AH138" s="655"/>
    </row>
    <row r="139" spans="1:48" ht="21" customHeight="1" x14ac:dyDescent="0.2">
      <c r="A139" s="585">
        <v>5</v>
      </c>
      <c r="B139" s="552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655"/>
    </row>
    <row r="140" spans="1:48" ht="21" customHeight="1" x14ac:dyDescent="0.2">
      <c r="A140" s="585"/>
      <c r="B140" s="318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656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655"/>
    </row>
    <row r="141" spans="1:48" ht="21.95" customHeight="1" x14ac:dyDescent="0.2">
      <c r="A141" s="1" t="s">
        <v>603</v>
      </c>
      <c r="B141" s="273"/>
      <c r="C141" s="138"/>
      <c r="D141" s="138"/>
      <c r="E141" s="138"/>
      <c r="F141" s="138"/>
      <c r="G141" s="138"/>
      <c r="H141" s="138"/>
      <c r="I141" s="138"/>
      <c r="J141" s="138"/>
      <c r="K141" s="138"/>
      <c r="L141" s="138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  <c r="AA141" s="138"/>
      <c r="AB141" s="138"/>
      <c r="AC141" s="138"/>
      <c r="AD141" s="138"/>
      <c r="AE141" s="138"/>
      <c r="AF141" s="138"/>
      <c r="AG141" s="138"/>
    </row>
    <row r="142" spans="1:48" ht="21.95" customHeight="1" x14ac:dyDescent="0.2">
      <c r="A142" s="1"/>
      <c r="B142" s="200" t="s">
        <v>604</v>
      </c>
      <c r="C142" s="7"/>
      <c r="D142" s="530" t="s">
        <v>2</v>
      </c>
      <c r="E142" s="51"/>
      <c r="F142" s="573"/>
      <c r="G142" s="7"/>
      <c r="H142" s="530" t="s">
        <v>3</v>
      </c>
      <c r="I142" s="51"/>
      <c r="J142" s="573"/>
      <c r="K142" s="7"/>
      <c r="L142" s="530" t="s">
        <v>4</v>
      </c>
      <c r="M142" s="51"/>
      <c r="N142" s="573"/>
      <c r="O142" s="7"/>
      <c r="P142" s="530" t="s">
        <v>5</v>
      </c>
      <c r="Q142" s="51"/>
      <c r="R142" s="573"/>
      <c r="S142" s="7"/>
      <c r="T142" s="530" t="s">
        <v>6</v>
      </c>
      <c r="U142" s="51"/>
      <c r="V142" s="573"/>
      <c r="W142" s="7"/>
      <c r="X142" s="530" t="s">
        <v>7</v>
      </c>
      <c r="Y142" s="51"/>
      <c r="Z142" s="573"/>
      <c r="AA142" s="7"/>
      <c r="AB142" s="530" t="s">
        <v>8</v>
      </c>
      <c r="AC142" s="51"/>
      <c r="AD142" s="51"/>
      <c r="AE142" s="424" t="s">
        <v>10</v>
      </c>
      <c r="AF142" s="51"/>
      <c r="AG142" s="51"/>
      <c r="AH142" s="51"/>
      <c r="AI142" s="531"/>
    </row>
    <row r="143" spans="1:48" ht="21.95" customHeight="1" x14ac:dyDescent="0.2">
      <c r="A143" s="1"/>
      <c r="B143" s="305">
        <v>3701</v>
      </c>
      <c r="C143" s="641" t="s">
        <v>124</v>
      </c>
      <c r="D143" s="658"/>
      <c r="E143" s="55"/>
      <c r="F143" s="580"/>
      <c r="G143" s="641" t="s">
        <v>124</v>
      </c>
      <c r="H143" s="659"/>
      <c r="I143" s="55"/>
      <c r="J143" s="580"/>
      <c r="K143" s="641" t="s">
        <v>124</v>
      </c>
      <c r="L143" s="659"/>
      <c r="M143" s="55"/>
      <c r="N143" s="580"/>
      <c r="O143" s="641" t="s">
        <v>124</v>
      </c>
      <c r="P143" s="659"/>
      <c r="Q143" s="55"/>
      <c r="R143" s="580"/>
      <c r="S143" s="14" t="s">
        <v>125</v>
      </c>
      <c r="T143" s="659"/>
      <c r="U143" s="55"/>
      <c r="V143" s="580"/>
      <c r="W143" s="14"/>
      <c r="X143" s="659"/>
      <c r="Y143" s="55"/>
      <c r="Z143" s="580"/>
      <c r="AA143" s="14"/>
      <c r="AB143" s="659"/>
      <c r="AC143" s="55"/>
      <c r="AD143" s="55"/>
      <c r="AE143" s="660"/>
      <c r="AF143" s="55"/>
      <c r="AG143" s="55"/>
      <c r="AH143" s="55"/>
      <c r="AI143" s="661"/>
    </row>
    <row r="144" spans="1:48" ht="21.95" customHeight="1" x14ac:dyDescent="0.2">
      <c r="B144" s="662">
        <v>3700</v>
      </c>
      <c r="C144" s="121" t="s">
        <v>767</v>
      </c>
      <c r="D144" s="156"/>
      <c r="E144" s="156"/>
      <c r="F144" s="612"/>
      <c r="G144" s="121" t="s">
        <v>534</v>
      </c>
      <c r="H144" s="156"/>
      <c r="I144" s="156"/>
      <c r="J144" s="612"/>
      <c r="K144" s="121" t="s">
        <v>534</v>
      </c>
      <c r="L144" s="156"/>
      <c r="M144" s="156"/>
      <c r="N144" s="612"/>
      <c r="O144" s="121" t="s">
        <v>534</v>
      </c>
      <c r="P144" s="156"/>
      <c r="Q144" s="156"/>
      <c r="R144" s="612"/>
      <c r="S144" s="121" t="s">
        <v>116</v>
      </c>
      <c r="T144" s="156"/>
      <c r="U144" s="156"/>
      <c r="V144" s="612"/>
      <c r="W144" s="121"/>
      <c r="X144" s="156"/>
      <c r="Y144" s="156"/>
      <c r="Z144" s="612"/>
      <c r="AA144" s="611"/>
      <c r="AB144" s="156"/>
      <c r="AC144" s="156"/>
      <c r="AD144" s="613"/>
      <c r="AE144" s="663"/>
      <c r="AF144" s="156"/>
      <c r="AG144" s="156" t="s">
        <v>28</v>
      </c>
      <c r="AH144" s="613"/>
      <c r="AI144" s="489"/>
    </row>
    <row r="145" spans="1:35" ht="21.95" customHeight="1" x14ac:dyDescent="0.2">
      <c r="A145" s="1"/>
      <c r="B145" s="129" t="s">
        <v>605</v>
      </c>
      <c r="C145" s="611" t="s">
        <v>606</v>
      </c>
      <c r="D145" s="156"/>
      <c r="E145" s="156"/>
      <c r="F145" s="612"/>
      <c r="G145" s="611" t="s">
        <v>606</v>
      </c>
      <c r="H145" s="156"/>
      <c r="I145" s="156"/>
      <c r="J145" s="612"/>
      <c r="K145" s="611" t="s">
        <v>606</v>
      </c>
      <c r="L145" s="156"/>
      <c r="M145" s="156"/>
      <c r="N145" s="612"/>
      <c r="O145" s="611" t="s">
        <v>606</v>
      </c>
      <c r="P145" s="156"/>
      <c r="Q145" s="156"/>
      <c r="R145" s="612"/>
      <c r="S145" s="611" t="s">
        <v>607</v>
      </c>
      <c r="T145" s="156"/>
      <c r="U145" s="156"/>
      <c r="V145" s="612"/>
      <c r="W145" s="121"/>
      <c r="X145" s="156"/>
      <c r="Y145" s="156"/>
      <c r="Z145" s="612"/>
      <c r="AA145" s="121"/>
      <c r="AB145" s="156"/>
      <c r="AC145" s="156"/>
      <c r="AD145" s="613"/>
      <c r="AE145" s="121"/>
      <c r="AF145" s="156"/>
      <c r="AG145" s="156"/>
      <c r="AH145" s="613"/>
      <c r="AI145" s="489"/>
    </row>
    <row r="146" spans="1:35" ht="21.95" customHeight="1" x14ac:dyDescent="0.2">
      <c r="A146" s="1"/>
      <c r="B146" s="664">
        <v>8500</v>
      </c>
      <c r="C146" s="665" t="s">
        <v>264</v>
      </c>
      <c r="D146" s="55"/>
      <c r="E146" s="55"/>
      <c r="F146" s="666"/>
      <c r="G146" s="665" t="s">
        <v>264</v>
      </c>
      <c r="H146" s="55"/>
      <c r="I146" s="55"/>
      <c r="J146" s="666"/>
      <c r="K146" s="665" t="s">
        <v>264</v>
      </c>
      <c r="L146" s="55"/>
      <c r="M146" s="55"/>
      <c r="N146" s="666"/>
      <c r="O146" s="665" t="s">
        <v>264</v>
      </c>
      <c r="P146" s="55"/>
      <c r="Q146" s="55"/>
      <c r="R146" s="666"/>
      <c r="S146" s="665" t="s">
        <v>265</v>
      </c>
      <c r="T146" s="55"/>
      <c r="U146" s="55"/>
      <c r="V146" s="666"/>
      <c r="W146" s="665"/>
      <c r="X146" s="55"/>
      <c r="Y146" s="55"/>
      <c r="Z146" s="666"/>
      <c r="AA146" s="665"/>
      <c r="AB146" s="55"/>
      <c r="AC146" s="55"/>
      <c r="AD146" s="666"/>
      <c r="AE146" s="665"/>
      <c r="AF146" s="55"/>
      <c r="AG146" s="55"/>
      <c r="AH146" s="641"/>
      <c r="AI146" s="661"/>
    </row>
    <row r="147" spans="1:35" ht="21.95" customHeight="1" x14ac:dyDescent="0.2">
      <c r="A147" s="1"/>
      <c r="B147" s="9">
        <v>8514</v>
      </c>
      <c r="C147" s="667" t="s">
        <v>264</v>
      </c>
      <c r="D147" s="668"/>
      <c r="E147" s="669"/>
      <c r="F147" s="670"/>
      <c r="G147" s="667" t="s">
        <v>264</v>
      </c>
      <c r="H147" s="668"/>
      <c r="I147" s="669"/>
      <c r="J147" s="670"/>
      <c r="K147" s="667" t="s">
        <v>264</v>
      </c>
      <c r="L147" s="668"/>
      <c r="M147" s="669"/>
      <c r="N147" s="670"/>
      <c r="O147" s="667" t="s">
        <v>682</v>
      </c>
      <c r="P147" s="668"/>
      <c r="Q147" s="669"/>
      <c r="R147" s="670"/>
      <c r="S147" s="667" t="s">
        <v>265</v>
      </c>
      <c r="T147" s="668"/>
      <c r="U147" s="669"/>
      <c r="V147" s="670"/>
      <c r="W147" s="14"/>
      <c r="X147" s="659"/>
      <c r="Y147" s="55"/>
      <c r="Z147" s="580"/>
      <c r="AA147" s="14"/>
      <c r="AB147" s="659"/>
      <c r="AC147" s="55"/>
      <c r="AD147" s="55"/>
      <c r="AE147" s="660"/>
      <c r="AF147" s="55"/>
      <c r="AG147" s="55"/>
      <c r="AH147" s="55"/>
      <c r="AI147" s="661"/>
    </row>
    <row r="148" spans="1:35" ht="21.95" customHeight="1" x14ac:dyDescent="0.2">
      <c r="A148" s="1"/>
      <c r="B148" s="671">
        <v>8521</v>
      </c>
      <c r="C148" s="57" t="s">
        <v>534</v>
      </c>
      <c r="D148" s="53"/>
      <c r="E148" s="53"/>
      <c r="F148" s="619"/>
      <c r="G148" s="57" t="s">
        <v>534</v>
      </c>
      <c r="H148" s="53"/>
      <c r="I148" s="53"/>
      <c r="J148" s="619"/>
      <c r="K148" s="57" t="s">
        <v>534</v>
      </c>
      <c r="L148" s="53"/>
      <c r="M148" s="53"/>
      <c r="N148" s="619"/>
      <c r="O148" s="57" t="s">
        <v>534</v>
      </c>
      <c r="P148" s="53"/>
      <c r="Q148" s="53"/>
      <c r="R148" s="619"/>
      <c r="S148" s="57" t="s">
        <v>116</v>
      </c>
      <c r="T148" s="53"/>
      <c r="U148" s="53"/>
      <c r="V148" s="619"/>
      <c r="W148" s="57"/>
      <c r="X148" s="53"/>
      <c r="Y148" s="53"/>
      <c r="Z148" s="619"/>
      <c r="AA148" s="618"/>
      <c r="AB148" s="53"/>
      <c r="AC148" s="53"/>
      <c r="AD148" s="620"/>
      <c r="AE148" s="672"/>
      <c r="AF148" s="53"/>
      <c r="AG148" s="53" t="s">
        <v>28</v>
      </c>
      <c r="AH148" s="620"/>
      <c r="AI148" s="544"/>
    </row>
    <row r="149" spans="1:35" ht="21.95" customHeight="1" x14ac:dyDescent="0.2">
      <c r="A149" s="1"/>
      <c r="B149" s="72"/>
      <c r="C149" s="311"/>
      <c r="F149" s="353"/>
      <c r="G149" s="311"/>
      <c r="J149" s="353"/>
      <c r="K149" s="311"/>
      <c r="N149" s="353"/>
      <c r="O149" s="311"/>
      <c r="R149" s="353"/>
      <c r="S149" s="311"/>
      <c r="V149" s="353"/>
      <c r="W149" s="353"/>
      <c r="Z149" s="353"/>
      <c r="AA149" s="353"/>
      <c r="AD149" s="353"/>
      <c r="AE149" s="353"/>
      <c r="AH149" s="353"/>
    </row>
    <row r="150" spans="1:35" ht="21.95" customHeight="1" x14ac:dyDescent="0.2">
      <c r="A150" s="1" t="s">
        <v>659</v>
      </c>
      <c r="B150" s="72"/>
      <c r="C150" s="311"/>
      <c r="F150" s="353"/>
      <c r="G150" s="311"/>
      <c r="J150" s="353"/>
      <c r="K150" s="311"/>
      <c r="N150" s="353"/>
      <c r="O150" s="311"/>
      <c r="R150" s="353"/>
      <c r="S150" s="311"/>
      <c r="V150" s="353"/>
      <c r="W150" s="353"/>
      <c r="Z150" s="353"/>
      <c r="AA150" s="353"/>
      <c r="AD150" s="353"/>
      <c r="AE150" s="353"/>
      <c r="AH150" s="353"/>
    </row>
    <row r="151" spans="1:35" ht="21.95" customHeight="1" x14ac:dyDescent="0.2">
      <c r="A151" s="585"/>
      <c r="B151" s="296" t="s">
        <v>469</v>
      </c>
      <c r="C151" s="177">
        <v>1</v>
      </c>
      <c r="D151" s="177">
        <v>2</v>
      </c>
      <c r="E151" s="497">
        <v>3</v>
      </c>
      <c r="F151" s="497">
        <v>4</v>
      </c>
      <c r="G151" s="177">
        <v>5</v>
      </c>
      <c r="H151" s="177">
        <v>6</v>
      </c>
      <c r="I151" s="177">
        <v>7</v>
      </c>
      <c r="J151" s="177">
        <v>8</v>
      </c>
      <c r="K151" s="177">
        <v>9</v>
      </c>
      <c r="L151" s="497">
        <v>10</v>
      </c>
      <c r="M151" s="497">
        <v>11</v>
      </c>
      <c r="N151" s="177">
        <v>12</v>
      </c>
      <c r="O151" s="177">
        <v>13</v>
      </c>
      <c r="P151" s="177">
        <v>14</v>
      </c>
      <c r="Q151" s="177">
        <v>15</v>
      </c>
      <c r="R151" s="177">
        <v>16</v>
      </c>
      <c r="S151" s="497">
        <v>17</v>
      </c>
      <c r="T151" s="497">
        <v>18</v>
      </c>
      <c r="U151" s="177">
        <v>19</v>
      </c>
      <c r="V151" s="177">
        <v>20</v>
      </c>
      <c r="W151" s="177">
        <v>21</v>
      </c>
      <c r="X151" s="177">
        <v>22</v>
      </c>
      <c r="Y151" s="177">
        <v>23</v>
      </c>
      <c r="Z151" s="497">
        <v>24</v>
      </c>
      <c r="AA151" s="497">
        <v>25</v>
      </c>
      <c r="AB151" s="177">
        <v>26</v>
      </c>
      <c r="AC151" s="177">
        <v>27</v>
      </c>
      <c r="AD151" s="177">
        <v>28</v>
      </c>
      <c r="AE151" s="177">
        <v>29</v>
      </c>
      <c r="AF151" s="177">
        <v>30</v>
      </c>
      <c r="AG151" s="497">
        <v>31</v>
      </c>
      <c r="AH151" s="499" t="s">
        <v>470</v>
      </c>
      <c r="AI151" s="500" t="s">
        <v>471</v>
      </c>
    </row>
    <row r="152" spans="1:35" ht="21.95" customHeight="1" x14ac:dyDescent="0.2">
      <c r="A152" s="585"/>
      <c r="B152" s="673" t="s">
        <v>610</v>
      </c>
      <c r="C152" s="503" t="s">
        <v>552</v>
      </c>
      <c r="D152" s="503" t="s">
        <v>552</v>
      </c>
      <c r="E152" s="503"/>
      <c r="F152" s="503"/>
      <c r="G152" s="1549" t="s">
        <v>552</v>
      </c>
      <c r="H152" s="1549" t="s">
        <v>552</v>
      </c>
      <c r="I152" s="1549" t="s">
        <v>552</v>
      </c>
      <c r="J152" s="1549" t="s">
        <v>552</v>
      </c>
      <c r="K152" s="1549" t="s">
        <v>552</v>
      </c>
      <c r="L152" s="1549"/>
      <c r="M152" s="1549"/>
      <c r="N152" s="1655" t="s">
        <v>552</v>
      </c>
      <c r="O152" s="503" t="s">
        <v>552</v>
      </c>
      <c r="P152" s="503" t="s">
        <v>552</v>
      </c>
      <c r="Q152" s="503" t="s">
        <v>552</v>
      </c>
      <c r="R152" s="503" t="s">
        <v>552</v>
      </c>
      <c r="S152" s="503"/>
      <c r="T152" s="503"/>
      <c r="U152" s="503" t="s">
        <v>552</v>
      </c>
      <c r="V152" s="503" t="s">
        <v>552</v>
      </c>
      <c r="W152" s="503" t="s">
        <v>552</v>
      </c>
      <c r="X152" s="503" t="s">
        <v>552</v>
      </c>
      <c r="Y152" s="503" t="s">
        <v>552</v>
      </c>
      <c r="Z152" s="503"/>
      <c r="AA152" s="503"/>
      <c r="AB152" s="503" t="s">
        <v>552</v>
      </c>
      <c r="AC152" s="503" t="s">
        <v>552</v>
      </c>
      <c r="AD152" s="503" t="s">
        <v>552</v>
      </c>
      <c r="AE152" s="503" t="s">
        <v>552</v>
      </c>
      <c r="AF152" s="503" t="s">
        <v>552</v>
      </c>
      <c r="AG152" s="503"/>
      <c r="AH152" s="703">
        <v>0</v>
      </c>
      <c r="AI152" s="704">
        <v>30</v>
      </c>
    </row>
    <row r="153" spans="1:35" ht="21.95" customHeight="1" x14ac:dyDescent="0.2">
      <c r="A153" s="674">
        <v>8500</v>
      </c>
      <c r="B153" s="675" t="s">
        <v>156</v>
      </c>
      <c r="C153" s="503" t="s">
        <v>552</v>
      </c>
      <c r="D153" s="503" t="s">
        <v>552</v>
      </c>
      <c r="E153" s="503"/>
      <c r="F153" s="503"/>
      <c r="G153" s="503" t="s">
        <v>552</v>
      </c>
      <c r="H153" s="503" t="s">
        <v>552</v>
      </c>
      <c r="I153" s="503" t="s">
        <v>552</v>
      </c>
      <c r="J153" s="503" t="s">
        <v>552</v>
      </c>
      <c r="K153" s="503" t="s">
        <v>552</v>
      </c>
      <c r="L153" s="503"/>
      <c r="M153" s="503"/>
      <c r="N153" s="503" t="s">
        <v>552</v>
      </c>
      <c r="O153" s="503" t="s">
        <v>552</v>
      </c>
      <c r="P153" s="503" t="s">
        <v>552</v>
      </c>
      <c r="Q153" s="503" t="s">
        <v>552</v>
      </c>
      <c r="R153" s="503" t="s">
        <v>552</v>
      </c>
      <c r="S153" s="503"/>
      <c r="T153" s="503"/>
      <c r="U153" s="503" t="s">
        <v>552</v>
      </c>
      <c r="V153" s="503" t="s">
        <v>552</v>
      </c>
      <c r="W153" s="503" t="s">
        <v>552</v>
      </c>
      <c r="X153" s="503" t="s">
        <v>552</v>
      </c>
      <c r="Y153" s="503" t="s">
        <v>552</v>
      </c>
      <c r="Z153" s="503"/>
      <c r="AA153" s="503"/>
      <c r="AB153" s="1655" t="s">
        <v>552</v>
      </c>
      <c r="AC153" s="1655" t="s">
        <v>552</v>
      </c>
      <c r="AD153" s="1655" t="s">
        <v>552</v>
      </c>
      <c r="AE153" s="1655" t="s">
        <v>552</v>
      </c>
      <c r="AF153" s="1655" t="s">
        <v>552</v>
      </c>
      <c r="AG153" s="503"/>
      <c r="AH153" s="648">
        <v>37</v>
      </c>
      <c r="AI153" s="649">
        <v>37</v>
      </c>
    </row>
    <row r="154" spans="1:35" ht="21" customHeight="1" x14ac:dyDescent="0.2">
      <c r="A154" s="441"/>
      <c r="B154" s="673" t="s">
        <v>611</v>
      </c>
      <c r="C154" s="503" t="s">
        <v>552</v>
      </c>
      <c r="D154" s="503" t="s">
        <v>552</v>
      </c>
      <c r="E154" s="503"/>
      <c r="F154" s="503"/>
      <c r="G154" s="503" t="s">
        <v>552</v>
      </c>
      <c r="H154" s="503" t="s">
        <v>552</v>
      </c>
      <c r="I154" s="503" t="s">
        <v>552</v>
      </c>
      <c r="J154" s="503" t="s">
        <v>552</v>
      </c>
      <c r="K154" s="503" t="s">
        <v>552</v>
      </c>
      <c r="L154" s="503"/>
      <c r="M154" s="503"/>
      <c r="N154" s="503" t="s">
        <v>552</v>
      </c>
      <c r="O154" s="503" t="s">
        <v>552</v>
      </c>
      <c r="P154" s="503" t="s">
        <v>552</v>
      </c>
      <c r="Q154" s="503" t="s">
        <v>552</v>
      </c>
      <c r="R154" s="503" t="s">
        <v>552</v>
      </c>
      <c r="S154" s="503"/>
      <c r="T154" s="503"/>
      <c r="U154" s="503" t="s">
        <v>552</v>
      </c>
      <c r="V154" s="503" t="s">
        <v>552</v>
      </c>
      <c r="W154" s="503" t="s">
        <v>552</v>
      </c>
      <c r="X154" s="503" t="s">
        <v>552</v>
      </c>
      <c r="Y154" s="503" t="s">
        <v>552</v>
      </c>
      <c r="Z154" s="503"/>
      <c r="AA154" s="503"/>
      <c r="AB154" s="503" t="s">
        <v>552</v>
      </c>
      <c r="AC154" s="503" t="s">
        <v>552</v>
      </c>
      <c r="AD154" s="503" t="s">
        <v>552</v>
      </c>
      <c r="AE154" s="503" t="s">
        <v>552</v>
      </c>
      <c r="AF154" s="503" t="s">
        <v>552</v>
      </c>
      <c r="AG154" s="503"/>
      <c r="AH154" s="648">
        <v>30</v>
      </c>
      <c r="AI154" s="649">
        <v>37</v>
      </c>
    </row>
    <row r="155" spans="1:35" ht="21" customHeight="1" x14ac:dyDescent="0.2">
      <c r="A155" s="441">
        <v>8521</v>
      </c>
      <c r="B155" s="673" t="s">
        <v>613</v>
      </c>
      <c r="C155" s="503" t="s">
        <v>552</v>
      </c>
      <c r="D155" s="503" t="s">
        <v>552</v>
      </c>
      <c r="E155" s="503"/>
      <c r="F155" s="503"/>
      <c r="G155" s="503" t="s">
        <v>552</v>
      </c>
      <c r="H155" s="503" t="s">
        <v>552</v>
      </c>
      <c r="I155" s="503" t="s">
        <v>552</v>
      </c>
      <c r="J155" s="503" t="s">
        <v>552</v>
      </c>
      <c r="K155" s="503" t="s">
        <v>552</v>
      </c>
      <c r="L155" s="503"/>
      <c r="M155" s="503"/>
      <c r="N155" s="503" t="s">
        <v>552</v>
      </c>
      <c r="O155" s="503" t="s">
        <v>552</v>
      </c>
      <c r="P155" s="503" t="s">
        <v>552</v>
      </c>
      <c r="Q155" s="503" t="s">
        <v>552</v>
      </c>
      <c r="R155" s="503" t="s">
        <v>552</v>
      </c>
      <c r="S155" s="503"/>
      <c r="T155" s="503"/>
      <c r="U155" s="503" t="s">
        <v>552</v>
      </c>
      <c r="V155" s="503" t="s">
        <v>552</v>
      </c>
      <c r="W155" s="503" t="s">
        <v>552</v>
      </c>
      <c r="X155" s="503" t="s">
        <v>552</v>
      </c>
      <c r="Y155" s="503" t="s">
        <v>552</v>
      </c>
      <c r="Z155" s="503"/>
      <c r="AA155" s="503"/>
      <c r="AB155" s="503" t="s">
        <v>552</v>
      </c>
      <c r="AC155" s="503" t="s">
        <v>552</v>
      </c>
      <c r="AD155" s="503" t="s">
        <v>552</v>
      </c>
      <c r="AE155" s="503" t="s">
        <v>552</v>
      </c>
      <c r="AF155" s="503" t="s">
        <v>552</v>
      </c>
      <c r="AG155" s="503"/>
      <c r="AH155" s="648">
        <v>0</v>
      </c>
      <c r="AI155" s="649">
        <v>0</v>
      </c>
    </row>
    <row r="156" spans="1:35" ht="21" customHeight="1" x14ac:dyDescent="0.2">
      <c r="A156" s="441"/>
      <c r="B156" s="673"/>
      <c r="C156" s="503" t="s">
        <v>552</v>
      </c>
      <c r="D156" s="503" t="s">
        <v>552</v>
      </c>
      <c r="E156" s="503"/>
      <c r="F156" s="503"/>
      <c r="G156" s="503" t="s">
        <v>552</v>
      </c>
      <c r="H156" s="503" t="s">
        <v>552</v>
      </c>
      <c r="I156" s="503" t="s">
        <v>552</v>
      </c>
      <c r="J156" s="503" t="s">
        <v>552</v>
      </c>
      <c r="K156" s="503" t="s">
        <v>552</v>
      </c>
      <c r="L156" s="503"/>
      <c r="M156" s="503"/>
      <c r="N156" s="503" t="s">
        <v>552</v>
      </c>
      <c r="O156" s="503" t="s">
        <v>552</v>
      </c>
      <c r="P156" s="503" t="s">
        <v>552</v>
      </c>
      <c r="Q156" s="503" t="s">
        <v>552</v>
      </c>
      <c r="R156" s="503" t="s">
        <v>552</v>
      </c>
      <c r="S156" s="503"/>
      <c r="T156" s="503"/>
      <c r="U156" s="503" t="s">
        <v>552</v>
      </c>
      <c r="V156" s="503" t="s">
        <v>552</v>
      </c>
      <c r="W156" s="503" t="s">
        <v>552</v>
      </c>
      <c r="X156" s="503" t="s">
        <v>552</v>
      </c>
      <c r="Y156" s="503" t="s">
        <v>552</v>
      </c>
      <c r="Z156" s="503"/>
      <c r="AA156" s="503"/>
      <c r="AB156" s="503" t="s">
        <v>552</v>
      </c>
      <c r="AC156" s="503" t="s">
        <v>552</v>
      </c>
      <c r="AD156" s="503" t="s">
        <v>552</v>
      </c>
      <c r="AE156" s="503" t="s">
        <v>552</v>
      </c>
      <c r="AF156" s="503" t="s">
        <v>552</v>
      </c>
      <c r="AG156" s="503"/>
      <c r="AH156" s="648">
        <v>37</v>
      </c>
      <c r="AI156" s="649">
        <v>37</v>
      </c>
    </row>
    <row r="157" spans="1:35" ht="21" customHeight="1" x14ac:dyDescent="0.2">
      <c r="A157" s="441">
        <v>8514</v>
      </c>
      <c r="B157" s="676" t="s">
        <v>615</v>
      </c>
      <c r="C157" s="503" t="s">
        <v>552</v>
      </c>
      <c r="D157" s="503" t="s">
        <v>552</v>
      </c>
      <c r="E157" s="503"/>
      <c r="F157" s="503"/>
      <c r="G157" s="503" t="s">
        <v>552</v>
      </c>
      <c r="H157" s="503" t="s">
        <v>552</v>
      </c>
      <c r="I157" s="503" t="s">
        <v>552</v>
      </c>
      <c r="J157" s="503" t="s">
        <v>552</v>
      </c>
      <c r="K157" s="1510" t="s">
        <v>552</v>
      </c>
      <c r="L157" s="1510"/>
      <c r="M157" s="1510"/>
      <c r="N157" s="1510" t="s">
        <v>552</v>
      </c>
      <c r="O157" s="1510" t="s">
        <v>617</v>
      </c>
      <c r="P157" s="503" t="s">
        <v>552</v>
      </c>
      <c r="Q157" s="503" t="s">
        <v>552</v>
      </c>
      <c r="R157" s="503" t="s">
        <v>552</v>
      </c>
      <c r="S157" s="503"/>
      <c r="T157" s="503"/>
      <c r="U157" s="503" t="s">
        <v>552</v>
      </c>
      <c r="V157" s="503" t="s">
        <v>552</v>
      </c>
      <c r="W157" s="503" t="s">
        <v>552</v>
      </c>
      <c r="X157" s="503" t="s">
        <v>552</v>
      </c>
      <c r="Y157" s="503" t="s">
        <v>552</v>
      </c>
      <c r="Z157" s="503"/>
      <c r="AA157" s="503"/>
      <c r="AB157" s="503" t="s">
        <v>552</v>
      </c>
      <c r="AC157" s="503" t="s">
        <v>552</v>
      </c>
      <c r="AD157" s="503" t="s">
        <v>552</v>
      </c>
      <c r="AE157" s="503" t="s">
        <v>552</v>
      </c>
      <c r="AF157" s="503" t="s">
        <v>552</v>
      </c>
      <c r="AG157" s="503"/>
      <c r="AH157" s="648">
        <v>17</v>
      </c>
      <c r="AI157" s="649">
        <v>37</v>
      </c>
    </row>
    <row r="158" spans="1:35" ht="21" customHeight="1" x14ac:dyDescent="0.2">
      <c r="A158" s="441">
        <v>3701</v>
      </c>
      <c r="B158" s="673" t="s">
        <v>433</v>
      </c>
      <c r="C158" s="503" t="s">
        <v>552</v>
      </c>
      <c r="D158" s="503" t="s">
        <v>552</v>
      </c>
      <c r="E158" s="503"/>
      <c r="F158" s="503"/>
      <c r="G158" s="503" t="s">
        <v>552</v>
      </c>
      <c r="H158" s="503" t="s">
        <v>552</v>
      </c>
      <c r="I158" s="503" t="s">
        <v>552</v>
      </c>
      <c r="J158" s="503" t="s">
        <v>552</v>
      </c>
      <c r="K158" s="503" t="s">
        <v>552</v>
      </c>
      <c r="L158" s="503"/>
      <c r="M158" s="503"/>
      <c r="N158" s="503" t="s">
        <v>552</v>
      </c>
      <c r="O158" s="503" t="s">
        <v>552</v>
      </c>
      <c r="P158" s="503" t="s">
        <v>552</v>
      </c>
      <c r="Q158" s="503" t="s">
        <v>552</v>
      </c>
      <c r="R158" s="503" t="s">
        <v>552</v>
      </c>
      <c r="S158" s="503"/>
      <c r="T158" s="503"/>
      <c r="U158" s="503" t="s">
        <v>552</v>
      </c>
      <c r="V158" s="503" t="s">
        <v>552</v>
      </c>
      <c r="W158" s="503" t="s">
        <v>552</v>
      </c>
      <c r="X158" s="503" t="s">
        <v>552</v>
      </c>
      <c r="Y158" s="1513" t="s">
        <v>552</v>
      </c>
      <c r="Z158" s="503"/>
      <c r="AA158" s="503"/>
      <c r="AB158" s="503" t="s">
        <v>552</v>
      </c>
      <c r="AC158" s="503" t="s">
        <v>552</v>
      </c>
      <c r="AD158" s="503" t="s">
        <v>552</v>
      </c>
      <c r="AE158" s="503" t="s">
        <v>552</v>
      </c>
      <c r="AF158" s="503" t="s">
        <v>552</v>
      </c>
      <c r="AG158" s="503"/>
      <c r="AH158" s="648">
        <v>58</v>
      </c>
      <c r="AI158" s="649">
        <v>37</v>
      </c>
    </row>
    <row r="159" spans="1:35" ht="21.95" customHeight="1" x14ac:dyDescent="0.2">
      <c r="A159" s="441">
        <v>3701</v>
      </c>
      <c r="B159" s="673" t="s">
        <v>431</v>
      </c>
      <c r="C159" s="1510" t="s">
        <v>552</v>
      </c>
      <c r="D159" s="1510" t="s">
        <v>552</v>
      </c>
      <c r="E159" s="503"/>
      <c r="F159" s="503"/>
      <c r="G159" s="503" t="s">
        <v>552</v>
      </c>
      <c r="H159" s="503" t="s">
        <v>552</v>
      </c>
      <c r="I159" s="503" t="s">
        <v>552</v>
      </c>
      <c r="J159" s="503" t="s">
        <v>552</v>
      </c>
      <c r="K159" s="503" t="s">
        <v>552</v>
      </c>
      <c r="L159" s="503"/>
      <c r="M159" s="503"/>
      <c r="N159" s="503" t="s">
        <v>552</v>
      </c>
      <c r="O159" s="503" t="s">
        <v>552</v>
      </c>
      <c r="P159" s="503" t="s">
        <v>552</v>
      </c>
      <c r="Q159" s="503" t="s">
        <v>552</v>
      </c>
      <c r="R159" s="503" t="s">
        <v>552</v>
      </c>
      <c r="S159" s="503"/>
      <c r="T159" s="503"/>
      <c r="U159" s="503" t="s">
        <v>552</v>
      </c>
      <c r="V159" s="503" t="s">
        <v>552</v>
      </c>
      <c r="W159" s="503" t="s">
        <v>552</v>
      </c>
      <c r="X159" s="503" t="s">
        <v>552</v>
      </c>
      <c r="Y159" s="503" t="s">
        <v>552</v>
      </c>
      <c r="Z159" s="503"/>
      <c r="AA159" s="503"/>
      <c r="AB159" s="503" t="s">
        <v>552</v>
      </c>
      <c r="AC159" s="503" t="s">
        <v>552</v>
      </c>
      <c r="AD159" s="503" t="s">
        <v>552</v>
      </c>
      <c r="AE159" s="503" t="s">
        <v>552</v>
      </c>
      <c r="AF159" s="503" t="s">
        <v>552</v>
      </c>
      <c r="AG159" s="503"/>
      <c r="AH159" s="648">
        <v>8</v>
      </c>
      <c r="AI159" s="649">
        <v>37</v>
      </c>
    </row>
    <row r="160" spans="1:35" ht="21.95" customHeight="1" x14ac:dyDescent="0.2">
      <c r="A160" s="441">
        <v>3701</v>
      </c>
      <c r="B160" s="673" t="s">
        <v>434</v>
      </c>
      <c r="C160" s="503" t="s">
        <v>552</v>
      </c>
      <c r="D160" s="503" t="s">
        <v>552</v>
      </c>
      <c r="E160" s="503"/>
      <c r="F160" s="503"/>
      <c r="G160" s="503" t="s">
        <v>552</v>
      </c>
      <c r="H160" s="503" t="s">
        <v>552</v>
      </c>
      <c r="I160" s="503" t="s">
        <v>552</v>
      </c>
      <c r="J160" s="503" t="s">
        <v>552</v>
      </c>
      <c r="K160" s="503" t="s">
        <v>552</v>
      </c>
      <c r="L160" s="503"/>
      <c r="M160" s="503"/>
      <c r="N160" s="503" t="s">
        <v>552</v>
      </c>
      <c r="O160" s="1440" t="s">
        <v>552</v>
      </c>
      <c r="P160" s="1440" t="s">
        <v>552</v>
      </c>
      <c r="Q160" s="1440" t="s">
        <v>552</v>
      </c>
      <c r="R160" s="1440" t="s">
        <v>552</v>
      </c>
      <c r="S160" s="503"/>
      <c r="T160" s="503"/>
      <c r="U160" s="503">
        <v>19</v>
      </c>
      <c r="V160" s="1440">
        <v>19</v>
      </c>
      <c r="W160" s="1440">
        <v>19</v>
      </c>
      <c r="X160" s="1608">
        <v>19</v>
      </c>
      <c r="Y160" s="1440">
        <v>17</v>
      </c>
      <c r="Z160" s="503"/>
      <c r="AA160" s="503"/>
      <c r="AB160" s="503" t="s">
        <v>552</v>
      </c>
      <c r="AC160" s="503" t="s">
        <v>552</v>
      </c>
      <c r="AD160" s="503" t="s">
        <v>552</v>
      </c>
      <c r="AE160" s="503" t="s">
        <v>552</v>
      </c>
      <c r="AF160" s="503" t="s">
        <v>552</v>
      </c>
      <c r="AG160" s="503"/>
      <c r="AH160" s="648">
        <v>21</v>
      </c>
      <c r="AI160" s="649">
        <v>0</v>
      </c>
    </row>
    <row r="161" spans="1:35" ht="21.95" customHeight="1" x14ac:dyDescent="0.2">
      <c r="A161" s="441">
        <v>3701</v>
      </c>
      <c r="B161" s="673" t="s">
        <v>436</v>
      </c>
      <c r="C161" s="503">
        <v>19</v>
      </c>
      <c r="D161" s="1608">
        <v>17</v>
      </c>
      <c r="E161" s="503"/>
      <c r="F161" s="503"/>
      <c r="G161" s="1549" t="s">
        <v>552</v>
      </c>
      <c r="H161" s="1549" t="s">
        <v>552</v>
      </c>
      <c r="I161" s="1549" t="s">
        <v>552</v>
      </c>
      <c r="J161" s="1549" t="s">
        <v>552</v>
      </c>
      <c r="K161" s="1549" t="s">
        <v>552</v>
      </c>
      <c r="L161" s="1549"/>
      <c r="M161" s="1549"/>
      <c r="N161" s="1549" t="s">
        <v>552</v>
      </c>
      <c r="O161" s="1549" t="s">
        <v>552</v>
      </c>
      <c r="P161" s="1549" t="s">
        <v>552</v>
      </c>
      <c r="Q161" s="1549" t="s">
        <v>552</v>
      </c>
      <c r="R161" s="1549" t="s">
        <v>552</v>
      </c>
      <c r="S161" s="1549"/>
      <c r="T161" s="1549"/>
      <c r="U161" s="1628" t="s">
        <v>552</v>
      </c>
      <c r="V161" s="503" t="s">
        <v>552</v>
      </c>
      <c r="W161" s="503" t="s">
        <v>552</v>
      </c>
      <c r="X161" s="503" t="s">
        <v>552</v>
      </c>
      <c r="Y161" s="503" t="s">
        <v>552</v>
      </c>
      <c r="Z161" s="503"/>
      <c r="AA161" s="503"/>
      <c r="AB161" s="503" t="s">
        <v>552</v>
      </c>
      <c r="AC161" s="503" t="s">
        <v>552</v>
      </c>
      <c r="AD161" s="503" t="s">
        <v>552</v>
      </c>
      <c r="AE161" s="503" t="s">
        <v>552</v>
      </c>
      <c r="AF161" s="503" t="s">
        <v>552</v>
      </c>
      <c r="AG161" s="503"/>
      <c r="AH161" s="648">
        <v>0</v>
      </c>
      <c r="AI161" s="649">
        <v>0</v>
      </c>
    </row>
    <row r="162" spans="1:35" ht="21.95" customHeight="1" x14ac:dyDescent="0.2">
      <c r="A162" s="441">
        <v>3701</v>
      </c>
      <c r="B162" s="673" t="s">
        <v>437</v>
      </c>
      <c r="C162" s="503" t="s">
        <v>552</v>
      </c>
      <c r="D162" s="503" t="s">
        <v>552</v>
      </c>
      <c r="E162" s="503"/>
      <c r="F162" s="503"/>
      <c r="G162" s="503" t="s">
        <v>552</v>
      </c>
      <c r="H162" s="1440" t="s">
        <v>552</v>
      </c>
      <c r="I162" s="1440" t="s">
        <v>552</v>
      </c>
      <c r="J162" s="1440" t="s">
        <v>552</v>
      </c>
      <c r="K162" s="1440" t="s">
        <v>552</v>
      </c>
      <c r="L162" s="503"/>
      <c r="M162" s="503"/>
      <c r="N162" s="503">
        <v>19</v>
      </c>
      <c r="O162" s="1440">
        <v>19</v>
      </c>
      <c r="P162" s="1440">
        <v>19</v>
      </c>
      <c r="Q162" s="1440">
        <v>19</v>
      </c>
      <c r="R162" s="1440">
        <v>17</v>
      </c>
      <c r="S162" s="503"/>
      <c r="T162" s="503"/>
      <c r="U162" s="503" t="s">
        <v>552</v>
      </c>
      <c r="V162" s="503" t="s">
        <v>552</v>
      </c>
      <c r="W162" s="503" t="s">
        <v>552</v>
      </c>
      <c r="X162" s="503" t="s">
        <v>552</v>
      </c>
      <c r="Y162" s="503" t="s">
        <v>552</v>
      </c>
      <c r="Z162" s="503"/>
      <c r="AA162" s="503"/>
      <c r="AB162" s="503" t="s">
        <v>552</v>
      </c>
      <c r="AC162" s="503" t="s">
        <v>552</v>
      </c>
      <c r="AD162" s="503" t="s">
        <v>552</v>
      </c>
      <c r="AE162" s="1628" t="s">
        <v>552</v>
      </c>
      <c r="AF162" s="1628" t="s">
        <v>552</v>
      </c>
      <c r="AG162" s="503"/>
      <c r="AH162" s="648">
        <v>0</v>
      </c>
      <c r="AI162" s="649">
        <v>23</v>
      </c>
    </row>
    <row r="163" spans="1:35" ht="21.95" customHeight="1" x14ac:dyDescent="0.2">
      <c r="A163" s="441">
        <v>3701</v>
      </c>
      <c r="B163" s="673" t="s">
        <v>618</v>
      </c>
      <c r="C163" s="503" t="s">
        <v>552</v>
      </c>
      <c r="D163" s="503" t="s">
        <v>552</v>
      </c>
      <c r="E163" s="503"/>
      <c r="F163" s="503"/>
      <c r="G163" s="503" t="s">
        <v>552</v>
      </c>
      <c r="H163" s="503" t="s">
        <v>552</v>
      </c>
      <c r="I163" s="503" t="s">
        <v>552</v>
      </c>
      <c r="J163" s="503" t="s">
        <v>552</v>
      </c>
      <c r="K163" s="503" t="s">
        <v>552</v>
      </c>
      <c r="L163" s="503"/>
      <c r="M163" s="503"/>
      <c r="N163" s="503" t="s">
        <v>552</v>
      </c>
      <c r="O163" s="503" t="s">
        <v>552</v>
      </c>
      <c r="P163" s="503" t="s">
        <v>552</v>
      </c>
      <c r="Q163" s="503" t="s">
        <v>552</v>
      </c>
      <c r="R163" s="503" t="s">
        <v>552</v>
      </c>
      <c r="S163" s="503"/>
      <c r="T163" s="503"/>
      <c r="U163" s="503" t="s">
        <v>552</v>
      </c>
      <c r="V163" s="1440" t="s">
        <v>552</v>
      </c>
      <c r="W163" s="1440" t="s">
        <v>552</v>
      </c>
      <c r="X163" s="1440" t="s">
        <v>552</v>
      </c>
      <c r="Y163" s="1440" t="s">
        <v>552</v>
      </c>
      <c r="Z163" s="503"/>
      <c r="AA163" s="503"/>
      <c r="AB163" s="503">
        <v>19</v>
      </c>
      <c r="AC163" s="1440">
        <v>19</v>
      </c>
      <c r="AD163" s="1440">
        <v>19</v>
      </c>
      <c r="AE163" s="1440">
        <v>19</v>
      </c>
      <c r="AF163" s="1440">
        <v>17</v>
      </c>
      <c r="AG163" s="503"/>
      <c r="AH163" s="648">
        <v>0</v>
      </c>
      <c r="AI163" s="649">
        <v>14</v>
      </c>
    </row>
    <row r="164" spans="1:35" ht="21.95" customHeight="1" x14ac:dyDescent="0.2">
      <c r="A164" s="441">
        <v>3701</v>
      </c>
      <c r="B164" s="552" t="s">
        <v>619</v>
      </c>
      <c r="C164" s="503" t="s">
        <v>552</v>
      </c>
      <c r="D164" s="1440" t="s">
        <v>552</v>
      </c>
      <c r="E164" s="503"/>
      <c r="F164" s="503"/>
      <c r="G164" s="503">
        <v>19</v>
      </c>
      <c r="H164" s="1440">
        <v>19</v>
      </c>
      <c r="I164" s="1440">
        <v>19</v>
      </c>
      <c r="J164" s="1440">
        <v>19</v>
      </c>
      <c r="K164" s="1440">
        <v>17</v>
      </c>
      <c r="L164" s="503"/>
      <c r="M164" s="503"/>
      <c r="N164" s="503" t="s">
        <v>552</v>
      </c>
      <c r="O164" s="503" t="s">
        <v>552</v>
      </c>
      <c r="P164" s="503" t="s">
        <v>552</v>
      </c>
      <c r="Q164" s="503" t="s">
        <v>552</v>
      </c>
      <c r="R164" s="503" t="s">
        <v>552</v>
      </c>
      <c r="S164" s="503"/>
      <c r="T164" s="503"/>
      <c r="U164" s="503" t="s">
        <v>552</v>
      </c>
      <c r="V164" s="503" t="s">
        <v>552</v>
      </c>
      <c r="W164" s="503" t="s">
        <v>552</v>
      </c>
      <c r="X164" s="503" t="s">
        <v>552</v>
      </c>
      <c r="Y164" s="503" t="s">
        <v>552</v>
      </c>
      <c r="Z164" s="503"/>
      <c r="AA164" s="503"/>
      <c r="AB164" s="503" t="s">
        <v>552</v>
      </c>
      <c r="AC164" s="503" t="s">
        <v>552</v>
      </c>
      <c r="AD164" s="503" t="s">
        <v>552</v>
      </c>
      <c r="AE164" s="503" t="s">
        <v>552</v>
      </c>
      <c r="AF164" s="503" t="s">
        <v>552</v>
      </c>
      <c r="AG164" s="503"/>
      <c r="AH164" s="648">
        <v>0</v>
      </c>
      <c r="AI164" s="649">
        <v>37</v>
      </c>
    </row>
    <row r="165" spans="1:35" ht="21.95" customHeight="1" x14ac:dyDescent="0.2">
      <c r="A165" s="1433">
        <v>3701</v>
      </c>
      <c r="B165" s="1434" t="s">
        <v>620</v>
      </c>
      <c r="C165" s="503" t="s">
        <v>552</v>
      </c>
      <c r="D165" s="1513" t="s">
        <v>552</v>
      </c>
      <c r="E165" s="503"/>
      <c r="F165" s="503"/>
      <c r="G165" s="1549" t="s">
        <v>552</v>
      </c>
      <c r="H165" s="1549" t="s">
        <v>552</v>
      </c>
      <c r="I165" s="1549" t="s">
        <v>552</v>
      </c>
      <c r="J165" s="1549" t="s">
        <v>552</v>
      </c>
      <c r="K165" s="1549" t="s">
        <v>552</v>
      </c>
      <c r="L165" s="1549"/>
      <c r="M165" s="1549"/>
      <c r="N165" s="1549" t="s">
        <v>552</v>
      </c>
      <c r="O165" s="1549" t="s">
        <v>552</v>
      </c>
      <c r="P165" s="1549" t="s">
        <v>552</v>
      </c>
      <c r="Q165" s="1549" t="s">
        <v>552</v>
      </c>
      <c r="R165" s="1549" t="s">
        <v>552</v>
      </c>
      <c r="S165" s="1549"/>
      <c r="T165" s="1549"/>
      <c r="U165" s="503" t="s">
        <v>552</v>
      </c>
      <c r="V165" s="503" t="s">
        <v>552</v>
      </c>
      <c r="W165" s="503" t="s">
        <v>552</v>
      </c>
      <c r="X165" s="503" t="s">
        <v>552</v>
      </c>
      <c r="Y165" s="503" t="s">
        <v>552</v>
      </c>
      <c r="Z165" s="503"/>
      <c r="AA165" s="503"/>
      <c r="AB165" s="503" t="s">
        <v>552</v>
      </c>
      <c r="AC165" s="1440" t="s">
        <v>552</v>
      </c>
      <c r="AD165" s="1440" t="s">
        <v>552</v>
      </c>
      <c r="AE165" s="1440" t="s">
        <v>552</v>
      </c>
      <c r="AF165" s="1440" t="s">
        <v>552</v>
      </c>
      <c r="AG165" s="503"/>
      <c r="AH165" s="648">
        <v>74</v>
      </c>
      <c r="AI165" s="649">
        <v>6</v>
      </c>
    </row>
    <row r="166" spans="1:35" ht="21.95" customHeight="1" x14ac:dyDescent="0.2">
      <c r="A166" s="441">
        <v>3701</v>
      </c>
      <c r="B166" s="552" t="s">
        <v>621</v>
      </c>
      <c r="C166" s="503" t="s">
        <v>552</v>
      </c>
      <c r="D166" s="503" t="s">
        <v>552</v>
      </c>
      <c r="E166" s="503"/>
      <c r="F166" s="503"/>
      <c r="G166" s="1650" t="s">
        <v>552</v>
      </c>
      <c r="H166" s="1650" t="s">
        <v>552</v>
      </c>
      <c r="I166" s="1650" t="s">
        <v>552</v>
      </c>
      <c r="J166" s="503" t="s">
        <v>552</v>
      </c>
      <c r="K166" s="503" t="s">
        <v>552</v>
      </c>
      <c r="L166" s="503"/>
      <c r="M166" s="503"/>
      <c r="N166" s="503" t="s">
        <v>552</v>
      </c>
      <c r="O166" s="503" t="s">
        <v>552</v>
      </c>
      <c r="P166" s="503" t="s">
        <v>552</v>
      </c>
      <c r="Q166" s="503" t="s">
        <v>552</v>
      </c>
      <c r="R166" s="503" t="s">
        <v>552</v>
      </c>
      <c r="S166" s="503"/>
      <c r="T166" s="503"/>
      <c r="U166" s="503" t="s">
        <v>552</v>
      </c>
      <c r="V166" s="503" t="s">
        <v>552</v>
      </c>
      <c r="W166" s="503" t="s">
        <v>552</v>
      </c>
      <c r="X166" s="503" t="s">
        <v>552</v>
      </c>
      <c r="Y166" s="503" t="s">
        <v>552</v>
      </c>
      <c r="Z166" s="503"/>
      <c r="AA166" s="503"/>
      <c r="AB166" s="503" t="s">
        <v>552</v>
      </c>
      <c r="AC166" s="503" t="s">
        <v>552</v>
      </c>
      <c r="AD166" s="503" t="s">
        <v>552</v>
      </c>
      <c r="AE166" s="503" t="s">
        <v>552</v>
      </c>
      <c r="AF166" s="503" t="s">
        <v>552</v>
      </c>
      <c r="AG166" s="503"/>
      <c r="AH166" s="648">
        <v>27</v>
      </c>
      <c r="AI166" s="649">
        <v>29</v>
      </c>
    </row>
    <row r="167" spans="1:35" ht="21.95" customHeight="1" x14ac:dyDescent="0.2">
      <c r="A167" s="441">
        <v>3701</v>
      </c>
      <c r="B167" s="673" t="s">
        <v>622</v>
      </c>
      <c r="C167" s="503" t="s">
        <v>552</v>
      </c>
      <c r="D167" s="503" t="s">
        <v>552</v>
      </c>
      <c r="E167" s="503"/>
      <c r="F167" s="503"/>
      <c r="G167" s="503" t="s">
        <v>552</v>
      </c>
      <c r="H167" s="503" t="s">
        <v>552</v>
      </c>
      <c r="I167" s="503" t="s">
        <v>552</v>
      </c>
      <c r="J167" s="503" t="s">
        <v>552</v>
      </c>
      <c r="K167" s="503" t="s">
        <v>552</v>
      </c>
      <c r="L167" s="503"/>
      <c r="M167" s="503"/>
      <c r="N167" s="503" t="s">
        <v>552</v>
      </c>
      <c r="O167" s="503" t="s">
        <v>552</v>
      </c>
      <c r="P167" s="503" t="s">
        <v>552</v>
      </c>
      <c r="Q167" s="503" t="s">
        <v>552</v>
      </c>
      <c r="R167" s="1538" t="s">
        <v>552</v>
      </c>
      <c r="S167" s="503"/>
      <c r="T167" s="503"/>
      <c r="U167" s="503" t="s">
        <v>552</v>
      </c>
      <c r="V167" s="503" t="s">
        <v>552</v>
      </c>
      <c r="W167" s="503" t="s">
        <v>552</v>
      </c>
      <c r="X167" s="503" t="s">
        <v>552</v>
      </c>
      <c r="Y167" s="503" t="s">
        <v>552</v>
      </c>
      <c r="Z167" s="503"/>
      <c r="AA167" s="503"/>
      <c r="AB167" s="503" t="s">
        <v>552</v>
      </c>
      <c r="AC167" s="503" t="s">
        <v>552</v>
      </c>
      <c r="AD167" s="503" t="s">
        <v>552</v>
      </c>
      <c r="AE167" s="503" t="s">
        <v>552</v>
      </c>
      <c r="AF167" s="503" t="s">
        <v>552</v>
      </c>
      <c r="AG167" s="503"/>
      <c r="AH167" s="648">
        <v>31</v>
      </c>
      <c r="AI167" s="649">
        <v>29</v>
      </c>
    </row>
    <row r="168" spans="1:35" ht="21.95" customHeight="1" thickBot="1" x14ac:dyDescent="0.25">
      <c r="A168" s="441">
        <v>3701</v>
      </c>
      <c r="B168" s="673" t="s">
        <v>623</v>
      </c>
      <c r="C168" s="1510" t="s">
        <v>617</v>
      </c>
      <c r="D168" s="503" t="s">
        <v>552</v>
      </c>
      <c r="E168" s="503"/>
      <c r="F168" s="503"/>
      <c r="G168" s="1650" t="s">
        <v>552</v>
      </c>
      <c r="H168" s="1650" t="s">
        <v>552</v>
      </c>
      <c r="I168" s="1650" t="s">
        <v>552</v>
      </c>
      <c r="J168" s="503" t="s">
        <v>552</v>
      </c>
      <c r="K168" s="503" t="s">
        <v>552</v>
      </c>
      <c r="L168" s="503"/>
      <c r="M168" s="503"/>
      <c r="N168" s="503" t="s">
        <v>552</v>
      </c>
      <c r="O168" s="503" t="s">
        <v>552</v>
      </c>
      <c r="P168" s="503" t="s">
        <v>552</v>
      </c>
      <c r="Q168" s="503" t="s">
        <v>552</v>
      </c>
      <c r="R168" s="503" t="s">
        <v>552</v>
      </c>
      <c r="S168" s="503"/>
      <c r="T168" s="503"/>
      <c r="U168" s="503" t="s">
        <v>552</v>
      </c>
      <c r="V168" s="503" t="s">
        <v>552</v>
      </c>
      <c r="W168" s="503" t="s">
        <v>552</v>
      </c>
      <c r="X168" s="503" t="s">
        <v>552</v>
      </c>
      <c r="Y168" s="503" t="s">
        <v>552</v>
      </c>
      <c r="Z168" s="503"/>
      <c r="AA168" s="503"/>
      <c r="AB168" s="503" t="s">
        <v>552</v>
      </c>
      <c r="AC168" s="503" t="s">
        <v>552</v>
      </c>
      <c r="AD168" s="503" t="s">
        <v>552</v>
      </c>
      <c r="AE168" s="503" t="s">
        <v>552</v>
      </c>
      <c r="AF168" s="503" t="s">
        <v>552</v>
      </c>
      <c r="AG168" s="503"/>
      <c r="AH168" s="648">
        <v>29</v>
      </c>
      <c r="AI168" s="649">
        <v>31</v>
      </c>
    </row>
    <row r="169" spans="1:35" ht="21.95" customHeight="1" thickBot="1" x14ac:dyDescent="0.25">
      <c r="A169" s="441"/>
      <c r="B169" s="1111" t="s">
        <v>720</v>
      </c>
      <c r="C169" s="503" t="s">
        <v>552</v>
      </c>
      <c r="D169" s="503" t="s">
        <v>552</v>
      </c>
      <c r="E169" s="503"/>
      <c r="F169" s="503"/>
      <c r="G169" s="503" t="s">
        <v>552</v>
      </c>
      <c r="H169" s="503" t="s">
        <v>552</v>
      </c>
      <c r="I169" s="503" t="s">
        <v>552</v>
      </c>
      <c r="J169" s="503" t="s">
        <v>552</v>
      </c>
      <c r="K169" s="503" t="s">
        <v>552</v>
      </c>
      <c r="L169" s="503"/>
      <c r="M169" s="503"/>
      <c r="N169" s="503" t="s">
        <v>552</v>
      </c>
      <c r="O169" s="503" t="s">
        <v>552</v>
      </c>
      <c r="P169" s="503" t="s">
        <v>552</v>
      </c>
      <c r="Q169" s="503" t="s">
        <v>552</v>
      </c>
      <c r="R169" s="503" t="s">
        <v>552</v>
      </c>
      <c r="S169" s="503"/>
      <c r="T169" s="503"/>
      <c r="U169" s="503" t="s">
        <v>552</v>
      </c>
      <c r="V169" s="503" t="s">
        <v>552</v>
      </c>
      <c r="W169" s="503" t="s">
        <v>552</v>
      </c>
      <c r="X169" s="503" t="s">
        <v>552</v>
      </c>
      <c r="Y169" s="503" t="s">
        <v>552</v>
      </c>
      <c r="Z169" s="503"/>
      <c r="AA169" s="503"/>
      <c r="AB169" s="503" t="s">
        <v>552</v>
      </c>
      <c r="AC169" s="503" t="s">
        <v>552</v>
      </c>
      <c r="AD169" s="503" t="s">
        <v>552</v>
      </c>
      <c r="AE169" s="503" t="s">
        <v>552</v>
      </c>
      <c r="AF169" s="503" t="s">
        <v>552</v>
      </c>
      <c r="AG169" s="504"/>
      <c r="AH169" s="1679"/>
      <c r="AI169" s="1680"/>
    </row>
    <row r="170" spans="1:35" ht="21.95" customHeight="1" x14ac:dyDescent="0.2">
      <c r="A170" s="621"/>
      <c r="B170" s="677"/>
      <c r="C170" s="525"/>
      <c r="D170" s="525"/>
      <c r="E170" s="525"/>
      <c r="F170" s="525"/>
      <c r="G170" s="525"/>
      <c r="H170" s="525"/>
      <c r="I170" s="525"/>
      <c r="J170" s="525"/>
      <c r="K170" s="525"/>
      <c r="L170" s="525"/>
      <c r="M170" s="525"/>
      <c r="N170" s="525"/>
      <c r="O170" s="525"/>
      <c r="P170" s="525"/>
      <c r="Q170" s="525"/>
      <c r="R170" s="525"/>
      <c r="S170" s="525"/>
      <c r="T170" s="525"/>
      <c r="U170" s="525"/>
      <c r="V170" s="525"/>
      <c r="W170" s="525"/>
      <c r="X170" s="525"/>
      <c r="Y170" s="525"/>
      <c r="Z170" s="525"/>
      <c r="AA170" s="525"/>
      <c r="AB170" s="525"/>
      <c r="AC170" s="525"/>
      <c r="AD170" s="525"/>
      <c r="AE170" s="525"/>
      <c r="AF170" s="525"/>
      <c r="AG170" s="525"/>
      <c r="AH170" s="591"/>
      <c r="AI170" s="591"/>
    </row>
    <row r="171" spans="1:35" ht="21" customHeight="1" x14ac:dyDescent="0.2">
      <c r="A171" s="1" t="s">
        <v>624</v>
      </c>
    </row>
    <row r="172" spans="1:35" ht="21" customHeight="1" x14ac:dyDescent="0.2">
      <c r="B172" s="200" t="s">
        <v>604</v>
      </c>
      <c r="C172" s="7"/>
      <c r="D172" s="530" t="s">
        <v>2</v>
      </c>
      <c r="E172" s="51"/>
      <c r="F172" s="573"/>
      <c r="G172" s="7"/>
      <c r="H172" s="530" t="s">
        <v>3</v>
      </c>
      <c r="I172" s="51"/>
      <c r="J172" s="573"/>
      <c r="K172" s="7"/>
      <c r="L172" s="530" t="s">
        <v>4</v>
      </c>
      <c r="M172" s="51"/>
      <c r="N172" s="573"/>
      <c r="O172" s="7"/>
      <c r="P172" s="530" t="s">
        <v>5</v>
      </c>
      <c r="Q172" s="51"/>
      <c r="R172" s="573"/>
      <c r="S172" s="7"/>
      <c r="T172" s="530" t="s">
        <v>6</v>
      </c>
      <c r="U172" s="51"/>
      <c r="V172" s="573"/>
      <c r="W172" s="7"/>
      <c r="X172" s="530" t="s">
        <v>7</v>
      </c>
      <c r="Y172" s="51"/>
      <c r="Z172" s="573"/>
      <c r="AA172" s="7"/>
      <c r="AB172" s="530" t="s">
        <v>8</v>
      </c>
      <c r="AC172" s="51"/>
      <c r="AD172" s="51"/>
      <c r="AE172" s="424" t="s">
        <v>10</v>
      </c>
      <c r="AF172" s="51"/>
      <c r="AG172" s="51"/>
      <c r="AH172" s="51"/>
      <c r="AI172" s="531"/>
    </row>
    <row r="173" spans="1:35" ht="21" customHeight="1" x14ac:dyDescent="0.2">
      <c r="B173" s="9">
        <v>8502</v>
      </c>
      <c r="C173" s="14" t="s">
        <v>11</v>
      </c>
      <c r="D173" s="659"/>
      <c r="E173" s="55"/>
      <c r="F173" s="580"/>
      <c r="G173" s="14" t="s">
        <v>11</v>
      </c>
      <c r="H173" s="659"/>
      <c r="I173" s="55"/>
      <c r="J173" s="580"/>
      <c r="K173" s="14" t="s">
        <v>11</v>
      </c>
      <c r="L173" s="659"/>
      <c r="M173" s="55"/>
      <c r="N173" s="580"/>
      <c r="O173" s="14" t="s">
        <v>11</v>
      </c>
      <c r="P173" s="659"/>
      <c r="Q173" s="55"/>
      <c r="R173" s="580"/>
      <c r="S173" s="14" t="s">
        <v>12</v>
      </c>
      <c r="T173" s="659"/>
      <c r="U173" s="55"/>
      <c r="V173" s="580"/>
      <c r="W173" s="14"/>
      <c r="X173" s="659"/>
      <c r="Y173" s="55"/>
      <c r="Z173" s="580"/>
      <c r="AA173" s="14"/>
      <c r="AB173" s="659"/>
      <c r="AC173" s="55"/>
      <c r="AD173" s="55"/>
      <c r="AE173" s="660"/>
      <c r="AF173" s="55"/>
      <c r="AG173" s="55"/>
      <c r="AH173" s="55"/>
      <c r="AI173" s="661"/>
    </row>
    <row r="174" spans="1:35" ht="21" customHeight="1" x14ac:dyDescent="0.2">
      <c r="B174" s="662">
        <v>3701</v>
      </c>
      <c r="C174" s="121" t="s">
        <v>11</v>
      </c>
      <c r="D174" s="130"/>
      <c r="E174" s="55"/>
      <c r="F174" s="580"/>
      <c r="G174" s="121" t="s">
        <v>11</v>
      </c>
      <c r="H174" s="659"/>
      <c r="I174" s="55"/>
      <c r="J174" s="580"/>
      <c r="K174" s="121" t="s">
        <v>11</v>
      </c>
      <c r="L174" s="659"/>
      <c r="M174" s="55"/>
      <c r="N174" s="580"/>
      <c r="O174" s="121" t="s">
        <v>11</v>
      </c>
      <c r="P174" s="659"/>
      <c r="Q174" s="55"/>
      <c r="R174" s="580"/>
      <c r="S174" s="14" t="s">
        <v>12</v>
      </c>
      <c r="T174" s="659"/>
      <c r="U174" s="55"/>
      <c r="V174" s="580"/>
      <c r="W174" s="14"/>
      <c r="X174" s="659"/>
      <c r="Y174" s="55"/>
      <c r="Z174" s="580"/>
      <c r="AA174" s="14"/>
      <c r="AB174" s="659"/>
      <c r="AC174" s="55"/>
      <c r="AD174" s="55"/>
      <c r="AE174" s="660"/>
      <c r="AF174" s="55"/>
      <c r="AG174" s="55"/>
      <c r="AH174" s="55"/>
      <c r="AI174" s="661"/>
    </row>
    <row r="175" spans="1:35" ht="21" customHeight="1" x14ac:dyDescent="0.2">
      <c r="B175" s="662">
        <v>3705</v>
      </c>
      <c r="C175" s="121" t="s">
        <v>147</v>
      </c>
      <c r="D175" s="130"/>
      <c r="E175" s="55"/>
      <c r="F175" s="580"/>
      <c r="G175" s="121" t="s">
        <v>147</v>
      </c>
      <c r="H175" s="659"/>
      <c r="I175" s="55"/>
      <c r="J175" s="580"/>
      <c r="K175" s="121" t="s">
        <v>147</v>
      </c>
      <c r="L175" s="659"/>
      <c r="M175" s="55"/>
      <c r="N175" s="580"/>
      <c r="O175" s="121" t="s">
        <v>147</v>
      </c>
      <c r="P175" s="659"/>
      <c r="Q175" s="55"/>
      <c r="R175" s="580"/>
      <c r="S175" s="121" t="s">
        <v>536</v>
      </c>
      <c r="T175" s="659"/>
      <c r="U175" s="55"/>
      <c r="V175" s="580"/>
      <c r="W175" s="14"/>
      <c r="X175" s="659"/>
      <c r="Y175" s="55"/>
      <c r="Z175" s="580"/>
      <c r="AA175" s="14"/>
      <c r="AB175" s="659"/>
      <c r="AC175" s="55"/>
      <c r="AD175" s="55"/>
      <c r="AE175" s="660"/>
      <c r="AF175" s="55"/>
      <c r="AG175" s="55"/>
      <c r="AH175" s="55"/>
      <c r="AI175" s="661"/>
    </row>
    <row r="176" spans="1:35" ht="21" customHeight="1" x14ac:dyDescent="0.2">
      <c r="B176" s="662" t="s">
        <v>625</v>
      </c>
      <c r="C176" s="611" t="s">
        <v>626</v>
      </c>
      <c r="D176" s="130"/>
      <c r="E176" s="55"/>
      <c r="F176" s="580"/>
      <c r="G176" s="611" t="s">
        <v>626</v>
      </c>
      <c r="H176" s="659"/>
      <c r="I176" s="55"/>
      <c r="J176" s="580"/>
      <c r="K176" s="611" t="s">
        <v>626</v>
      </c>
      <c r="L176" s="659"/>
      <c r="M176" s="55"/>
      <c r="N176" s="580"/>
      <c r="O176" s="611" t="s">
        <v>626</v>
      </c>
      <c r="P176" s="659"/>
      <c r="Q176" s="55"/>
      <c r="R176" s="580"/>
      <c r="S176" s="611" t="s">
        <v>626</v>
      </c>
      <c r="T176" s="659"/>
      <c r="U176" s="55"/>
      <c r="V176" s="580"/>
      <c r="W176" s="14"/>
      <c r="X176" s="659"/>
      <c r="Y176" s="55"/>
      <c r="Z176" s="580"/>
      <c r="AA176" s="14"/>
      <c r="AB176" s="659"/>
      <c r="AC176" s="55"/>
      <c r="AD176" s="55"/>
      <c r="AE176" s="660"/>
      <c r="AF176" s="55"/>
      <c r="AG176" s="55"/>
      <c r="AH176" s="55"/>
      <c r="AI176" s="661"/>
    </row>
    <row r="177" spans="1:35" ht="21" customHeight="1" x14ac:dyDescent="0.2">
      <c r="B177" s="662" t="s">
        <v>627</v>
      </c>
      <c r="C177" s="611" t="s">
        <v>628</v>
      </c>
      <c r="D177" s="130"/>
      <c r="E177" s="55"/>
      <c r="F177" s="580"/>
      <c r="G177" s="659" t="s">
        <v>629</v>
      </c>
      <c r="H177" s="659"/>
      <c r="I177" s="55"/>
      <c r="J177" s="580"/>
      <c r="K177" s="659" t="s">
        <v>630</v>
      </c>
      <c r="L177" s="659"/>
      <c r="M177" s="55"/>
      <c r="N177" s="580"/>
      <c r="O177" s="659" t="s">
        <v>630</v>
      </c>
      <c r="P177" s="659"/>
      <c r="Q177" s="55"/>
      <c r="R177" s="580"/>
      <c r="S177" s="659" t="s">
        <v>631</v>
      </c>
      <c r="T177" s="659"/>
      <c r="U177" s="55"/>
      <c r="V177" s="580"/>
      <c r="W177" s="14"/>
      <c r="X177" s="659"/>
      <c r="Y177" s="55"/>
      <c r="Z177" s="580"/>
      <c r="AA177" s="14"/>
      <c r="AB177" s="659"/>
      <c r="AC177" s="55"/>
      <c r="AD177" s="55"/>
      <c r="AE177" s="660"/>
      <c r="AF177" s="55"/>
      <c r="AG177" s="55"/>
      <c r="AH177" s="55"/>
      <c r="AI177" s="661"/>
    </row>
    <row r="178" spans="1:35" ht="21" customHeight="1" x14ac:dyDescent="0.2">
      <c r="B178" s="662" t="s">
        <v>324</v>
      </c>
      <c r="C178" s="611" t="s">
        <v>632</v>
      </c>
      <c r="D178" s="130"/>
      <c r="E178" s="55"/>
      <c r="F178" s="580"/>
      <c r="G178" s="611" t="s">
        <v>632</v>
      </c>
      <c r="H178" s="130"/>
      <c r="I178" s="55"/>
      <c r="J178" s="580"/>
      <c r="K178" s="611" t="s">
        <v>632</v>
      </c>
      <c r="L178" s="130"/>
      <c r="M178" s="55"/>
      <c r="N178" s="580"/>
      <c r="O178" s="611" t="s">
        <v>632</v>
      </c>
      <c r="P178" s="130"/>
      <c r="Q178" s="55"/>
      <c r="R178" s="580"/>
      <c r="S178" s="659" t="s">
        <v>633</v>
      </c>
      <c r="T178" s="659"/>
      <c r="U178" s="55"/>
      <c r="V178" s="580"/>
      <c r="W178" s="14"/>
      <c r="X178" s="659"/>
      <c r="Y178" s="55"/>
      <c r="Z178" s="580"/>
      <c r="AA178" s="14"/>
      <c r="AB178" s="659"/>
      <c r="AC178" s="55"/>
      <c r="AD178" s="55"/>
      <c r="AE178" s="660"/>
      <c r="AF178" s="55"/>
      <c r="AG178" s="55"/>
      <c r="AH178" s="55"/>
      <c r="AI178" s="661"/>
    </row>
    <row r="179" spans="1:35" ht="21" customHeight="1" x14ac:dyDescent="0.2">
      <c r="B179" s="662" t="s">
        <v>325</v>
      </c>
      <c r="C179" s="611" t="s">
        <v>634</v>
      </c>
      <c r="D179" s="130"/>
      <c r="E179" s="55"/>
      <c r="F179" s="580"/>
      <c r="G179" s="611" t="s">
        <v>634</v>
      </c>
      <c r="H179" s="130"/>
      <c r="I179" s="55"/>
      <c r="J179" s="580"/>
      <c r="K179" s="611" t="s">
        <v>634</v>
      </c>
      <c r="L179" s="130"/>
      <c r="M179" s="55"/>
      <c r="N179" s="580"/>
      <c r="O179" s="611" t="s">
        <v>634</v>
      </c>
      <c r="P179" s="130"/>
      <c r="Q179" s="55"/>
      <c r="R179" s="580"/>
      <c r="S179" s="659" t="s">
        <v>635</v>
      </c>
      <c r="T179" s="659"/>
      <c r="U179" s="55"/>
      <c r="V179" s="580"/>
      <c r="W179" s="14"/>
      <c r="X179" s="659"/>
      <c r="Y179" s="55"/>
      <c r="Z179" s="580"/>
      <c r="AA179" s="14"/>
      <c r="AB179" s="659"/>
      <c r="AC179" s="55"/>
      <c r="AD179" s="55"/>
      <c r="AE179" s="660"/>
      <c r="AF179" s="55"/>
      <c r="AG179" s="55"/>
      <c r="AH179" s="55"/>
      <c r="AI179" s="661"/>
    </row>
    <row r="180" spans="1:35" ht="21" customHeight="1" x14ac:dyDescent="0.2">
      <c r="B180" s="671" t="s">
        <v>326</v>
      </c>
      <c r="C180" s="618" t="s">
        <v>722</v>
      </c>
      <c r="D180" s="48"/>
      <c r="E180" s="678"/>
      <c r="F180" s="239"/>
      <c r="G180" s="1750" t="s">
        <v>743</v>
      </c>
      <c r="H180" s="48"/>
      <c r="I180" s="678"/>
      <c r="J180" s="239"/>
      <c r="K180" s="618" t="s">
        <v>722</v>
      </c>
      <c r="L180" s="48"/>
      <c r="M180" s="678"/>
      <c r="N180" s="239"/>
      <c r="O180" s="618" t="s">
        <v>722</v>
      </c>
      <c r="P180" s="48"/>
      <c r="Q180" s="678"/>
      <c r="R180" s="239"/>
      <c r="S180" s="148" t="s">
        <v>723</v>
      </c>
      <c r="T180" s="148"/>
      <c r="U180" s="678"/>
      <c r="V180" s="239"/>
      <c r="W180" s="679"/>
      <c r="X180" s="148"/>
      <c r="Y180" s="678"/>
      <c r="Z180" s="239"/>
      <c r="AA180" s="679"/>
      <c r="AB180" s="148"/>
      <c r="AC180" s="678"/>
      <c r="AD180" s="678"/>
      <c r="AE180" s="680"/>
      <c r="AF180" s="678"/>
      <c r="AG180" s="678"/>
      <c r="AH180" s="678"/>
      <c r="AI180" s="681"/>
    </row>
    <row r="181" spans="1:35" ht="21" customHeight="1" x14ac:dyDescent="0.2">
      <c r="B181" s="273"/>
      <c r="C181" s="311"/>
      <c r="D181" s="72"/>
      <c r="G181" s="311"/>
      <c r="H181" s="72"/>
      <c r="K181" s="311"/>
      <c r="L181" s="72"/>
      <c r="O181" s="311"/>
      <c r="P181" s="72"/>
      <c r="S181" s="311"/>
      <c r="T181" s="311"/>
      <c r="X181" s="311"/>
      <c r="AB181" s="311"/>
      <c r="AE181" s="311"/>
    </row>
    <row r="182" spans="1:35" ht="21" customHeight="1" x14ac:dyDescent="0.2">
      <c r="A182" s="682" t="s">
        <v>638</v>
      </c>
    </row>
    <row r="183" spans="1:35" ht="21" customHeight="1" x14ac:dyDescent="0.2">
      <c r="A183" s="585"/>
      <c r="B183" s="296" t="s">
        <v>469</v>
      </c>
      <c r="C183" s="177">
        <v>1</v>
      </c>
      <c r="D183" s="177">
        <v>2</v>
      </c>
      <c r="E183" s="497">
        <v>3</v>
      </c>
      <c r="F183" s="497">
        <v>4</v>
      </c>
      <c r="G183" s="177">
        <v>5</v>
      </c>
      <c r="H183" s="177">
        <v>6</v>
      </c>
      <c r="I183" s="177">
        <v>7</v>
      </c>
      <c r="J183" s="177">
        <v>8</v>
      </c>
      <c r="K183" s="177">
        <v>9</v>
      </c>
      <c r="L183" s="497">
        <v>10</v>
      </c>
      <c r="M183" s="497">
        <v>11</v>
      </c>
      <c r="N183" s="177">
        <v>12</v>
      </c>
      <c r="O183" s="177">
        <v>13</v>
      </c>
      <c r="P183" s="177">
        <v>14</v>
      </c>
      <c r="Q183" s="177">
        <v>15</v>
      </c>
      <c r="R183" s="177">
        <v>16</v>
      </c>
      <c r="S183" s="497">
        <v>17</v>
      </c>
      <c r="T183" s="497">
        <v>18</v>
      </c>
      <c r="U183" s="177">
        <v>19</v>
      </c>
      <c r="V183" s="177">
        <v>20</v>
      </c>
      <c r="W183" s="177">
        <v>21</v>
      </c>
      <c r="X183" s="177">
        <v>22</v>
      </c>
      <c r="Y183" s="177">
        <v>23</v>
      </c>
      <c r="Z183" s="497">
        <v>24</v>
      </c>
      <c r="AA183" s="497">
        <v>25</v>
      </c>
      <c r="AB183" s="177">
        <v>26</v>
      </c>
      <c r="AC183" s="177">
        <v>27</v>
      </c>
      <c r="AD183" s="177">
        <v>28</v>
      </c>
      <c r="AE183" s="177">
        <v>29</v>
      </c>
      <c r="AF183" s="177">
        <v>30</v>
      </c>
      <c r="AG183" s="497">
        <v>31</v>
      </c>
      <c r="AH183" s="499" t="s">
        <v>470</v>
      </c>
      <c r="AI183" s="500" t="s">
        <v>471</v>
      </c>
    </row>
    <row r="184" spans="1:35" ht="21" customHeight="1" x14ac:dyDescent="0.2">
      <c r="A184" s="441">
        <v>3702</v>
      </c>
      <c r="B184" s="152" t="s">
        <v>639</v>
      </c>
      <c r="C184" s="587">
        <v>2</v>
      </c>
      <c r="D184" s="587">
        <v>2</v>
      </c>
      <c r="E184" s="587"/>
      <c r="F184" s="587"/>
      <c r="G184" s="587">
        <v>1</v>
      </c>
      <c r="H184" s="587">
        <v>1</v>
      </c>
      <c r="I184" s="587">
        <v>1</v>
      </c>
      <c r="J184" s="587">
        <v>1</v>
      </c>
      <c r="K184" s="587">
        <v>1</v>
      </c>
      <c r="L184" s="587"/>
      <c r="M184" s="587"/>
      <c r="N184" s="1516">
        <v>2</v>
      </c>
      <c r="O184" s="1516">
        <v>2</v>
      </c>
      <c r="P184" s="1516">
        <v>2</v>
      </c>
      <c r="Q184" s="1524">
        <v>2</v>
      </c>
      <c r="R184" s="587">
        <v>2</v>
      </c>
      <c r="S184" s="503"/>
      <c r="T184" s="503"/>
      <c r="U184" s="587">
        <v>1</v>
      </c>
      <c r="V184" s="587">
        <v>1</v>
      </c>
      <c r="W184" s="587">
        <v>1</v>
      </c>
      <c r="X184" s="587">
        <v>1</v>
      </c>
      <c r="Y184" s="587">
        <v>1</v>
      </c>
      <c r="Z184" s="587"/>
      <c r="AA184" s="587"/>
      <c r="AB184" s="587">
        <v>2</v>
      </c>
      <c r="AC184" s="587">
        <v>2</v>
      </c>
      <c r="AD184" s="587">
        <v>2</v>
      </c>
      <c r="AE184" s="587">
        <v>2</v>
      </c>
      <c r="AF184" s="587">
        <v>2</v>
      </c>
      <c r="AG184" s="587"/>
      <c r="AH184" s="505">
        <v>0</v>
      </c>
      <c r="AI184" s="506">
        <v>37</v>
      </c>
    </row>
    <row r="185" spans="1:35" ht="21" customHeight="1" x14ac:dyDescent="0.2">
      <c r="A185" s="441">
        <v>3701</v>
      </c>
      <c r="B185" s="152" t="s">
        <v>640</v>
      </c>
      <c r="C185" s="1516" t="s">
        <v>482</v>
      </c>
      <c r="D185" s="1516" t="s">
        <v>617</v>
      </c>
      <c r="E185" s="587"/>
      <c r="F185" s="587"/>
      <c r="G185" s="587" t="s">
        <v>482</v>
      </c>
      <c r="H185" s="587" t="s">
        <v>482</v>
      </c>
      <c r="I185" s="587" t="s">
        <v>482</v>
      </c>
      <c r="J185" s="587" t="s">
        <v>482</v>
      </c>
      <c r="K185" s="587" t="s">
        <v>482</v>
      </c>
      <c r="L185" s="587"/>
      <c r="M185" s="587"/>
      <c r="N185" s="587" t="s">
        <v>482</v>
      </c>
      <c r="O185" s="587" t="s">
        <v>482</v>
      </c>
      <c r="P185" s="587" t="s">
        <v>482</v>
      </c>
      <c r="Q185" s="587" t="s">
        <v>482</v>
      </c>
      <c r="R185" s="587" t="s">
        <v>482</v>
      </c>
      <c r="S185" s="503"/>
      <c r="T185" s="503"/>
      <c r="U185" s="1516" t="s">
        <v>482</v>
      </c>
      <c r="V185" s="1516" t="s">
        <v>482</v>
      </c>
      <c r="W185" s="1516" t="s">
        <v>482</v>
      </c>
      <c r="X185" s="1516" t="s">
        <v>482</v>
      </c>
      <c r="Y185" s="1516" t="s">
        <v>617</v>
      </c>
      <c r="Z185" s="587"/>
      <c r="AA185" s="587"/>
      <c r="AB185" s="587" t="s">
        <v>482</v>
      </c>
      <c r="AC185" s="587" t="s">
        <v>482</v>
      </c>
      <c r="AD185" s="587" t="s">
        <v>482</v>
      </c>
      <c r="AE185" s="587" t="s">
        <v>482</v>
      </c>
      <c r="AF185" s="587" t="s">
        <v>482</v>
      </c>
      <c r="AG185" s="587"/>
      <c r="AH185" s="505">
        <v>0</v>
      </c>
      <c r="AI185" s="506">
        <v>37</v>
      </c>
    </row>
    <row r="186" spans="1:35" ht="21" customHeight="1" x14ac:dyDescent="0.2">
      <c r="A186" s="441">
        <v>3702</v>
      </c>
      <c r="B186" s="152" t="s">
        <v>641</v>
      </c>
      <c r="C186" s="587">
        <v>1</v>
      </c>
      <c r="D186" s="587">
        <v>1</v>
      </c>
      <c r="E186" s="587"/>
      <c r="F186" s="587"/>
      <c r="G186" s="587">
        <v>2</v>
      </c>
      <c r="H186" s="587">
        <v>2</v>
      </c>
      <c r="I186" s="587">
        <v>2</v>
      </c>
      <c r="J186" s="587">
        <v>2</v>
      </c>
      <c r="K186" s="587">
        <v>2</v>
      </c>
      <c r="L186" s="587"/>
      <c r="M186" s="587"/>
      <c r="N186" s="587">
        <v>1</v>
      </c>
      <c r="O186" s="587">
        <v>1</v>
      </c>
      <c r="P186" s="587">
        <v>1</v>
      </c>
      <c r="Q186" s="587">
        <v>1</v>
      </c>
      <c r="R186" s="587">
        <v>1</v>
      </c>
      <c r="S186" s="503"/>
      <c r="T186" s="503"/>
      <c r="U186" s="587">
        <v>2</v>
      </c>
      <c r="V186" s="587">
        <v>2</v>
      </c>
      <c r="W186" s="587">
        <v>2</v>
      </c>
      <c r="X186" s="587">
        <v>2</v>
      </c>
      <c r="Y186" s="587">
        <v>2</v>
      </c>
      <c r="Z186" s="587"/>
      <c r="AA186" s="587"/>
      <c r="AB186" s="587">
        <v>1</v>
      </c>
      <c r="AC186" s="587">
        <v>1</v>
      </c>
      <c r="AD186" s="1660">
        <v>1</v>
      </c>
      <c r="AE186" s="1660">
        <v>1</v>
      </c>
      <c r="AF186" s="1660">
        <v>1</v>
      </c>
      <c r="AG186" s="587"/>
      <c r="AH186" s="505">
        <v>76</v>
      </c>
      <c r="AI186" s="506">
        <v>37</v>
      </c>
    </row>
    <row r="187" spans="1:35" ht="21" customHeight="1" x14ac:dyDescent="0.2">
      <c r="A187" s="683">
        <v>3706</v>
      </c>
      <c r="B187" s="552"/>
      <c r="C187" s="503"/>
      <c r="D187" s="503"/>
      <c r="E187" s="503"/>
      <c r="F187" s="503"/>
      <c r="G187" s="503"/>
      <c r="H187" s="503"/>
      <c r="I187" s="503"/>
      <c r="J187" s="503"/>
      <c r="K187" s="503"/>
      <c r="L187" s="503"/>
      <c r="M187" s="503"/>
      <c r="N187" s="503"/>
      <c r="O187" s="503"/>
      <c r="P187" s="503"/>
      <c r="Q187" s="503"/>
      <c r="R187" s="503"/>
      <c r="S187" s="503"/>
      <c r="T187" s="503"/>
      <c r="U187" s="503"/>
      <c r="V187" s="503"/>
      <c r="W187" s="503"/>
      <c r="X187" s="503"/>
      <c r="Y187" s="503"/>
      <c r="Z187" s="503"/>
      <c r="AA187" s="503"/>
      <c r="AB187" s="503"/>
      <c r="AC187" s="503"/>
      <c r="AD187" s="503"/>
      <c r="AE187" s="503"/>
      <c r="AF187" s="503"/>
      <c r="AG187" s="503"/>
      <c r="AH187" s="505"/>
      <c r="AI187" s="506"/>
    </row>
    <row r="188" spans="1:35" ht="21" customHeight="1" x14ac:dyDescent="0.2">
      <c r="A188" s="684"/>
      <c r="B188" s="685" t="s">
        <v>642</v>
      </c>
      <c r="C188" s="686"/>
      <c r="D188" s="686"/>
      <c r="E188" s="686"/>
      <c r="F188" s="686"/>
      <c r="G188" s="686"/>
      <c r="H188" s="686"/>
      <c r="I188" s="686"/>
      <c r="J188" s="686"/>
      <c r="K188" s="686"/>
      <c r="L188" s="686"/>
      <c r="M188" s="686"/>
      <c r="N188" s="686"/>
      <c r="O188" s="686"/>
      <c r="P188" s="686"/>
      <c r="Q188" s="686"/>
      <c r="R188" s="686"/>
      <c r="S188" s="686"/>
      <c r="T188" s="686"/>
      <c r="U188" s="686"/>
      <c r="V188" s="686"/>
      <c r="W188" s="686"/>
      <c r="X188" s="686"/>
      <c r="Y188" s="686"/>
      <c r="Z188" s="686"/>
      <c r="AA188" s="686"/>
      <c r="AB188" s="686"/>
      <c r="AC188" s="686"/>
      <c r="AD188" s="686"/>
      <c r="AE188" s="686"/>
      <c r="AF188" s="686"/>
      <c r="AG188" s="687"/>
      <c r="AH188" s="688"/>
      <c r="AI188" s="689"/>
    </row>
    <row r="189" spans="1:35" ht="21" customHeight="1" x14ac:dyDescent="0.2">
      <c r="A189" s="441">
        <v>3702</v>
      </c>
      <c r="B189" s="133" t="s">
        <v>724</v>
      </c>
      <c r="C189" s="587" t="s">
        <v>596</v>
      </c>
      <c r="D189" s="587" t="s">
        <v>596</v>
      </c>
      <c r="E189" s="587"/>
      <c r="F189" s="587"/>
      <c r="G189" s="587" t="s">
        <v>644</v>
      </c>
      <c r="H189" s="587" t="s">
        <v>644</v>
      </c>
      <c r="I189" s="587" t="s">
        <v>644</v>
      </c>
      <c r="J189" s="587" t="s">
        <v>644</v>
      </c>
      <c r="K189" s="587" t="s">
        <v>644</v>
      </c>
      <c r="L189" s="587"/>
      <c r="M189" s="587"/>
      <c r="N189" s="587" t="s">
        <v>643</v>
      </c>
      <c r="O189" s="587" t="s">
        <v>643</v>
      </c>
      <c r="P189" s="587" t="s">
        <v>643</v>
      </c>
      <c r="Q189" s="587" t="s">
        <v>643</v>
      </c>
      <c r="R189" s="587" t="s">
        <v>643</v>
      </c>
      <c r="S189" s="587"/>
      <c r="T189" s="587"/>
      <c r="U189" s="587" t="s">
        <v>596</v>
      </c>
      <c r="V189" s="587" t="s">
        <v>596</v>
      </c>
      <c r="W189" s="587" t="s">
        <v>596</v>
      </c>
      <c r="X189" s="587" t="s">
        <v>596</v>
      </c>
      <c r="Y189" s="587" t="s">
        <v>596</v>
      </c>
      <c r="Z189" s="587"/>
      <c r="AA189" s="587"/>
      <c r="AB189" s="587" t="s">
        <v>644</v>
      </c>
      <c r="AC189" s="587" t="s">
        <v>644</v>
      </c>
      <c r="AD189" s="587" t="s">
        <v>644</v>
      </c>
      <c r="AE189" s="587" t="s">
        <v>644</v>
      </c>
      <c r="AF189" s="587" t="s">
        <v>644</v>
      </c>
      <c r="AG189" s="587"/>
      <c r="AH189" s="505">
        <v>0</v>
      </c>
      <c r="AI189" s="506">
        <v>0</v>
      </c>
    </row>
    <row r="190" spans="1:35" ht="21" customHeight="1" x14ac:dyDescent="0.2">
      <c r="A190" s="441"/>
      <c r="B190" s="152" t="s">
        <v>645</v>
      </c>
      <c r="C190" s="587" t="s">
        <v>644</v>
      </c>
      <c r="D190" s="587" t="s">
        <v>644</v>
      </c>
      <c r="E190" s="587"/>
      <c r="F190" s="587"/>
      <c r="G190" s="1516" t="s">
        <v>643</v>
      </c>
      <c r="H190" s="1516" t="s">
        <v>643</v>
      </c>
      <c r="I190" s="1516" t="s">
        <v>643</v>
      </c>
      <c r="J190" s="1516" t="s">
        <v>643</v>
      </c>
      <c r="K190" s="1516" t="s">
        <v>758</v>
      </c>
      <c r="L190" s="587"/>
      <c r="M190" s="587"/>
      <c r="N190" s="587" t="s">
        <v>596</v>
      </c>
      <c r="O190" s="587" t="s">
        <v>596</v>
      </c>
      <c r="P190" s="587" t="s">
        <v>596</v>
      </c>
      <c r="Q190" s="587" t="s">
        <v>596</v>
      </c>
      <c r="R190" s="587" t="s">
        <v>596</v>
      </c>
      <c r="S190" s="587"/>
      <c r="T190" s="587"/>
      <c r="U190" s="587" t="s">
        <v>644</v>
      </c>
      <c r="V190" s="587" t="s">
        <v>644</v>
      </c>
      <c r="W190" s="587" t="s">
        <v>644</v>
      </c>
      <c r="X190" s="587" t="s">
        <v>644</v>
      </c>
      <c r="Y190" s="587" t="s">
        <v>644</v>
      </c>
      <c r="Z190" s="587"/>
      <c r="AA190" s="587"/>
      <c r="AB190" s="587" t="s">
        <v>643</v>
      </c>
      <c r="AC190" s="587" t="s">
        <v>643</v>
      </c>
      <c r="AD190" s="587" t="s">
        <v>643</v>
      </c>
      <c r="AE190" s="587" t="s">
        <v>643</v>
      </c>
      <c r="AF190" s="587" t="s">
        <v>643</v>
      </c>
      <c r="AG190" s="587"/>
      <c r="AH190" s="505">
        <v>37</v>
      </c>
      <c r="AI190" s="506">
        <v>29</v>
      </c>
    </row>
    <row r="191" spans="1:35" ht="21" customHeight="1" x14ac:dyDescent="0.2">
      <c r="A191" s="441"/>
      <c r="B191" s="152" t="s">
        <v>646</v>
      </c>
      <c r="C191" s="587" t="s">
        <v>643</v>
      </c>
      <c r="D191" s="587" t="s">
        <v>643</v>
      </c>
      <c r="E191" s="587"/>
      <c r="F191" s="587"/>
      <c r="G191" s="587" t="s">
        <v>596</v>
      </c>
      <c r="H191" s="587" t="s">
        <v>596</v>
      </c>
      <c r="I191" s="587" t="s">
        <v>596</v>
      </c>
      <c r="J191" s="587" t="s">
        <v>596</v>
      </c>
      <c r="K191" s="587" t="s">
        <v>596</v>
      </c>
      <c r="L191" s="587"/>
      <c r="M191" s="587"/>
      <c r="N191" s="587" t="s">
        <v>644</v>
      </c>
      <c r="O191" s="587" t="s">
        <v>644</v>
      </c>
      <c r="P191" s="587" t="s">
        <v>644</v>
      </c>
      <c r="Q191" s="587" t="s">
        <v>644</v>
      </c>
      <c r="R191" s="587" t="s">
        <v>644</v>
      </c>
      <c r="S191" s="587"/>
      <c r="T191" s="587"/>
      <c r="U191" s="587" t="s">
        <v>643</v>
      </c>
      <c r="V191" s="587" t="s">
        <v>643</v>
      </c>
      <c r="W191" s="587" t="s">
        <v>643</v>
      </c>
      <c r="X191" s="587" t="s">
        <v>643</v>
      </c>
      <c r="Y191" s="587" t="s">
        <v>643</v>
      </c>
      <c r="Z191" s="587"/>
      <c r="AA191" s="587"/>
      <c r="AB191" s="587" t="s">
        <v>596</v>
      </c>
      <c r="AC191" s="587" t="s">
        <v>596</v>
      </c>
      <c r="AD191" s="587" t="s">
        <v>596</v>
      </c>
      <c r="AE191" s="587" t="s">
        <v>596</v>
      </c>
      <c r="AF191" s="587" t="s">
        <v>596</v>
      </c>
      <c r="AG191" s="587"/>
      <c r="AH191" s="505">
        <v>0</v>
      </c>
      <c r="AI191" s="506">
        <v>0</v>
      </c>
    </row>
    <row r="192" spans="1:35" ht="21" customHeight="1" x14ac:dyDescent="0.2"/>
    <row r="193" spans="1:35" ht="21" customHeight="1" x14ac:dyDescent="0.2"/>
    <row r="194" spans="1:35" ht="21" customHeight="1" x14ac:dyDescent="0.2">
      <c r="A194" s="1" t="s">
        <v>647</v>
      </c>
    </row>
    <row r="195" spans="1:35" ht="21" customHeight="1" x14ac:dyDescent="0.2">
      <c r="B195" s="200" t="s">
        <v>604</v>
      </c>
      <c r="C195" s="7"/>
      <c r="D195" s="530" t="s">
        <v>2</v>
      </c>
      <c r="E195" s="51"/>
      <c r="F195" s="573"/>
      <c r="G195" s="7"/>
      <c r="H195" s="530" t="s">
        <v>3</v>
      </c>
      <c r="I195" s="51"/>
      <c r="J195" s="573"/>
      <c r="K195" s="7"/>
      <c r="L195" s="530" t="s">
        <v>4</v>
      </c>
      <c r="M195" s="51"/>
      <c r="N195" s="573"/>
      <c r="O195" s="7"/>
      <c r="P195" s="530" t="s">
        <v>5</v>
      </c>
      <c r="Q195" s="51"/>
      <c r="R195" s="573"/>
      <c r="S195" s="7"/>
      <c r="T195" s="530" t="s">
        <v>6</v>
      </c>
      <c r="U195" s="51"/>
      <c r="V195" s="573"/>
      <c r="W195" s="7"/>
      <c r="X195" s="530" t="s">
        <v>7</v>
      </c>
      <c r="Y195" s="51"/>
      <c r="Z195" s="573"/>
      <c r="AA195" s="7"/>
      <c r="AB195" s="530" t="s">
        <v>8</v>
      </c>
      <c r="AC195" s="51"/>
      <c r="AD195" s="51"/>
      <c r="AE195" s="424" t="s">
        <v>10</v>
      </c>
      <c r="AF195" s="51"/>
      <c r="AG195" s="51"/>
      <c r="AH195" s="51"/>
      <c r="AI195" s="531"/>
    </row>
    <row r="196" spans="1:35" ht="21" customHeight="1" x14ac:dyDescent="0.2">
      <c r="B196" s="9">
        <v>8500</v>
      </c>
      <c r="C196" s="121" t="s">
        <v>33</v>
      </c>
      <c r="D196" s="659"/>
      <c r="E196" s="55"/>
      <c r="F196" s="580"/>
      <c r="G196" s="121" t="s">
        <v>33</v>
      </c>
      <c r="H196" s="659"/>
      <c r="I196" s="55"/>
      <c r="J196" s="580"/>
      <c r="K196" s="121" t="s">
        <v>33</v>
      </c>
      <c r="L196" s="659"/>
      <c r="M196" s="55"/>
      <c r="N196" s="580"/>
      <c r="O196" s="121" t="s">
        <v>33</v>
      </c>
      <c r="P196" s="659"/>
      <c r="Q196" s="55"/>
      <c r="R196" s="580"/>
      <c r="S196" s="121" t="s">
        <v>34</v>
      </c>
      <c r="T196" s="659"/>
      <c r="U196" s="55"/>
      <c r="V196" s="580"/>
      <c r="W196" s="14"/>
      <c r="X196" s="659"/>
      <c r="Y196" s="55"/>
      <c r="Z196" s="580"/>
      <c r="AA196" s="14"/>
      <c r="AB196" s="659"/>
      <c r="AC196" s="55"/>
      <c r="AD196" s="55"/>
      <c r="AE196" s="660"/>
      <c r="AF196" s="55"/>
      <c r="AG196" s="55"/>
      <c r="AH196" s="55"/>
      <c r="AI196" s="661"/>
    </row>
    <row r="197" spans="1:35" ht="21" customHeight="1" x14ac:dyDescent="0.2">
      <c r="B197" s="162" t="s">
        <v>648</v>
      </c>
      <c r="C197" s="690" t="s">
        <v>649</v>
      </c>
      <c r="D197" s="607"/>
      <c r="E197" s="678"/>
      <c r="F197" s="239"/>
      <c r="G197" s="690" t="s">
        <v>649</v>
      </c>
      <c r="H197" s="148"/>
      <c r="I197" s="678"/>
      <c r="J197" s="239"/>
      <c r="K197" s="690" t="s">
        <v>649</v>
      </c>
      <c r="L197" s="148"/>
      <c r="M197" s="678"/>
      <c r="N197" s="239"/>
      <c r="O197" s="690" t="s">
        <v>650</v>
      </c>
      <c r="P197" s="148"/>
      <c r="Q197" s="678"/>
      <c r="R197" s="239"/>
      <c r="S197" s="690" t="s">
        <v>16</v>
      </c>
      <c r="T197" s="148"/>
      <c r="U197" s="678"/>
      <c r="V197" s="239"/>
      <c r="W197" s="679"/>
      <c r="X197" s="148"/>
      <c r="Y197" s="678"/>
      <c r="Z197" s="239"/>
      <c r="AA197" s="679"/>
      <c r="AB197" s="148"/>
      <c r="AC197" s="678"/>
      <c r="AD197" s="678"/>
      <c r="AE197" s="680"/>
      <c r="AF197" s="678"/>
      <c r="AG197" s="678"/>
      <c r="AH197" s="678"/>
      <c r="AI197" s="681"/>
    </row>
    <row r="198" spans="1:35" ht="21" customHeight="1" x14ac:dyDescent="0.2">
      <c r="A198" s="60" t="s">
        <v>651</v>
      </c>
    </row>
    <row r="199" spans="1:35" ht="21" customHeight="1" x14ac:dyDescent="0.2">
      <c r="A199" s="691"/>
      <c r="B199" s="296" t="s">
        <v>469</v>
      </c>
      <c r="C199" s="177">
        <v>1</v>
      </c>
      <c r="D199" s="177">
        <v>2</v>
      </c>
      <c r="E199" s="497">
        <v>3</v>
      </c>
      <c r="F199" s="497">
        <v>4</v>
      </c>
      <c r="G199" s="177">
        <v>5</v>
      </c>
      <c r="H199" s="177">
        <v>6</v>
      </c>
      <c r="I199" s="177">
        <v>7</v>
      </c>
      <c r="J199" s="177">
        <v>8</v>
      </c>
      <c r="K199" s="177">
        <v>9</v>
      </c>
      <c r="L199" s="497">
        <v>10</v>
      </c>
      <c r="M199" s="497">
        <v>11</v>
      </c>
      <c r="N199" s="177">
        <v>12</v>
      </c>
      <c r="O199" s="177">
        <v>13</v>
      </c>
      <c r="P199" s="177">
        <v>14</v>
      </c>
      <c r="Q199" s="177">
        <v>15</v>
      </c>
      <c r="R199" s="177">
        <v>16</v>
      </c>
      <c r="S199" s="497">
        <v>17</v>
      </c>
      <c r="T199" s="497">
        <v>18</v>
      </c>
      <c r="U199" s="177">
        <v>19</v>
      </c>
      <c r="V199" s="177">
        <v>20</v>
      </c>
      <c r="W199" s="177">
        <v>21</v>
      </c>
      <c r="X199" s="177">
        <v>22</v>
      </c>
      <c r="Y199" s="177">
        <v>23</v>
      </c>
      <c r="Z199" s="497">
        <v>24</v>
      </c>
      <c r="AA199" s="497">
        <v>25</v>
      </c>
      <c r="AB199" s="177">
        <v>26</v>
      </c>
      <c r="AC199" s="177">
        <v>27</v>
      </c>
      <c r="AD199" s="177">
        <v>28</v>
      </c>
      <c r="AE199" s="177">
        <v>29</v>
      </c>
      <c r="AF199" s="177">
        <v>30</v>
      </c>
      <c r="AG199" s="497">
        <v>31</v>
      </c>
      <c r="AH199" s="499" t="s">
        <v>470</v>
      </c>
      <c r="AI199" s="500" t="s">
        <v>471</v>
      </c>
    </row>
    <row r="200" spans="1:35" ht="21" customHeight="1" x14ac:dyDescent="0.2">
      <c r="A200" s="154">
        <v>8500</v>
      </c>
      <c r="B200" s="692" t="s">
        <v>652</v>
      </c>
      <c r="C200" s="587" t="s">
        <v>482</v>
      </c>
      <c r="D200" s="587" t="s">
        <v>482</v>
      </c>
      <c r="E200" s="587"/>
      <c r="F200" s="587"/>
      <c r="G200" s="587" t="s">
        <v>482</v>
      </c>
      <c r="H200" s="587" t="s">
        <v>482</v>
      </c>
      <c r="I200" s="587" t="s">
        <v>482</v>
      </c>
      <c r="J200" s="1524" t="s">
        <v>482</v>
      </c>
      <c r="K200" s="587" t="s">
        <v>482</v>
      </c>
      <c r="L200" s="587"/>
      <c r="M200" s="587"/>
      <c r="N200" s="587" t="s">
        <v>482</v>
      </c>
      <c r="O200" s="587" t="s">
        <v>482</v>
      </c>
      <c r="P200" s="587" t="s">
        <v>482</v>
      </c>
      <c r="Q200" s="587" t="s">
        <v>482</v>
      </c>
      <c r="R200" s="587" t="s">
        <v>482</v>
      </c>
      <c r="S200" s="503"/>
      <c r="T200" s="503"/>
      <c r="U200" s="587" t="s">
        <v>482</v>
      </c>
      <c r="V200" s="587" t="s">
        <v>482</v>
      </c>
      <c r="W200" s="587" t="s">
        <v>482</v>
      </c>
      <c r="X200" s="587" t="s">
        <v>482</v>
      </c>
      <c r="Y200" s="587" t="s">
        <v>482</v>
      </c>
      <c r="Z200" s="587"/>
      <c r="AA200" s="587"/>
      <c r="AB200" s="587" t="s">
        <v>482</v>
      </c>
      <c r="AC200" s="587" t="s">
        <v>482</v>
      </c>
      <c r="AD200" s="587" t="s">
        <v>482</v>
      </c>
      <c r="AE200" s="587" t="s">
        <v>482</v>
      </c>
      <c r="AF200" s="1060" t="s">
        <v>482</v>
      </c>
      <c r="AG200" s="587"/>
      <c r="AH200" s="693">
        <v>68</v>
      </c>
      <c r="AI200" s="694">
        <v>37</v>
      </c>
    </row>
    <row r="201" spans="1:35" ht="21" customHeight="1" x14ac:dyDescent="0.2">
      <c r="A201" s="501" t="s">
        <v>653</v>
      </c>
      <c r="B201" s="152" t="s">
        <v>654</v>
      </c>
      <c r="C201" s="587" t="s">
        <v>482</v>
      </c>
      <c r="D201" s="587" t="s">
        <v>482</v>
      </c>
      <c r="E201" s="587"/>
      <c r="F201" s="587"/>
      <c r="G201" s="587" t="s">
        <v>482</v>
      </c>
      <c r="H201" s="587" t="s">
        <v>482</v>
      </c>
      <c r="I201" s="587" t="s">
        <v>482</v>
      </c>
      <c r="J201" s="587" t="s">
        <v>482</v>
      </c>
      <c r="K201" s="587" t="s">
        <v>482</v>
      </c>
      <c r="L201" s="587"/>
      <c r="M201" s="587"/>
      <c r="N201" s="587" t="s">
        <v>482</v>
      </c>
      <c r="O201" s="587" t="s">
        <v>482</v>
      </c>
      <c r="P201" s="587" t="s">
        <v>482</v>
      </c>
      <c r="Q201" s="587" t="s">
        <v>482</v>
      </c>
      <c r="R201" s="587" t="s">
        <v>482</v>
      </c>
      <c r="S201" s="503"/>
      <c r="T201" s="503"/>
      <c r="U201" s="587" t="s">
        <v>482</v>
      </c>
      <c r="V201" s="587" t="s">
        <v>482</v>
      </c>
      <c r="W201" s="587" t="s">
        <v>482</v>
      </c>
      <c r="X201" s="587" t="s">
        <v>482</v>
      </c>
      <c r="Y201" s="587" t="s">
        <v>482</v>
      </c>
      <c r="Z201" s="587"/>
      <c r="AA201" s="587"/>
      <c r="AB201" s="587" t="s">
        <v>482</v>
      </c>
      <c r="AC201" s="587" t="s">
        <v>482</v>
      </c>
      <c r="AD201" s="587" t="s">
        <v>482</v>
      </c>
      <c r="AE201" s="587" t="s">
        <v>482</v>
      </c>
      <c r="AF201" s="587" t="s">
        <v>482</v>
      </c>
      <c r="AG201" s="587"/>
      <c r="AH201" s="693">
        <v>0</v>
      </c>
      <c r="AI201" s="694">
        <v>15</v>
      </c>
    </row>
    <row r="202" spans="1:35" ht="21" customHeight="1" x14ac:dyDescent="0.2">
      <c r="A202" s="152">
        <v>8500</v>
      </c>
      <c r="B202" s="152" t="s">
        <v>655</v>
      </c>
      <c r="C202" s="587" t="s">
        <v>482</v>
      </c>
      <c r="D202" s="587" t="s">
        <v>482</v>
      </c>
      <c r="E202" s="587"/>
      <c r="F202" s="587"/>
      <c r="G202" s="587" t="s">
        <v>482</v>
      </c>
      <c r="H202" s="587" t="s">
        <v>482</v>
      </c>
      <c r="I202" s="587" t="s">
        <v>482</v>
      </c>
      <c r="J202" s="587" t="s">
        <v>482</v>
      </c>
      <c r="K202" s="587" t="s">
        <v>482</v>
      </c>
      <c r="L202" s="587"/>
      <c r="M202" s="587"/>
      <c r="N202" s="587" t="s">
        <v>482</v>
      </c>
      <c r="O202" s="587" t="s">
        <v>482</v>
      </c>
      <c r="P202" s="587" t="s">
        <v>482</v>
      </c>
      <c r="Q202" s="587" t="s">
        <v>482</v>
      </c>
      <c r="R202" s="587" t="s">
        <v>482</v>
      </c>
      <c r="S202" s="503"/>
      <c r="T202" s="503"/>
      <c r="U202" s="587" t="s">
        <v>482</v>
      </c>
      <c r="V202" s="587" t="s">
        <v>482</v>
      </c>
      <c r="W202" s="587" t="s">
        <v>482</v>
      </c>
      <c r="X202" s="587" t="s">
        <v>482</v>
      </c>
      <c r="Y202" s="587" t="s">
        <v>482</v>
      </c>
      <c r="Z202" s="587"/>
      <c r="AA202" s="587"/>
      <c r="AB202" s="587" t="s">
        <v>482</v>
      </c>
      <c r="AC202" s="587" t="s">
        <v>482</v>
      </c>
      <c r="AD202" s="587" t="s">
        <v>482</v>
      </c>
      <c r="AE202" s="587" t="s">
        <v>482</v>
      </c>
      <c r="AF202" s="587" t="s">
        <v>482</v>
      </c>
      <c r="AG202" s="587"/>
      <c r="AH202" s="693">
        <v>8</v>
      </c>
      <c r="AI202" s="694">
        <v>37</v>
      </c>
    </row>
    <row r="203" spans="1:35" ht="21.95" customHeight="1" x14ac:dyDescent="0.2">
      <c r="A203" s="441"/>
      <c r="B203" s="152" t="s">
        <v>656</v>
      </c>
      <c r="C203" s="1060" t="s">
        <v>482</v>
      </c>
      <c r="D203" s="1060" t="s">
        <v>482</v>
      </c>
      <c r="E203" s="1060"/>
      <c r="F203" s="1060"/>
      <c r="G203" s="1060" t="s">
        <v>482</v>
      </c>
      <c r="H203" s="1060" t="s">
        <v>482</v>
      </c>
      <c r="I203" s="1060" t="s">
        <v>482</v>
      </c>
      <c r="J203" s="1060" t="s">
        <v>482</v>
      </c>
      <c r="K203" s="1060" t="s">
        <v>482</v>
      </c>
      <c r="L203" s="1060"/>
      <c r="M203" s="1060"/>
      <c r="N203" s="587" t="s">
        <v>482</v>
      </c>
      <c r="O203" s="587" t="s">
        <v>482</v>
      </c>
      <c r="P203" s="587" t="s">
        <v>482</v>
      </c>
      <c r="Q203" s="587" t="s">
        <v>482</v>
      </c>
      <c r="R203" s="587" t="s">
        <v>482</v>
      </c>
      <c r="S203" s="503"/>
      <c r="T203" s="503"/>
      <c r="U203" s="587" t="s">
        <v>482</v>
      </c>
      <c r="V203" s="587" t="s">
        <v>482</v>
      </c>
      <c r="W203" s="587" t="s">
        <v>482</v>
      </c>
      <c r="X203" s="587" t="s">
        <v>482</v>
      </c>
      <c r="Y203" s="587" t="s">
        <v>482</v>
      </c>
      <c r="Z203" s="587"/>
      <c r="AA203" s="587"/>
      <c r="AB203" s="587" t="s">
        <v>482</v>
      </c>
      <c r="AC203" s="587" t="s">
        <v>482</v>
      </c>
      <c r="AD203" s="587" t="s">
        <v>482</v>
      </c>
      <c r="AE203" s="587" t="s">
        <v>482</v>
      </c>
      <c r="AF203" s="587" t="s">
        <v>482</v>
      </c>
      <c r="AG203" s="587"/>
      <c r="AH203" s="693">
        <v>111</v>
      </c>
      <c r="AI203" s="694">
        <v>37</v>
      </c>
    </row>
    <row r="204" spans="1:35" ht="21.95" customHeight="1" x14ac:dyDescent="0.2">
      <c r="A204" s="512">
        <v>3350</v>
      </c>
      <c r="B204" s="54" t="s">
        <v>657</v>
      </c>
      <c r="C204" s="587" t="s">
        <v>482</v>
      </c>
      <c r="D204" s="587" t="s">
        <v>482</v>
      </c>
      <c r="E204" s="587"/>
      <c r="F204" s="587"/>
      <c r="G204" s="587" t="s">
        <v>482</v>
      </c>
      <c r="H204" s="587" t="s">
        <v>482</v>
      </c>
      <c r="I204" s="587" t="s">
        <v>482</v>
      </c>
      <c r="J204" s="587" t="s">
        <v>482</v>
      </c>
      <c r="K204" s="587" t="s">
        <v>482</v>
      </c>
      <c r="L204" s="587"/>
      <c r="M204" s="587"/>
      <c r="N204" s="587" t="s">
        <v>482</v>
      </c>
      <c r="O204" s="587" t="s">
        <v>482</v>
      </c>
      <c r="P204" s="587" t="s">
        <v>482</v>
      </c>
      <c r="Q204" s="587" t="s">
        <v>482</v>
      </c>
      <c r="R204" s="587" t="s">
        <v>482</v>
      </c>
      <c r="S204" s="503"/>
      <c r="T204" s="503"/>
      <c r="U204" s="587" t="s">
        <v>482</v>
      </c>
      <c r="V204" s="587" t="s">
        <v>482</v>
      </c>
      <c r="W204" s="587" t="s">
        <v>482</v>
      </c>
      <c r="X204" s="587" t="s">
        <v>482</v>
      </c>
      <c r="Y204" s="587" t="s">
        <v>482</v>
      </c>
      <c r="Z204" s="587"/>
      <c r="AA204" s="587"/>
      <c r="AB204" s="587" t="s">
        <v>482</v>
      </c>
      <c r="AC204" s="587" t="s">
        <v>482</v>
      </c>
      <c r="AD204" s="587" t="s">
        <v>482</v>
      </c>
      <c r="AE204" s="587" t="s">
        <v>482</v>
      </c>
      <c r="AF204" s="587" t="s">
        <v>482</v>
      </c>
      <c r="AG204" s="587"/>
      <c r="AH204" s="693">
        <v>37</v>
      </c>
      <c r="AI204" s="694">
        <v>15.5</v>
      </c>
    </row>
    <row r="205" spans="1:35" ht="21.95" customHeight="1" x14ac:dyDescent="0.2">
      <c r="A205" s="524">
        <v>3701</v>
      </c>
      <c r="B205" s="152" t="s">
        <v>658</v>
      </c>
      <c r="C205" s="1697" t="s">
        <v>482</v>
      </c>
      <c r="D205" s="1697" t="s">
        <v>482</v>
      </c>
      <c r="E205" s="1697"/>
      <c r="F205" s="1697"/>
      <c r="G205" s="1697" t="s">
        <v>482</v>
      </c>
      <c r="H205" s="1697" t="s">
        <v>482</v>
      </c>
      <c r="I205" s="1697" t="s">
        <v>482</v>
      </c>
      <c r="J205" s="1697" t="s">
        <v>482</v>
      </c>
      <c r="K205" s="1697" t="s">
        <v>482</v>
      </c>
      <c r="L205" s="1697"/>
      <c r="M205" s="1697"/>
      <c r="N205" s="1697" t="s">
        <v>482</v>
      </c>
      <c r="O205" s="1697" t="s">
        <v>482</v>
      </c>
      <c r="P205" s="1697" t="s">
        <v>482</v>
      </c>
      <c r="Q205" s="1697" t="s">
        <v>482</v>
      </c>
      <c r="R205" s="1697" t="s">
        <v>482</v>
      </c>
      <c r="S205" s="1698"/>
      <c r="T205" s="1698"/>
      <c r="U205" s="1697" t="s">
        <v>482</v>
      </c>
      <c r="V205" s="1697" t="s">
        <v>482</v>
      </c>
      <c r="W205" s="1697" t="s">
        <v>482</v>
      </c>
      <c r="X205" s="1697" t="s">
        <v>482</v>
      </c>
      <c r="Y205" s="1697" t="s">
        <v>482</v>
      </c>
      <c r="Z205" s="1697"/>
      <c r="AA205" s="1697"/>
      <c r="AB205" s="1697" t="s">
        <v>482</v>
      </c>
      <c r="AC205" s="1697" t="s">
        <v>482</v>
      </c>
      <c r="AD205" s="1697" t="s">
        <v>482</v>
      </c>
      <c r="AE205" s="1697" t="s">
        <v>482</v>
      </c>
      <c r="AF205" s="1697" t="s">
        <v>482</v>
      </c>
      <c r="AG205" s="1697"/>
      <c r="AH205" s="705">
        <v>60</v>
      </c>
      <c r="AI205" s="706">
        <v>23</v>
      </c>
    </row>
    <row r="206" spans="1:35" ht="25.5" customHeight="1" x14ac:dyDescent="0.2">
      <c r="A206" s="1" t="s">
        <v>683</v>
      </c>
    </row>
    <row r="207" spans="1:35" ht="21" customHeight="1" x14ac:dyDescent="0.2">
      <c r="A207" s="1"/>
      <c r="B207" s="200" t="s">
        <v>604</v>
      </c>
      <c r="C207" s="7"/>
      <c r="D207" s="530" t="s">
        <v>2</v>
      </c>
      <c r="E207" s="51"/>
      <c r="F207" s="573"/>
      <c r="G207" s="7"/>
      <c r="H207" s="530" t="s">
        <v>3</v>
      </c>
      <c r="I207" s="51"/>
      <c r="J207" s="573"/>
      <c r="K207" s="7"/>
      <c r="L207" s="530" t="s">
        <v>4</v>
      </c>
      <c r="M207" s="51"/>
      <c r="N207" s="573"/>
      <c r="O207" s="7"/>
      <c r="P207" s="530" t="s">
        <v>5</v>
      </c>
      <c r="Q207" s="51"/>
      <c r="R207" s="573"/>
      <c r="S207" s="7"/>
      <c r="T207" s="530" t="s">
        <v>6</v>
      </c>
      <c r="U207" s="51"/>
      <c r="V207" s="573"/>
      <c r="W207" s="7"/>
      <c r="X207" s="530" t="s">
        <v>7</v>
      </c>
      <c r="Y207" s="51"/>
      <c r="Z207" s="573"/>
      <c r="AA207" s="7"/>
      <c r="AB207" s="530" t="s">
        <v>8</v>
      </c>
      <c r="AC207" s="51"/>
      <c r="AD207" s="51"/>
      <c r="AE207" s="424" t="s">
        <v>10</v>
      </c>
      <c r="AF207" s="51"/>
      <c r="AG207" s="51"/>
      <c r="AH207" s="51"/>
      <c r="AI207" s="531"/>
    </row>
    <row r="208" spans="1:35" ht="21" customHeight="1" x14ac:dyDescent="0.2">
      <c r="A208" s="1"/>
      <c r="B208" s="9"/>
      <c r="C208" s="14"/>
      <c r="D208" s="659"/>
      <c r="E208" s="55"/>
      <c r="F208" s="580"/>
      <c r="G208" s="14"/>
      <c r="H208" s="659"/>
      <c r="I208" s="55"/>
      <c r="J208" s="580"/>
      <c r="K208" s="14"/>
      <c r="L208" s="659"/>
      <c r="M208" s="55"/>
      <c r="N208" s="580"/>
      <c r="O208" s="14"/>
      <c r="P208" s="659"/>
      <c r="Q208" s="55"/>
      <c r="R208" s="580"/>
      <c r="S208" s="14"/>
      <c r="T208" s="659"/>
      <c r="U208" s="55"/>
      <c r="V208" s="580"/>
      <c r="W208" s="14"/>
      <c r="X208" s="659"/>
      <c r="Y208" s="55"/>
      <c r="Z208" s="580"/>
      <c r="AA208" s="14"/>
      <c r="AB208" s="659"/>
      <c r="AC208" s="55"/>
      <c r="AD208" s="55"/>
      <c r="AE208" s="660"/>
      <c r="AF208" s="55"/>
      <c r="AG208" s="55"/>
      <c r="AH208" s="55"/>
      <c r="AI208" s="661"/>
    </row>
    <row r="209" spans="1:35" ht="21" customHeight="1" x14ac:dyDescent="0.2">
      <c r="B209" s="662"/>
      <c r="C209" s="121"/>
      <c r="D209" s="156"/>
      <c r="E209" s="156"/>
      <c r="F209" s="612"/>
      <c r="G209" s="121"/>
      <c r="H209" s="156"/>
      <c r="I209" s="156"/>
      <c r="J209" s="612"/>
      <c r="K209" s="121"/>
      <c r="L209" s="156"/>
      <c r="M209" s="156"/>
      <c r="N209" s="612"/>
      <c r="O209" s="121"/>
      <c r="P209" s="156"/>
      <c r="Q209" s="156"/>
      <c r="R209" s="612"/>
      <c r="S209" s="121"/>
      <c r="T209" s="156"/>
      <c r="U209" s="156"/>
      <c r="V209" s="612"/>
      <c r="W209" s="121"/>
      <c r="X209" s="156"/>
      <c r="Y209" s="156"/>
      <c r="Z209" s="612"/>
      <c r="AA209" s="611"/>
      <c r="AB209" s="156"/>
      <c r="AC209" s="156"/>
      <c r="AD209" s="613"/>
      <c r="AE209" s="663"/>
      <c r="AF209" s="156"/>
      <c r="AG209" s="156" t="s">
        <v>28</v>
      </c>
      <c r="AH209" s="613"/>
      <c r="AI209" s="489"/>
    </row>
    <row r="210" spans="1:35" ht="21" customHeight="1" x14ac:dyDescent="0.2">
      <c r="A210" s="1"/>
      <c r="B210" s="47"/>
      <c r="C210" s="618"/>
      <c r="D210" s="53"/>
      <c r="E210" s="53"/>
      <c r="F210" s="619"/>
      <c r="G210" s="618"/>
      <c r="H210" s="53"/>
      <c r="I210" s="53"/>
      <c r="J210" s="619"/>
      <c r="K210" s="618"/>
      <c r="L210" s="53"/>
      <c r="M210" s="53"/>
      <c r="N210" s="619"/>
      <c r="O210" s="618"/>
      <c r="P210" s="53"/>
      <c r="Q210" s="53"/>
      <c r="R210" s="619"/>
      <c r="S210" s="618"/>
      <c r="T210" s="53"/>
      <c r="U210" s="53"/>
      <c r="V210" s="619"/>
      <c r="W210" s="57"/>
      <c r="X210" s="53"/>
      <c r="Y210" s="53"/>
      <c r="Z210" s="619"/>
      <c r="AA210" s="57"/>
      <c r="AB210" s="53"/>
      <c r="AC210" s="53"/>
      <c r="AD210" s="620"/>
      <c r="AE210" s="57"/>
      <c r="AF210" s="53"/>
      <c r="AG210" s="53"/>
      <c r="AH210" s="620"/>
      <c r="AI210" s="544"/>
    </row>
    <row r="211" spans="1:35" ht="33" customHeight="1" x14ac:dyDescent="0.2">
      <c r="A211" s="1"/>
      <c r="B211" s="72"/>
      <c r="C211" s="311"/>
      <c r="F211" s="353"/>
      <c r="G211" s="311"/>
      <c r="J211" s="353"/>
      <c r="K211" s="311"/>
      <c r="N211" s="353"/>
      <c r="O211" s="311"/>
      <c r="R211" s="353"/>
      <c r="S211" s="311"/>
      <c r="V211" s="353"/>
      <c r="W211" s="353"/>
      <c r="Z211" s="353"/>
      <c r="AA211" s="353"/>
      <c r="AD211" s="353"/>
      <c r="AE211" s="353"/>
      <c r="AH211" s="353"/>
    </row>
    <row r="212" spans="1:35" ht="21" customHeight="1" x14ac:dyDescent="0.2">
      <c r="A212" s="585" t="s">
        <v>468</v>
      </c>
      <c r="B212" s="296" t="s">
        <v>469</v>
      </c>
      <c r="C212" s="177">
        <v>1</v>
      </c>
      <c r="D212" s="177">
        <v>2</v>
      </c>
      <c r="E212" s="497">
        <v>3</v>
      </c>
      <c r="F212" s="497">
        <v>4</v>
      </c>
      <c r="G212" s="177">
        <v>5</v>
      </c>
      <c r="H212" s="177">
        <v>6</v>
      </c>
      <c r="I212" s="177">
        <v>7</v>
      </c>
      <c r="J212" s="177">
        <v>8</v>
      </c>
      <c r="K212" s="177">
        <v>9</v>
      </c>
      <c r="L212" s="497">
        <v>10</v>
      </c>
      <c r="M212" s="497">
        <v>11</v>
      </c>
      <c r="N212" s="177">
        <v>12</v>
      </c>
      <c r="O212" s="177">
        <v>13</v>
      </c>
      <c r="P212" s="177">
        <v>14</v>
      </c>
      <c r="Q212" s="177">
        <v>15</v>
      </c>
      <c r="R212" s="177">
        <v>16</v>
      </c>
      <c r="S212" s="497">
        <v>17</v>
      </c>
      <c r="T212" s="497">
        <v>18</v>
      </c>
      <c r="U212" s="177">
        <v>19</v>
      </c>
      <c r="V212" s="177">
        <v>20</v>
      </c>
      <c r="W212" s="177">
        <v>21</v>
      </c>
      <c r="X212" s="177">
        <v>22</v>
      </c>
      <c r="Y212" s="177">
        <v>23</v>
      </c>
      <c r="Z212" s="497">
        <v>24</v>
      </c>
      <c r="AA212" s="497">
        <v>25</v>
      </c>
      <c r="AB212" s="177">
        <v>26</v>
      </c>
      <c r="AC212" s="177">
        <v>27</v>
      </c>
      <c r="AD212" s="177">
        <v>28</v>
      </c>
      <c r="AE212" s="177">
        <v>29</v>
      </c>
      <c r="AF212" s="177">
        <v>30</v>
      </c>
      <c r="AG212" s="497">
        <v>31</v>
      </c>
      <c r="AH212" s="499" t="s">
        <v>470</v>
      </c>
      <c r="AI212" s="500" t="s">
        <v>471</v>
      </c>
    </row>
    <row r="213" spans="1:35" ht="21" customHeight="1" x14ac:dyDescent="0.2">
      <c r="A213" s="441"/>
      <c r="B213" s="673" t="s">
        <v>661</v>
      </c>
      <c r="C213" s="587" t="s">
        <v>482</v>
      </c>
      <c r="D213" s="587" t="s">
        <v>482</v>
      </c>
      <c r="E213" s="587"/>
      <c r="F213" s="587"/>
      <c r="G213" s="587" t="s">
        <v>482</v>
      </c>
      <c r="H213" s="587" t="s">
        <v>482</v>
      </c>
      <c r="I213" s="587" t="s">
        <v>482</v>
      </c>
      <c r="J213" s="587" t="s">
        <v>482</v>
      </c>
      <c r="K213" s="587" t="s">
        <v>482</v>
      </c>
      <c r="L213" s="587"/>
      <c r="M213" s="587"/>
      <c r="N213" s="587" t="s">
        <v>482</v>
      </c>
      <c r="O213" s="587" t="s">
        <v>482</v>
      </c>
      <c r="P213" s="587" t="s">
        <v>482</v>
      </c>
      <c r="Q213" s="587" t="s">
        <v>482</v>
      </c>
      <c r="R213" s="587" t="s">
        <v>482</v>
      </c>
      <c r="S213" s="503"/>
      <c r="T213" s="503"/>
      <c r="U213" s="587" t="s">
        <v>482</v>
      </c>
      <c r="V213" s="587" t="s">
        <v>482</v>
      </c>
      <c r="W213" s="587" t="s">
        <v>482</v>
      </c>
      <c r="X213" s="1606" t="s">
        <v>482</v>
      </c>
      <c r="Y213" s="1606" t="s">
        <v>482</v>
      </c>
      <c r="Z213" s="587"/>
      <c r="AA213" s="587"/>
      <c r="AB213" s="587" t="s">
        <v>482</v>
      </c>
      <c r="AC213" s="587" t="s">
        <v>482</v>
      </c>
      <c r="AD213" s="587" t="s">
        <v>482</v>
      </c>
      <c r="AE213" s="587" t="s">
        <v>482</v>
      </c>
      <c r="AF213" s="587" t="s">
        <v>482</v>
      </c>
      <c r="AG213" s="587"/>
      <c r="AH213" s="693">
        <v>88</v>
      </c>
      <c r="AI213" s="694">
        <v>37</v>
      </c>
    </row>
    <row r="214" spans="1:35" ht="21" customHeight="1" x14ac:dyDescent="0.2">
      <c r="A214" s="441"/>
      <c r="B214" s="673" t="s">
        <v>662</v>
      </c>
      <c r="C214" s="587" t="s">
        <v>482</v>
      </c>
      <c r="D214" s="587" t="s">
        <v>482</v>
      </c>
      <c r="E214" s="587"/>
      <c r="F214" s="587"/>
      <c r="G214" s="587" t="s">
        <v>482</v>
      </c>
      <c r="H214" s="587" t="s">
        <v>482</v>
      </c>
      <c r="I214" s="587" t="s">
        <v>482</v>
      </c>
      <c r="J214" s="587" t="s">
        <v>482</v>
      </c>
      <c r="K214" s="1606" t="s">
        <v>482</v>
      </c>
      <c r="L214" s="587"/>
      <c r="M214" s="587"/>
      <c r="N214" s="587" t="s">
        <v>482</v>
      </c>
      <c r="O214" s="587" t="s">
        <v>482</v>
      </c>
      <c r="P214" s="587" t="s">
        <v>482</v>
      </c>
      <c r="Q214" s="587" t="s">
        <v>482</v>
      </c>
      <c r="R214" s="587" t="s">
        <v>482</v>
      </c>
      <c r="S214" s="503"/>
      <c r="T214" s="503"/>
      <c r="U214" s="587" t="s">
        <v>482</v>
      </c>
      <c r="V214" s="587" t="s">
        <v>482</v>
      </c>
      <c r="W214" s="587" t="s">
        <v>482</v>
      </c>
      <c r="X214" s="587" t="s">
        <v>482</v>
      </c>
      <c r="Y214" s="587" t="s">
        <v>482</v>
      </c>
      <c r="Z214" s="587"/>
      <c r="AA214" s="587"/>
      <c r="AB214" s="587" t="s">
        <v>482</v>
      </c>
      <c r="AC214" s="587" t="s">
        <v>482</v>
      </c>
      <c r="AD214" s="1660" t="s">
        <v>482</v>
      </c>
      <c r="AE214" s="587" t="s">
        <v>482</v>
      </c>
      <c r="AF214" s="587" t="s">
        <v>482</v>
      </c>
      <c r="AG214" s="587"/>
      <c r="AH214" s="693">
        <v>34</v>
      </c>
      <c r="AI214" s="694">
        <v>37</v>
      </c>
    </row>
    <row r="215" spans="1:35" ht="21" customHeight="1" x14ac:dyDescent="0.2">
      <c r="A215" s="441"/>
      <c r="B215" s="673" t="s">
        <v>663</v>
      </c>
      <c r="C215" s="1516" t="s">
        <v>482</v>
      </c>
      <c r="D215" s="1516" t="s">
        <v>617</v>
      </c>
      <c r="E215" s="587"/>
      <c r="F215" s="587"/>
      <c r="G215" s="587" t="s">
        <v>482</v>
      </c>
      <c r="H215" s="587" t="s">
        <v>482</v>
      </c>
      <c r="I215" s="587" t="s">
        <v>482</v>
      </c>
      <c r="J215" s="587" t="s">
        <v>482</v>
      </c>
      <c r="K215" s="587" t="s">
        <v>482</v>
      </c>
      <c r="L215" s="587"/>
      <c r="M215" s="587"/>
      <c r="N215" s="587" t="s">
        <v>482</v>
      </c>
      <c r="O215" s="587" t="s">
        <v>482</v>
      </c>
      <c r="P215" s="587" t="s">
        <v>482</v>
      </c>
      <c r="Q215" s="587" t="s">
        <v>482</v>
      </c>
      <c r="R215" s="587" t="s">
        <v>482</v>
      </c>
      <c r="S215" s="503"/>
      <c r="T215" s="503"/>
      <c r="U215" s="587" t="s">
        <v>482</v>
      </c>
      <c r="V215" s="587" t="s">
        <v>482</v>
      </c>
      <c r="W215" s="587" t="s">
        <v>482</v>
      </c>
      <c r="X215" s="587" t="s">
        <v>482</v>
      </c>
      <c r="Y215" s="587" t="s">
        <v>482</v>
      </c>
      <c r="Z215" s="587"/>
      <c r="AA215" s="587"/>
      <c r="AB215" s="587" t="s">
        <v>482</v>
      </c>
      <c r="AC215" s="587" t="s">
        <v>482</v>
      </c>
      <c r="AD215" s="587" t="s">
        <v>482</v>
      </c>
      <c r="AE215" s="587" t="s">
        <v>482</v>
      </c>
      <c r="AF215" s="587" t="s">
        <v>482</v>
      </c>
      <c r="AG215" s="587"/>
      <c r="AH215" s="693">
        <v>6</v>
      </c>
      <c r="AI215" s="694">
        <v>23</v>
      </c>
    </row>
    <row r="216" spans="1:35" ht="21" customHeight="1" x14ac:dyDescent="0.2">
      <c r="A216" s="441"/>
      <c r="B216" s="673" t="s">
        <v>664</v>
      </c>
      <c r="C216" s="587" t="s">
        <v>482</v>
      </c>
      <c r="D216" s="587" t="s">
        <v>482</v>
      </c>
      <c r="E216" s="587"/>
      <c r="F216" s="587"/>
      <c r="G216" s="587" t="s">
        <v>482</v>
      </c>
      <c r="H216" s="587" t="s">
        <v>482</v>
      </c>
      <c r="I216" s="587" t="s">
        <v>482</v>
      </c>
      <c r="J216" s="587" t="s">
        <v>482</v>
      </c>
      <c r="K216" s="587" t="s">
        <v>482</v>
      </c>
      <c r="L216" s="587"/>
      <c r="M216" s="587"/>
      <c r="N216" s="587" t="s">
        <v>482</v>
      </c>
      <c r="O216" s="587" t="s">
        <v>482</v>
      </c>
      <c r="P216" s="587" t="s">
        <v>482</v>
      </c>
      <c r="Q216" s="587" t="s">
        <v>482</v>
      </c>
      <c r="R216" s="587" t="s">
        <v>482</v>
      </c>
      <c r="S216" s="503"/>
      <c r="T216" s="503"/>
      <c r="U216" s="587" t="s">
        <v>482</v>
      </c>
      <c r="V216" s="587" t="s">
        <v>482</v>
      </c>
      <c r="W216" s="587" t="s">
        <v>482</v>
      </c>
      <c r="X216" s="587" t="s">
        <v>482</v>
      </c>
      <c r="Y216" s="587" t="s">
        <v>482</v>
      </c>
      <c r="Z216" s="587"/>
      <c r="AA216" s="587"/>
      <c r="AB216" s="1060" t="s">
        <v>482</v>
      </c>
      <c r="AC216" s="1060" t="s">
        <v>482</v>
      </c>
      <c r="AD216" s="1060" t="s">
        <v>482</v>
      </c>
      <c r="AE216" s="1060" t="s">
        <v>482</v>
      </c>
      <c r="AF216" s="1060" t="s">
        <v>482</v>
      </c>
      <c r="AG216" s="587"/>
      <c r="AH216" s="693">
        <v>14</v>
      </c>
      <c r="AI216" s="694">
        <v>16</v>
      </c>
    </row>
    <row r="217" spans="1:35" ht="21" customHeight="1" x14ac:dyDescent="0.2">
      <c r="A217" s="441"/>
      <c r="B217" s="673" t="s">
        <v>665</v>
      </c>
      <c r="C217" s="587" t="s">
        <v>482</v>
      </c>
      <c r="D217" s="587" t="s">
        <v>482</v>
      </c>
      <c r="E217" s="587"/>
      <c r="F217" s="587"/>
      <c r="G217" s="587" t="s">
        <v>482</v>
      </c>
      <c r="H217" s="587" t="s">
        <v>482</v>
      </c>
      <c r="I217" s="587" t="s">
        <v>482</v>
      </c>
      <c r="J217" s="587" t="s">
        <v>482</v>
      </c>
      <c r="K217" s="587" t="s">
        <v>482</v>
      </c>
      <c r="L217" s="587"/>
      <c r="M217" s="587"/>
      <c r="N217" s="587" t="s">
        <v>482</v>
      </c>
      <c r="O217" s="587" t="s">
        <v>482</v>
      </c>
      <c r="P217" s="587" t="s">
        <v>482</v>
      </c>
      <c r="Q217" s="587" t="s">
        <v>482</v>
      </c>
      <c r="R217" s="587" t="s">
        <v>482</v>
      </c>
      <c r="S217" s="503"/>
      <c r="T217" s="503"/>
      <c r="U217" s="587" t="s">
        <v>482</v>
      </c>
      <c r="V217" s="587" t="s">
        <v>482</v>
      </c>
      <c r="W217" s="587" t="s">
        <v>482</v>
      </c>
      <c r="X217" s="587" t="s">
        <v>482</v>
      </c>
      <c r="Y217" s="587" t="s">
        <v>482</v>
      </c>
      <c r="Z217" s="587"/>
      <c r="AA217" s="587"/>
      <c r="AB217" s="587" t="s">
        <v>482</v>
      </c>
      <c r="AC217" s="587" t="s">
        <v>482</v>
      </c>
      <c r="AD217" s="587" t="s">
        <v>482</v>
      </c>
      <c r="AE217" s="587" t="s">
        <v>482</v>
      </c>
      <c r="AF217" s="587" t="s">
        <v>482</v>
      </c>
      <c r="AG217" s="587"/>
      <c r="AH217" s="693">
        <v>0</v>
      </c>
      <c r="AI217" s="694">
        <v>37</v>
      </c>
    </row>
    <row r="218" spans="1:35" ht="21" customHeight="1" x14ac:dyDescent="0.2">
      <c r="A218" s="441"/>
      <c r="B218" s="673" t="s">
        <v>666</v>
      </c>
      <c r="C218" s="587" t="s">
        <v>482</v>
      </c>
      <c r="D218" s="587" t="s">
        <v>482</v>
      </c>
      <c r="E218" s="587"/>
      <c r="F218" s="587"/>
      <c r="G218" s="587" t="s">
        <v>482</v>
      </c>
      <c r="H218" s="587" t="s">
        <v>482</v>
      </c>
      <c r="I218" s="587" t="s">
        <v>482</v>
      </c>
      <c r="J218" s="587" t="s">
        <v>482</v>
      </c>
      <c r="K218" s="1627" t="s">
        <v>482</v>
      </c>
      <c r="L218" s="587"/>
      <c r="M218" s="587"/>
      <c r="N218" s="587" t="s">
        <v>482</v>
      </c>
      <c r="O218" s="587" t="s">
        <v>482</v>
      </c>
      <c r="P218" s="1627" t="s">
        <v>482</v>
      </c>
      <c r="Q218" s="587" t="s">
        <v>482</v>
      </c>
      <c r="R218" s="587" t="s">
        <v>482</v>
      </c>
      <c r="S218" s="503"/>
      <c r="T218" s="503"/>
      <c r="U218" s="587" t="s">
        <v>482</v>
      </c>
      <c r="V218" s="587" t="s">
        <v>482</v>
      </c>
      <c r="W218" s="587" t="s">
        <v>482</v>
      </c>
      <c r="X218" s="587" t="s">
        <v>482</v>
      </c>
      <c r="Y218" s="1606" t="s">
        <v>482</v>
      </c>
      <c r="Z218" s="587"/>
      <c r="AA218" s="587"/>
      <c r="AB218" s="587" t="s">
        <v>482</v>
      </c>
      <c r="AC218" s="587" t="s">
        <v>482</v>
      </c>
      <c r="AD218" s="587" t="s">
        <v>482</v>
      </c>
      <c r="AE218" s="587" t="s">
        <v>482</v>
      </c>
      <c r="AF218" s="1606" t="s">
        <v>482</v>
      </c>
      <c r="AG218" s="587"/>
      <c r="AH218" s="693">
        <v>37</v>
      </c>
      <c r="AI218" s="694">
        <v>8</v>
      </c>
    </row>
    <row r="219" spans="1:35" ht="21" customHeight="1" x14ac:dyDescent="0.2">
      <c r="A219" s="441"/>
      <c r="B219" s="673" t="s">
        <v>667</v>
      </c>
      <c r="C219" s="587" t="s">
        <v>482</v>
      </c>
      <c r="D219" s="587" t="s">
        <v>482</v>
      </c>
      <c r="E219" s="587"/>
      <c r="F219" s="587"/>
      <c r="G219" s="587" t="s">
        <v>482</v>
      </c>
      <c r="H219" s="587" t="s">
        <v>482</v>
      </c>
      <c r="I219" s="587" t="s">
        <v>482</v>
      </c>
      <c r="J219" s="587" t="s">
        <v>482</v>
      </c>
      <c r="K219" s="587" t="s">
        <v>482</v>
      </c>
      <c r="L219" s="587"/>
      <c r="M219" s="587"/>
      <c r="N219" s="587" t="s">
        <v>482</v>
      </c>
      <c r="O219" s="587" t="s">
        <v>482</v>
      </c>
      <c r="P219" s="587" t="s">
        <v>482</v>
      </c>
      <c r="Q219" s="587" t="s">
        <v>482</v>
      </c>
      <c r="R219" s="587" t="s">
        <v>482</v>
      </c>
      <c r="S219" s="503"/>
      <c r="T219" s="503"/>
      <c r="U219" s="587" t="s">
        <v>482</v>
      </c>
      <c r="V219" s="587" t="s">
        <v>482</v>
      </c>
      <c r="W219" s="587" t="s">
        <v>482</v>
      </c>
      <c r="X219" s="587" t="s">
        <v>482</v>
      </c>
      <c r="Y219" s="587" t="s">
        <v>482</v>
      </c>
      <c r="Z219" s="587"/>
      <c r="AA219" s="587"/>
      <c r="AB219" s="587" t="s">
        <v>482</v>
      </c>
      <c r="AC219" s="587" t="s">
        <v>482</v>
      </c>
      <c r="AD219" s="587" t="s">
        <v>482</v>
      </c>
      <c r="AE219" s="587" t="s">
        <v>482</v>
      </c>
      <c r="AF219" s="587" t="s">
        <v>482</v>
      </c>
      <c r="AG219" s="587"/>
      <c r="AH219" s="693">
        <v>26</v>
      </c>
      <c r="AI219" s="694">
        <v>37</v>
      </c>
    </row>
    <row r="220" spans="1:35" ht="21" customHeight="1" x14ac:dyDescent="0.2">
      <c r="A220" s="441"/>
      <c r="B220" s="673" t="s">
        <v>668</v>
      </c>
      <c r="C220" s="1606" t="s">
        <v>482</v>
      </c>
      <c r="D220" s="587" t="s">
        <v>482</v>
      </c>
      <c r="E220" s="587"/>
      <c r="F220" s="587"/>
      <c r="G220" s="587" t="s">
        <v>482</v>
      </c>
      <c r="H220" s="587" t="s">
        <v>482</v>
      </c>
      <c r="I220" s="1606" t="s">
        <v>482</v>
      </c>
      <c r="J220" s="587" t="s">
        <v>482</v>
      </c>
      <c r="K220" s="587" t="s">
        <v>482</v>
      </c>
      <c r="L220" s="587"/>
      <c r="M220" s="587"/>
      <c r="N220" s="587" t="s">
        <v>482</v>
      </c>
      <c r="O220" s="587" t="s">
        <v>482</v>
      </c>
      <c r="P220" s="587" t="s">
        <v>482</v>
      </c>
      <c r="Q220" s="587" t="s">
        <v>482</v>
      </c>
      <c r="R220" s="587" t="s">
        <v>482</v>
      </c>
      <c r="S220" s="503"/>
      <c r="T220" s="503"/>
      <c r="U220" s="587" t="s">
        <v>482</v>
      </c>
      <c r="V220" s="587" t="s">
        <v>482</v>
      </c>
      <c r="W220" s="587" t="s">
        <v>482</v>
      </c>
      <c r="X220" s="587" t="s">
        <v>482</v>
      </c>
      <c r="Y220" s="587" t="s">
        <v>482</v>
      </c>
      <c r="Z220" s="587"/>
      <c r="AA220" s="587"/>
      <c r="AB220" s="1627" t="s">
        <v>482</v>
      </c>
      <c r="AC220" s="1627" t="s">
        <v>482</v>
      </c>
      <c r="AD220" s="1627" t="s">
        <v>482</v>
      </c>
      <c r="AE220" s="1627" t="s">
        <v>482</v>
      </c>
      <c r="AF220" s="1627" t="s">
        <v>482</v>
      </c>
      <c r="AG220" s="587"/>
      <c r="AH220" s="693">
        <v>26</v>
      </c>
      <c r="AI220" s="694">
        <v>0</v>
      </c>
    </row>
    <row r="221" spans="1:35" ht="21" customHeight="1" x14ac:dyDescent="0.2">
      <c r="A221" s="441"/>
      <c r="B221" s="673" t="s">
        <v>669</v>
      </c>
      <c r="C221" s="587" t="s">
        <v>482</v>
      </c>
      <c r="D221" s="587" t="s">
        <v>482</v>
      </c>
      <c r="E221" s="587"/>
      <c r="F221" s="587"/>
      <c r="G221" s="587" t="s">
        <v>482</v>
      </c>
      <c r="H221" s="587" t="s">
        <v>482</v>
      </c>
      <c r="I221" s="587" t="s">
        <v>482</v>
      </c>
      <c r="J221" s="587" t="s">
        <v>482</v>
      </c>
      <c r="K221" s="587" t="s">
        <v>482</v>
      </c>
      <c r="L221" s="587"/>
      <c r="M221" s="587"/>
      <c r="N221" s="1524" t="s">
        <v>482</v>
      </c>
      <c r="O221" s="587" t="s">
        <v>482</v>
      </c>
      <c r="P221" s="587" t="s">
        <v>482</v>
      </c>
      <c r="Q221" s="587" t="s">
        <v>482</v>
      </c>
      <c r="R221" s="587" t="s">
        <v>482</v>
      </c>
      <c r="S221" s="503"/>
      <c r="T221" s="503"/>
      <c r="U221" s="587" t="s">
        <v>482</v>
      </c>
      <c r="V221" s="587" t="s">
        <v>482</v>
      </c>
      <c r="W221" s="1660" t="s">
        <v>482</v>
      </c>
      <c r="X221" s="1660" t="s">
        <v>482</v>
      </c>
      <c r="Y221" s="1660" t="s">
        <v>482</v>
      </c>
      <c r="Z221" s="587"/>
      <c r="AA221" s="587"/>
      <c r="AB221" s="1627" t="s">
        <v>482</v>
      </c>
      <c r="AC221" s="1627" t="s">
        <v>482</v>
      </c>
      <c r="AD221" s="1627" t="s">
        <v>482</v>
      </c>
      <c r="AE221" s="1627" t="s">
        <v>482</v>
      </c>
      <c r="AF221" s="1627" t="s">
        <v>482</v>
      </c>
      <c r="AG221" s="587"/>
      <c r="AH221" s="693">
        <v>0</v>
      </c>
      <c r="AI221" s="694">
        <v>0</v>
      </c>
    </row>
    <row r="222" spans="1:35" ht="21" customHeight="1" x14ac:dyDescent="0.2">
      <c r="A222" s="441"/>
      <c r="B222" s="673" t="s">
        <v>670</v>
      </c>
      <c r="C222" s="587" t="s">
        <v>482</v>
      </c>
      <c r="D222" s="587" t="s">
        <v>482</v>
      </c>
      <c r="E222" s="587"/>
      <c r="F222" s="587"/>
      <c r="G222" s="587" t="s">
        <v>482</v>
      </c>
      <c r="H222" s="587" t="s">
        <v>482</v>
      </c>
      <c r="I222" s="587" t="s">
        <v>482</v>
      </c>
      <c r="J222" s="587" t="s">
        <v>482</v>
      </c>
      <c r="K222" s="587" t="s">
        <v>482</v>
      </c>
      <c r="L222" s="587"/>
      <c r="M222" s="587"/>
      <c r="N222" s="587" t="s">
        <v>482</v>
      </c>
      <c r="O222" s="587" t="s">
        <v>482</v>
      </c>
      <c r="P222" s="587" t="s">
        <v>482</v>
      </c>
      <c r="Q222" s="587" t="s">
        <v>482</v>
      </c>
      <c r="R222" s="587" t="s">
        <v>482</v>
      </c>
      <c r="S222" s="503"/>
      <c r="T222" s="503"/>
      <c r="U222" s="587" t="s">
        <v>482</v>
      </c>
      <c r="V222" s="587" t="s">
        <v>482</v>
      </c>
      <c r="W222" s="587" t="s">
        <v>482</v>
      </c>
      <c r="X222" s="1516" t="s">
        <v>482</v>
      </c>
      <c r="Y222" s="1516" t="s">
        <v>482</v>
      </c>
      <c r="Z222" s="1516"/>
      <c r="AA222" s="1516"/>
      <c r="AB222" s="1516" t="s">
        <v>482</v>
      </c>
      <c r="AC222" s="1516" t="s">
        <v>482</v>
      </c>
      <c r="AD222" s="1516" t="s">
        <v>617</v>
      </c>
      <c r="AE222" s="587" t="s">
        <v>482</v>
      </c>
      <c r="AF222" s="587" t="s">
        <v>482</v>
      </c>
      <c r="AG222" s="587"/>
      <c r="AH222" s="693">
        <v>8</v>
      </c>
      <c r="AI222" s="694">
        <v>37</v>
      </c>
    </row>
    <row r="223" spans="1:35" ht="21" customHeight="1" x14ac:dyDescent="0.2">
      <c r="A223" s="441"/>
      <c r="B223" s="152" t="s">
        <v>671</v>
      </c>
      <c r="C223" s="587" t="s">
        <v>482</v>
      </c>
      <c r="D223" s="587" t="s">
        <v>482</v>
      </c>
      <c r="E223" s="587"/>
      <c r="F223" s="587"/>
      <c r="G223" s="587" t="s">
        <v>482</v>
      </c>
      <c r="H223" s="587" t="s">
        <v>482</v>
      </c>
      <c r="I223" s="587" t="s">
        <v>482</v>
      </c>
      <c r="J223" s="587" t="s">
        <v>482</v>
      </c>
      <c r="K223" s="587" t="s">
        <v>482</v>
      </c>
      <c r="L223" s="587"/>
      <c r="M223" s="587"/>
      <c r="N223" s="587" t="s">
        <v>482</v>
      </c>
      <c r="O223" s="587" t="s">
        <v>482</v>
      </c>
      <c r="P223" s="587" t="s">
        <v>482</v>
      </c>
      <c r="Q223" s="587" t="s">
        <v>482</v>
      </c>
      <c r="R223" s="1627" t="s">
        <v>482</v>
      </c>
      <c r="S223" s="503"/>
      <c r="T223" s="503"/>
      <c r="U223" s="587" t="s">
        <v>482</v>
      </c>
      <c r="V223" s="587" t="s">
        <v>482</v>
      </c>
      <c r="W223" s="587" t="s">
        <v>482</v>
      </c>
      <c r="X223" s="587" t="s">
        <v>482</v>
      </c>
      <c r="Y223" s="587" t="s">
        <v>482</v>
      </c>
      <c r="Z223" s="587"/>
      <c r="AA223" s="587"/>
      <c r="AB223" s="587" t="s">
        <v>482</v>
      </c>
      <c r="AC223" s="587" t="s">
        <v>482</v>
      </c>
      <c r="AD223" s="587" t="s">
        <v>482</v>
      </c>
      <c r="AE223" s="587" t="s">
        <v>482</v>
      </c>
      <c r="AF223" s="587" t="s">
        <v>482</v>
      </c>
      <c r="AG223" s="587"/>
      <c r="AH223" s="693">
        <v>0</v>
      </c>
      <c r="AI223" s="694">
        <v>0</v>
      </c>
    </row>
    <row r="224" spans="1:35" ht="21" customHeight="1" x14ac:dyDescent="0.2">
      <c r="A224" s="441"/>
      <c r="B224" s="152" t="s">
        <v>672</v>
      </c>
      <c r="C224" s="587" t="s">
        <v>482</v>
      </c>
      <c r="D224" s="587" t="s">
        <v>482</v>
      </c>
      <c r="E224" s="587"/>
      <c r="F224" s="587"/>
      <c r="G224" s="587" t="s">
        <v>482</v>
      </c>
      <c r="H224" s="587" t="s">
        <v>482</v>
      </c>
      <c r="I224" s="587" t="s">
        <v>482</v>
      </c>
      <c r="J224" s="587" t="s">
        <v>482</v>
      </c>
      <c r="K224" s="587" t="s">
        <v>482</v>
      </c>
      <c r="L224" s="587"/>
      <c r="M224" s="587"/>
      <c r="N224" s="587" t="s">
        <v>482</v>
      </c>
      <c r="O224" s="587" t="s">
        <v>482</v>
      </c>
      <c r="P224" s="587" t="s">
        <v>482</v>
      </c>
      <c r="Q224" s="587" t="s">
        <v>482</v>
      </c>
      <c r="R224" s="587" t="s">
        <v>482</v>
      </c>
      <c r="S224" s="503"/>
      <c r="T224" s="503"/>
      <c r="U224" s="587" t="s">
        <v>482</v>
      </c>
      <c r="V224" s="587" t="s">
        <v>482</v>
      </c>
      <c r="W224" s="1524" t="s">
        <v>482</v>
      </c>
      <c r="X224" s="1524" t="s">
        <v>482</v>
      </c>
      <c r="Y224" s="1524" t="s">
        <v>482</v>
      </c>
      <c r="Z224" s="587"/>
      <c r="AA224" s="587"/>
      <c r="AB224" s="587" t="s">
        <v>482</v>
      </c>
      <c r="AC224" s="587" t="s">
        <v>482</v>
      </c>
      <c r="AD224" s="587" t="s">
        <v>482</v>
      </c>
      <c r="AE224" s="587" t="s">
        <v>482</v>
      </c>
      <c r="AF224" s="587" t="s">
        <v>482</v>
      </c>
      <c r="AG224" s="587"/>
      <c r="AH224" s="693">
        <v>54</v>
      </c>
      <c r="AI224" s="694">
        <v>16</v>
      </c>
    </row>
    <row r="225" spans="1:35" ht="21" customHeight="1" x14ac:dyDescent="0.2">
      <c r="A225" s="152"/>
      <c r="B225" s="152" t="s">
        <v>673</v>
      </c>
      <c r="C225" s="587" t="s">
        <v>482</v>
      </c>
      <c r="D225" s="587" t="s">
        <v>482</v>
      </c>
      <c r="E225" s="587"/>
      <c r="F225" s="587"/>
      <c r="G225" s="587" t="s">
        <v>482</v>
      </c>
      <c r="H225" s="587" t="s">
        <v>482</v>
      </c>
      <c r="I225" s="587" t="s">
        <v>482</v>
      </c>
      <c r="J225" s="587" t="s">
        <v>482</v>
      </c>
      <c r="K225" s="587" t="s">
        <v>482</v>
      </c>
      <c r="L225" s="587"/>
      <c r="M225" s="587"/>
      <c r="N225" s="587" t="s">
        <v>482</v>
      </c>
      <c r="O225" s="587" t="s">
        <v>482</v>
      </c>
      <c r="P225" s="587" t="s">
        <v>482</v>
      </c>
      <c r="Q225" s="587" t="s">
        <v>482</v>
      </c>
      <c r="R225" s="587" t="s">
        <v>482</v>
      </c>
      <c r="S225" s="503"/>
      <c r="T225" s="503"/>
      <c r="U225" s="587" t="s">
        <v>482</v>
      </c>
      <c r="V225" s="587" t="s">
        <v>482</v>
      </c>
      <c r="W225" s="587" t="s">
        <v>482</v>
      </c>
      <c r="X225" s="587" t="s">
        <v>482</v>
      </c>
      <c r="Y225" s="587" t="s">
        <v>482</v>
      </c>
      <c r="Z225" s="587"/>
      <c r="AA225" s="587"/>
      <c r="AB225" s="587" t="s">
        <v>482</v>
      </c>
      <c r="AC225" s="587" t="s">
        <v>482</v>
      </c>
      <c r="AD225" s="587" t="s">
        <v>482</v>
      </c>
      <c r="AE225" s="587" t="s">
        <v>482</v>
      </c>
      <c r="AF225" s="587" t="s">
        <v>482</v>
      </c>
      <c r="AG225" s="587"/>
      <c r="AH225" s="693">
        <v>2</v>
      </c>
      <c r="AI225" s="694">
        <v>11</v>
      </c>
    </row>
    <row r="226" spans="1:35" ht="21" customHeight="1" x14ac:dyDescent="0.2">
      <c r="A226" s="152"/>
      <c r="B226" s="152"/>
      <c r="C226" s="587"/>
      <c r="D226" s="587"/>
      <c r="E226" s="587"/>
      <c r="F226" s="587"/>
      <c r="G226" s="587"/>
      <c r="H226" s="587"/>
      <c r="I226" s="587"/>
      <c r="J226" s="587"/>
      <c r="K226" s="587"/>
      <c r="L226" s="587"/>
      <c r="M226" s="587"/>
      <c r="N226" s="587"/>
      <c r="O226" s="587"/>
      <c r="P226" s="587"/>
      <c r="Q226" s="587"/>
      <c r="R226" s="587"/>
      <c r="S226" s="503"/>
      <c r="T226" s="503"/>
      <c r="U226" s="587"/>
      <c r="V226" s="587"/>
      <c r="W226" s="587"/>
      <c r="X226" s="587"/>
      <c r="Y226" s="587"/>
      <c r="Z226" s="587"/>
      <c r="AA226" s="587"/>
      <c r="AB226" s="587"/>
      <c r="AC226" s="587"/>
      <c r="AD226" s="587"/>
      <c r="AE226" s="587"/>
      <c r="AF226" s="587"/>
      <c r="AG226" s="587"/>
      <c r="AH226" s="693"/>
      <c r="AI226" s="694"/>
    </row>
    <row r="227" spans="1:35" ht="21" customHeight="1" x14ac:dyDescent="0.2">
      <c r="A227" s="152"/>
      <c r="B227" s="152"/>
      <c r="C227" s="587"/>
      <c r="D227" s="587"/>
      <c r="E227" s="587"/>
      <c r="F227" s="587"/>
      <c r="G227" s="587"/>
      <c r="H227" s="587"/>
      <c r="I227" s="587"/>
      <c r="J227" s="587"/>
      <c r="K227" s="587"/>
      <c r="L227" s="587"/>
      <c r="M227" s="587"/>
      <c r="N227" s="587"/>
      <c r="O227" s="587"/>
      <c r="P227" s="587"/>
      <c r="Q227" s="587"/>
      <c r="R227" s="587"/>
      <c r="S227" s="503"/>
      <c r="T227" s="503"/>
      <c r="U227" s="587"/>
      <c r="V227" s="587"/>
      <c r="W227" s="587"/>
      <c r="X227" s="587"/>
      <c r="Y227" s="587"/>
      <c r="Z227" s="587"/>
      <c r="AA227" s="587"/>
      <c r="AB227" s="587"/>
      <c r="AC227" s="587"/>
      <c r="AD227" s="587"/>
      <c r="AE227" s="587"/>
      <c r="AF227" s="587"/>
      <c r="AG227" s="587"/>
      <c r="AH227" s="693"/>
      <c r="AI227" s="694"/>
    </row>
    <row r="228" spans="1:35" ht="21" customHeight="1" x14ac:dyDescent="0.2">
      <c r="A228" s="152"/>
      <c r="B228" s="152"/>
      <c r="C228" s="503"/>
      <c r="D228" s="503"/>
      <c r="E228" s="503"/>
      <c r="F228" s="503"/>
      <c r="G228" s="503"/>
      <c r="H228" s="503"/>
      <c r="I228" s="503"/>
      <c r="J228" s="503"/>
      <c r="K228" s="503"/>
      <c r="L228" s="503"/>
      <c r="M228" s="503"/>
      <c r="N228" s="503"/>
      <c r="O228" s="503"/>
      <c r="P228" s="503"/>
      <c r="Q228" s="503"/>
      <c r="R228" s="503"/>
      <c r="S228" s="503"/>
      <c r="T228" s="503"/>
      <c r="U228" s="503"/>
      <c r="V228" s="503"/>
      <c r="W228" s="503"/>
      <c r="X228" s="503"/>
      <c r="Y228" s="503"/>
      <c r="Z228" s="503"/>
      <c r="AA228" s="503"/>
      <c r="AB228" s="503"/>
      <c r="AC228" s="503"/>
      <c r="AD228" s="503"/>
      <c r="AE228" s="503"/>
      <c r="AF228" s="503"/>
      <c r="AG228" s="695"/>
      <c r="AH228" s="693"/>
      <c r="AI228" s="694"/>
    </row>
    <row r="229" spans="1:35" ht="21" customHeight="1" x14ac:dyDescent="0.2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4"/>
      <c r="AH229" s="328"/>
      <c r="AI229" s="190"/>
    </row>
    <row r="230" spans="1:35" ht="21" customHeight="1" x14ac:dyDescent="0.2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4"/>
      <c r="AH230" s="328"/>
      <c r="AI230" s="190"/>
    </row>
    <row r="231" spans="1:35" ht="21" customHeight="1" x14ac:dyDescent="0.2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4"/>
      <c r="AH231" s="330"/>
      <c r="AI231" s="49"/>
    </row>
  </sheetData>
  <sheetProtection password="CC44" sheet="1" objects="1" scenarios="1"/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70" max="16383" man="1"/>
  </rowBreaks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7"/>
  <dimension ref="A1:K47"/>
  <sheetViews>
    <sheetView zoomScale="67" zoomScaleNormal="67" workbookViewId="0">
      <selection activeCell="M20" sqref="M20"/>
    </sheetView>
  </sheetViews>
  <sheetFormatPr defaultRowHeight="12.75" x14ac:dyDescent="0.2"/>
  <cols>
    <col min="1" max="1" width="18.5703125" customWidth="1"/>
    <col min="2" max="2" width="30.7109375" customWidth="1"/>
    <col min="3" max="3" width="13.7109375" customWidth="1"/>
    <col min="4" max="4" width="8.140625" customWidth="1"/>
    <col min="5" max="5" width="18.28515625" customWidth="1"/>
    <col min="6" max="6" width="26.5703125" customWidth="1"/>
    <col min="7" max="7" width="12.85546875" style="765" customWidth="1"/>
    <col min="8" max="8" width="2.7109375" customWidth="1"/>
    <col min="9" max="9" width="22.85546875" customWidth="1"/>
    <col min="10" max="10" width="27" customWidth="1"/>
    <col min="11" max="11" width="11.42578125" customWidth="1"/>
  </cols>
  <sheetData>
    <row r="1" spans="1:11" ht="20.25" x14ac:dyDescent="0.3">
      <c r="F1" s="766" t="s">
        <v>768</v>
      </c>
    </row>
    <row r="2" spans="1:11" ht="15.95" customHeight="1" x14ac:dyDescent="0.25">
      <c r="A2" s="654" t="s">
        <v>769</v>
      </c>
      <c r="B2" s="1302"/>
      <c r="C2" s="1302"/>
      <c r="D2" s="1302"/>
      <c r="E2" s="654" t="s">
        <v>770</v>
      </c>
      <c r="F2" s="1302"/>
      <c r="G2" s="1303"/>
      <c r="H2" s="1302"/>
      <c r="I2" s="654" t="s">
        <v>771</v>
      </c>
      <c r="J2" s="1302"/>
    </row>
    <row r="3" spans="1:11" ht="15" customHeight="1" thickBot="1" x14ac:dyDescent="0.25">
      <c r="A3" s="1304" t="s">
        <v>772</v>
      </c>
      <c r="B3" s="1304" t="s">
        <v>773</v>
      </c>
      <c r="C3" s="1304" t="s">
        <v>774</v>
      </c>
      <c r="D3" s="1302"/>
      <c r="E3" s="1305" t="s">
        <v>772</v>
      </c>
      <c r="F3" s="1305" t="s">
        <v>773</v>
      </c>
      <c r="G3" s="1306" t="s">
        <v>774</v>
      </c>
      <c r="H3" s="1302"/>
      <c r="I3" s="1305" t="s">
        <v>772</v>
      </c>
      <c r="J3" s="1305" t="s">
        <v>773</v>
      </c>
      <c r="K3" s="768" t="s">
        <v>774</v>
      </c>
    </row>
    <row r="4" spans="1:11" ht="15" customHeight="1" thickBot="1" x14ac:dyDescent="0.25">
      <c r="A4" s="1307" t="s">
        <v>26</v>
      </c>
      <c r="B4" s="1307" t="s">
        <v>775</v>
      </c>
      <c r="C4" s="1424"/>
      <c r="D4" s="1302"/>
      <c r="E4" s="1308" t="s">
        <v>26</v>
      </c>
      <c r="F4" s="1307" t="s">
        <v>591</v>
      </c>
      <c r="G4" s="1427" t="s">
        <v>776</v>
      </c>
      <c r="H4" s="1302"/>
      <c r="I4" s="1308" t="s">
        <v>777</v>
      </c>
      <c r="J4" s="1309"/>
      <c r="K4" s="46"/>
    </row>
    <row r="5" spans="1:11" ht="15" customHeight="1" thickBot="1" x14ac:dyDescent="0.25">
      <c r="A5" s="1307"/>
      <c r="B5" s="1307" t="s">
        <v>778</v>
      </c>
      <c r="C5" s="1424" t="s">
        <v>779</v>
      </c>
      <c r="D5" s="1302"/>
      <c r="E5" s="1311"/>
      <c r="F5" s="1312" t="s">
        <v>515</v>
      </c>
      <c r="G5" s="1425"/>
      <c r="H5" s="1302"/>
      <c r="I5" s="1311"/>
      <c r="J5" s="1307" t="s">
        <v>780</v>
      </c>
      <c r="K5" s="190"/>
    </row>
    <row r="6" spans="1:11" ht="15" customHeight="1" thickBot="1" x14ac:dyDescent="0.25">
      <c r="A6" s="1307"/>
      <c r="B6" s="1307" t="s">
        <v>35</v>
      </c>
      <c r="C6" s="1424" t="s">
        <v>781</v>
      </c>
      <c r="D6" s="1302"/>
      <c r="E6" s="1308" t="s">
        <v>775</v>
      </c>
      <c r="F6" s="1309" t="s">
        <v>502</v>
      </c>
      <c r="G6" s="1427" t="s">
        <v>782</v>
      </c>
      <c r="H6" s="1302"/>
      <c r="I6" s="1313"/>
      <c r="J6" s="1314" t="s">
        <v>783</v>
      </c>
      <c r="K6" s="135"/>
    </row>
    <row r="7" spans="1:11" ht="15" customHeight="1" x14ac:dyDescent="0.2">
      <c r="A7" s="1307"/>
      <c r="B7" s="1307" t="s">
        <v>784</v>
      </c>
      <c r="C7" s="1424" t="s">
        <v>779</v>
      </c>
      <c r="D7" s="1302"/>
      <c r="E7" s="1311"/>
      <c r="F7" s="1307" t="s">
        <v>506</v>
      </c>
      <c r="G7" s="1425" t="s">
        <v>785</v>
      </c>
      <c r="H7" s="1302"/>
      <c r="I7" s="1308" t="s">
        <v>777</v>
      </c>
      <c r="J7" s="1309" t="s">
        <v>655</v>
      </c>
      <c r="K7" s="46"/>
    </row>
    <row r="8" spans="1:11" ht="15" customHeight="1" thickBot="1" x14ac:dyDescent="0.25">
      <c r="A8" s="1307"/>
      <c r="B8" s="1307" t="s">
        <v>786</v>
      </c>
      <c r="C8" s="1424" t="s">
        <v>787</v>
      </c>
      <c r="D8" s="1302"/>
      <c r="E8" s="1315"/>
      <c r="F8" s="1316" t="s">
        <v>509</v>
      </c>
      <c r="G8" s="1317">
        <v>40671</v>
      </c>
      <c r="H8" s="1302"/>
      <c r="I8" s="1318"/>
      <c r="J8" s="1314" t="s">
        <v>657</v>
      </c>
      <c r="K8" s="56"/>
    </row>
    <row r="9" spans="1:11" ht="15" customHeight="1" x14ac:dyDescent="0.2">
      <c r="A9" s="1307"/>
      <c r="B9" s="1307" t="s">
        <v>788</v>
      </c>
      <c r="C9" s="1424" t="s">
        <v>789</v>
      </c>
      <c r="D9" s="1302"/>
      <c r="E9" s="1308" t="s">
        <v>778</v>
      </c>
      <c r="F9" s="1312"/>
      <c r="G9" s="1427"/>
      <c r="H9" s="1302"/>
      <c r="I9" s="1311"/>
      <c r="J9" s="1319" t="s">
        <v>790</v>
      </c>
      <c r="K9" s="190"/>
    </row>
    <row r="10" spans="1:11" ht="15" customHeight="1" x14ac:dyDescent="0.2">
      <c r="A10" s="1307"/>
      <c r="B10" s="1307" t="s">
        <v>791</v>
      </c>
      <c r="C10" s="1424" t="s">
        <v>792</v>
      </c>
      <c r="D10" s="1302"/>
      <c r="E10" s="1318"/>
      <c r="F10" s="1320" t="s">
        <v>518</v>
      </c>
      <c r="G10" s="1428"/>
      <c r="H10" s="1302"/>
      <c r="I10" s="1313"/>
      <c r="J10" s="1307"/>
      <c r="K10" s="135"/>
    </row>
    <row r="11" spans="1:11" ht="15" customHeight="1" thickBot="1" x14ac:dyDescent="0.25">
      <c r="A11" s="1307"/>
      <c r="B11" s="1307" t="s">
        <v>793</v>
      </c>
      <c r="C11" s="1424" t="s">
        <v>781</v>
      </c>
      <c r="D11" s="1302"/>
      <c r="E11" s="1311"/>
      <c r="F11" s="1321" t="s">
        <v>519</v>
      </c>
      <c r="G11" s="1425"/>
      <c r="H11" s="1302"/>
      <c r="I11" s="1315"/>
      <c r="J11" s="1322" t="s">
        <v>794</v>
      </c>
      <c r="K11" s="49"/>
    </row>
    <row r="12" spans="1:11" ht="15" customHeight="1" thickBot="1" x14ac:dyDescent="0.25">
      <c r="A12" s="1307"/>
      <c r="B12" s="1307"/>
      <c r="C12" s="1310"/>
      <c r="D12" s="1302"/>
      <c r="E12" s="1315"/>
      <c r="F12" s="1323" t="s">
        <v>520</v>
      </c>
      <c r="G12" s="1429"/>
      <c r="H12" s="1302"/>
      <c r="I12" s="1308"/>
      <c r="J12" s="1307" t="s">
        <v>639</v>
      </c>
      <c r="K12" s="46"/>
    </row>
    <row r="13" spans="1:11" ht="15" customHeight="1" x14ac:dyDescent="0.2">
      <c r="A13" s="1302"/>
      <c r="B13" s="1302"/>
      <c r="C13" s="1302"/>
      <c r="D13" s="1302"/>
      <c r="E13" s="1308" t="s">
        <v>35</v>
      </c>
      <c r="F13" s="1312" t="s">
        <v>589</v>
      </c>
      <c r="G13" s="1427"/>
      <c r="H13" s="1302"/>
      <c r="I13" s="1311"/>
      <c r="J13" s="1307" t="s">
        <v>645</v>
      </c>
      <c r="K13" s="190"/>
    </row>
    <row r="14" spans="1:11" ht="15" customHeight="1" x14ac:dyDescent="0.25">
      <c r="A14" s="654" t="s">
        <v>795</v>
      </c>
      <c r="B14" s="1302"/>
      <c r="C14" s="1302"/>
      <c r="D14" s="1302"/>
      <c r="E14" s="1311"/>
      <c r="F14" s="1321" t="s">
        <v>796</v>
      </c>
      <c r="G14" s="1425"/>
      <c r="H14" s="1302"/>
      <c r="I14" s="1311"/>
      <c r="J14" s="1320" t="s">
        <v>646</v>
      </c>
      <c r="K14" s="190"/>
    </row>
    <row r="15" spans="1:11" ht="15" customHeight="1" thickBot="1" x14ac:dyDescent="0.25">
      <c r="A15" s="1304" t="s">
        <v>772</v>
      </c>
      <c r="B15" s="1304" t="s">
        <v>773</v>
      </c>
      <c r="C15" s="1304" t="s">
        <v>774</v>
      </c>
      <c r="D15" s="1302"/>
      <c r="E15" s="1315"/>
      <c r="F15" s="1324" t="s">
        <v>797</v>
      </c>
      <c r="G15" s="1430"/>
      <c r="H15" s="1302"/>
      <c r="I15" s="1315"/>
      <c r="J15" s="1324"/>
      <c r="K15" s="49"/>
    </row>
    <row r="16" spans="1:11" ht="15" customHeight="1" x14ac:dyDescent="0.2">
      <c r="A16" s="1307" t="s">
        <v>26</v>
      </c>
      <c r="B16" s="1307" t="s">
        <v>27</v>
      </c>
      <c r="C16" s="1424" t="s">
        <v>798</v>
      </c>
      <c r="D16" s="1302"/>
      <c r="E16" s="1308" t="s">
        <v>784</v>
      </c>
      <c r="F16" s="1325" t="s">
        <v>521</v>
      </c>
      <c r="G16" s="1427"/>
      <c r="H16" s="1302"/>
      <c r="I16" s="1302"/>
      <c r="J16" s="1302"/>
    </row>
    <row r="17" spans="1:11" ht="15" customHeight="1" thickBot="1" x14ac:dyDescent="0.3">
      <c r="A17" s="1307"/>
      <c r="B17" s="1307" t="s">
        <v>799</v>
      </c>
      <c r="C17" s="1424" t="s">
        <v>787</v>
      </c>
      <c r="D17" s="1302"/>
      <c r="E17" s="1311"/>
      <c r="F17" s="1321" t="s">
        <v>800</v>
      </c>
      <c r="G17" s="1425"/>
      <c r="H17" s="1302"/>
      <c r="I17" s="654"/>
      <c r="J17" s="1302"/>
    </row>
    <row r="18" spans="1:11" ht="15" customHeight="1" thickBot="1" x14ac:dyDescent="0.3">
      <c r="A18" s="1307"/>
      <c r="B18" s="1307" t="s">
        <v>801</v>
      </c>
      <c r="C18" s="1424" t="s">
        <v>802</v>
      </c>
      <c r="D18" s="1302"/>
      <c r="E18" s="1315"/>
      <c r="F18" s="1324" t="s">
        <v>524</v>
      </c>
      <c r="G18" s="1427"/>
      <c r="H18" s="1302"/>
      <c r="I18" s="654"/>
      <c r="J18" s="1302"/>
    </row>
    <row r="19" spans="1:11" ht="15" customHeight="1" thickBot="1" x14ac:dyDescent="0.25">
      <c r="A19" s="1307"/>
      <c r="B19" s="1307" t="s">
        <v>117</v>
      </c>
      <c r="C19" s="1424" t="s">
        <v>802</v>
      </c>
      <c r="D19" s="1302"/>
      <c r="E19" s="1308" t="s">
        <v>37</v>
      </c>
      <c r="F19" s="1326" t="s">
        <v>803</v>
      </c>
      <c r="G19" s="1431" t="s">
        <v>804</v>
      </c>
      <c r="H19" s="1302"/>
      <c r="I19" s="1305" t="s">
        <v>772</v>
      </c>
      <c r="J19" s="1305" t="s">
        <v>773</v>
      </c>
      <c r="K19" s="768" t="s">
        <v>774</v>
      </c>
    </row>
    <row r="20" spans="1:11" ht="15" customHeight="1" x14ac:dyDescent="0.2">
      <c r="A20" s="1307"/>
      <c r="B20" s="1307"/>
      <c r="C20" s="1424"/>
      <c r="D20" s="1302"/>
      <c r="E20" s="1318"/>
      <c r="F20" s="1307" t="s">
        <v>549</v>
      </c>
      <c r="G20" s="1425" t="s">
        <v>804</v>
      </c>
      <c r="H20" s="1302"/>
      <c r="I20" s="1308" t="s">
        <v>610</v>
      </c>
      <c r="J20" s="1309" t="s">
        <v>26</v>
      </c>
      <c r="K20" s="46"/>
    </row>
    <row r="21" spans="1:11" ht="15" customHeight="1" x14ac:dyDescent="0.2">
      <c r="A21" s="1307"/>
      <c r="B21" s="1307" t="s">
        <v>805</v>
      </c>
      <c r="C21" s="1424" t="s">
        <v>787</v>
      </c>
      <c r="D21" s="1302"/>
      <c r="E21" s="1318"/>
      <c r="F21" s="1325"/>
      <c r="G21" s="1425"/>
      <c r="H21" s="1302"/>
      <c r="I21" s="1311"/>
      <c r="J21" s="1307" t="s">
        <v>37</v>
      </c>
      <c r="K21" s="190"/>
    </row>
    <row r="22" spans="1:11" ht="15" customHeight="1" thickBot="1" x14ac:dyDescent="0.25">
      <c r="A22" s="1307"/>
      <c r="B22" s="1321" t="s">
        <v>434</v>
      </c>
      <c r="C22" s="1424" t="s">
        <v>806</v>
      </c>
      <c r="D22" s="1302"/>
      <c r="E22" s="1318"/>
      <c r="F22" s="1320" t="s">
        <v>553</v>
      </c>
      <c r="G22" s="1425" t="s">
        <v>804</v>
      </c>
      <c r="H22" s="1302"/>
      <c r="I22" s="1313"/>
      <c r="J22" s="1314" t="s">
        <v>611</v>
      </c>
      <c r="K22" s="135"/>
    </row>
    <row r="23" spans="1:11" ht="15" customHeight="1" thickBot="1" x14ac:dyDescent="0.25">
      <c r="A23" s="1307"/>
      <c r="B23" s="1321" t="s">
        <v>436</v>
      </c>
      <c r="C23" s="1424" t="s">
        <v>807</v>
      </c>
      <c r="D23" s="1302"/>
      <c r="E23" s="1327"/>
      <c r="F23" s="1316" t="s">
        <v>808</v>
      </c>
      <c r="G23" s="1429" t="s">
        <v>804</v>
      </c>
      <c r="H23" s="1302"/>
      <c r="I23" s="1308"/>
      <c r="J23" s="1309" t="s">
        <v>614</v>
      </c>
      <c r="K23" s="46"/>
    </row>
    <row r="24" spans="1:11" ht="15" customHeight="1" x14ac:dyDescent="0.2">
      <c r="A24" s="1307"/>
      <c r="B24" s="1321" t="s">
        <v>437</v>
      </c>
      <c r="C24" s="1424" t="s">
        <v>809</v>
      </c>
      <c r="D24" s="1302"/>
      <c r="E24" s="1308" t="s">
        <v>786</v>
      </c>
      <c r="F24" s="1312" t="s">
        <v>810</v>
      </c>
      <c r="G24" s="1427"/>
      <c r="H24" s="1302"/>
      <c r="I24" s="1318"/>
      <c r="J24" s="1314" t="s">
        <v>120</v>
      </c>
      <c r="K24" s="56"/>
    </row>
    <row r="25" spans="1:11" ht="15" customHeight="1" x14ac:dyDescent="0.2">
      <c r="A25" s="1307"/>
      <c r="B25" s="1321" t="s">
        <v>618</v>
      </c>
      <c r="C25" s="1424" t="s">
        <v>811</v>
      </c>
      <c r="D25" s="1302"/>
      <c r="E25" s="1311"/>
      <c r="F25" s="1307" t="s">
        <v>510</v>
      </c>
      <c r="G25" s="1425"/>
      <c r="H25" s="1302"/>
      <c r="I25" s="1311"/>
      <c r="J25" s="1319"/>
      <c r="K25" s="190"/>
    </row>
    <row r="26" spans="1:11" ht="15" customHeight="1" x14ac:dyDescent="0.2">
      <c r="A26" s="1307"/>
      <c r="B26" s="1325" t="s">
        <v>619</v>
      </c>
      <c r="C26" s="1424" t="s">
        <v>812</v>
      </c>
      <c r="D26" s="1302"/>
      <c r="E26" s="1311"/>
      <c r="F26" s="1307" t="s">
        <v>512</v>
      </c>
      <c r="G26" s="1425"/>
      <c r="H26" s="1302"/>
      <c r="I26" s="1313"/>
      <c r="J26" s="1307"/>
      <c r="K26" s="135"/>
    </row>
    <row r="27" spans="1:11" ht="15" customHeight="1" thickBot="1" x14ac:dyDescent="0.25">
      <c r="A27" s="1307"/>
      <c r="B27" s="1325" t="s">
        <v>621</v>
      </c>
      <c r="C27" s="1424" t="s">
        <v>813</v>
      </c>
      <c r="D27" s="1302"/>
      <c r="E27" s="1315"/>
      <c r="F27" s="1323" t="s">
        <v>514</v>
      </c>
      <c r="G27" s="1429"/>
      <c r="H27" s="1302"/>
      <c r="I27" s="1315"/>
      <c r="J27" s="1322"/>
      <c r="K27" s="49"/>
    </row>
    <row r="28" spans="1:11" ht="15" customHeight="1" x14ac:dyDescent="0.2">
      <c r="A28" s="1307"/>
      <c r="B28" s="1321"/>
      <c r="C28" s="1424"/>
      <c r="D28" s="1302"/>
      <c r="E28" s="1308" t="s">
        <v>788</v>
      </c>
      <c r="F28" s="1329" t="s">
        <v>562</v>
      </c>
      <c r="G28" s="1427" t="s">
        <v>814</v>
      </c>
      <c r="H28" s="1302"/>
      <c r="I28" s="1308"/>
      <c r="J28" s="1307"/>
      <c r="K28" s="46"/>
    </row>
    <row r="29" spans="1:11" ht="15" customHeight="1" x14ac:dyDescent="0.25">
      <c r="A29" s="1330"/>
      <c r="B29" s="1321" t="s">
        <v>622</v>
      </c>
      <c r="C29" s="1425" t="s">
        <v>815</v>
      </c>
      <c r="D29" s="1302"/>
      <c r="E29" s="1311"/>
      <c r="F29" s="1321" t="s">
        <v>570</v>
      </c>
      <c r="G29" s="1425" t="s">
        <v>816</v>
      </c>
      <c r="H29" s="1302"/>
      <c r="I29" s="1311"/>
      <c r="J29" s="1307"/>
      <c r="K29" s="190"/>
    </row>
    <row r="30" spans="1:11" ht="15" customHeight="1" x14ac:dyDescent="0.2">
      <c r="A30" s="1331"/>
      <c r="B30" s="1332" t="s">
        <v>623</v>
      </c>
      <c r="C30" s="1426" t="s">
        <v>815</v>
      </c>
      <c r="D30" s="1302"/>
      <c r="E30" s="1333"/>
      <c r="F30" s="1334" t="s">
        <v>573</v>
      </c>
      <c r="G30" s="1425" t="s">
        <v>817</v>
      </c>
      <c r="H30" s="1302"/>
      <c r="I30" s="1311"/>
      <c r="J30" s="1320"/>
      <c r="K30" s="190"/>
    </row>
    <row r="31" spans="1:11" ht="15" customHeight="1" thickBot="1" x14ac:dyDescent="0.3">
      <c r="A31" s="654" t="s">
        <v>818</v>
      </c>
      <c r="B31" s="1302"/>
      <c r="C31" s="1302"/>
      <c r="D31" s="1302"/>
      <c r="E31" s="1581">
        <f>-G31-11</f>
        <v>-40899</v>
      </c>
      <c r="F31" s="1316" t="s">
        <v>572</v>
      </c>
      <c r="G31" s="1432" t="s">
        <v>819</v>
      </c>
      <c r="H31" s="1302"/>
      <c r="I31" s="1315"/>
      <c r="J31" s="1324"/>
      <c r="K31" s="49"/>
    </row>
    <row r="32" spans="1:11" ht="15" customHeight="1" x14ac:dyDescent="0.2">
      <c r="A32" s="1304" t="s">
        <v>772</v>
      </c>
      <c r="B32" s="1304" t="s">
        <v>773</v>
      </c>
      <c r="C32" s="1304" t="s">
        <v>774</v>
      </c>
      <c r="D32" s="1302"/>
      <c r="E32" s="1308" t="s">
        <v>791</v>
      </c>
      <c r="F32" s="1335" t="s">
        <v>593</v>
      </c>
      <c r="G32" s="1427" t="s">
        <v>820</v>
      </c>
      <c r="H32" s="1302"/>
      <c r="I32" s="1328"/>
      <c r="J32" s="1302"/>
    </row>
    <row r="33" spans="1:10" ht="15" customHeight="1" x14ac:dyDescent="0.2">
      <c r="A33" s="1307" t="s">
        <v>26</v>
      </c>
      <c r="B33" s="1307" t="s">
        <v>119</v>
      </c>
      <c r="C33" s="1424" t="s">
        <v>821</v>
      </c>
      <c r="D33" s="1302"/>
      <c r="E33" s="1311"/>
      <c r="F33" s="1325" t="s">
        <v>590</v>
      </c>
      <c r="G33" s="1425" t="s">
        <v>822</v>
      </c>
      <c r="H33" s="1302"/>
      <c r="I33" s="1328"/>
      <c r="J33" s="1302"/>
    </row>
    <row r="34" spans="1:10" ht="15" customHeight="1" thickBot="1" x14ac:dyDescent="0.25">
      <c r="A34" s="1307"/>
      <c r="B34" s="1307" t="s">
        <v>823</v>
      </c>
      <c r="C34" s="1424" t="s">
        <v>811</v>
      </c>
      <c r="D34" s="1302"/>
      <c r="E34" s="1315"/>
      <c r="F34" s="1307" t="s">
        <v>594</v>
      </c>
      <c r="G34" s="1429" t="s">
        <v>824</v>
      </c>
      <c r="H34" s="1302"/>
      <c r="I34" s="1328"/>
      <c r="J34" s="1302"/>
    </row>
    <row r="35" spans="1:10" ht="15" customHeight="1" x14ac:dyDescent="0.2">
      <c r="A35" s="1307"/>
      <c r="B35" s="1307" t="s">
        <v>825</v>
      </c>
      <c r="C35" s="1424" t="s">
        <v>811</v>
      </c>
      <c r="D35" s="1302"/>
      <c r="E35" s="1308" t="s">
        <v>793</v>
      </c>
      <c r="F35" s="1325" t="s">
        <v>588</v>
      </c>
      <c r="G35" s="1427"/>
      <c r="H35" s="1302"/>
      <c r="I35" s="1328"/>
      <c r="J35" s="1302"/>
    </row>
    <row r="36" spans="1:10" ht="15" customHeight="1" x14ac:dyDescent="0.2">
      <c r="A36" s="1307"/>
      <c r="B36" s="1307" t="s">
        <v>826</v>
      </c>
      <c r="C36" s="1424" t="s">
        <v>827</v>
      </c>
      <c r="D36" s="1302"/>
      <c r="E36" s="1311"/>
      <c r="F36" s="1307" t="s">
        <v>592</v>
      </c>
      <c r="G36" s="1425"/>
      <c r="H36" s="1302"/>
      <c r="I36" s="1328"/>
      <c r="J36" s="1302"/>
    </row>
    <row r="37" spans="1:10" ht="15" customHeight="1" thickBot="1" x14ac:dyDescent="0.3">
      <c r="A37" s="654"/>
      <c r="B37" s="1302"/>
      <c r="C37" s="1302"/>
      <c r="D37" s="1302"/>
      <c r="E37" s="1315"/>
      <c r="F37" s="1307" t="s">
        <v>595</v>
      </c>
      <c r="G37" s="1429"/>
      <c r="H37" s="1302"/>
      <c r="I37" s="1328"/>
      <c r="J37" s="1302"/>
    </row>
    <row r="38" spans="1:10" ht="15" customHeight="1" x14ac:dyDescent="0.2">
      <c r="A38" s="72"/>
      <c r="B38" s="72"/>
      <c r="C38" s="72"/>
      <c r="I38" s="1751"/>
    </row>
    <row r="39" spans="1:10" ht="15" customHeight="1" x14ac:dyDescent="0.2"/>
    <row r="40" spans="1:10" ht="15" customHeight="1" x14ac:dyDescent="0.2"/>
    <row r="41" spans="1:10" ht="15" customHeight="1" x14ac:dyDescent="0.2"/>
    <row r="42" spans="1:10" ht="15" customHeight="1" x14ac:dyDescent="0.2"/>
    <row r="43" spans="1:10" ht="15" customHeight="1" x14ac:dyDescent="0.2"/>
    <row r="44" spans="1:10" ht="15" customHeight="1" x14ac:dyDescent="0.2"/>
    <row r="45" spans="1:10" ht="15" customHeight="1" x14ac:dyDescent="0.2"/>
    <row r="46" spans="1:10" ht="15" customHeight="1" x14ac:dyDescent="0.2"/>
    <row r="47" spans="1:10" ht="15" customHeight="1" x14ac:dyDescent="0.2"/>
  </sheetData>
  <sheetProtection selectLockedCells="1" selectUnlockedCells="1"/>
  <phoneticPr fontId="7" type="noConversion"/>
  <pageMargins left="0.19652777777777777" right="0" top="0" bottom="0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6"/>
  <dimension ref="A1:D39"/>
  <sheetViews>
    <sheetView topLeftCell="A4" zoomScale="67" zoomScaleNormal="67" workbookViewId="0">
      <selection activeCell="H49" sqref="H49"/>
    </sheetView>
  </sheetViews>
  <sheetFormatPr defaultRowHeight="12.75" x14ac:dyDescent="0.2"/>
  <cols>
    <col min="1" max="1" width="92.140625" customWidth="1"/>
    <col min="2" max="3" width="14.5703125" customWidth="1"/>
    <col min="4" max="4" width="14.28515625" customWidth="1"/>
  </cols>
  <sheetData>
    <row r="1" spans="1:4" ht="23.25" x14ac:dyDescent="0.35">
      <c r="A1" s="740" t="s">
        <v>828</v>
      </c>
    </row>
    <row r="3" spans="1:4" ht="48" customHeight="1" x14ac:dyDescent="0.25">
      <c r="A3" s="741" t="s">
        <v>28</v>
      </c>
      <c r="B3" s="742" t="s">
        <v>829</v>
      </c>
      <c r="C3" s="743" t="s">
        <v>830</v>
      </c>
      <c r="D3" s="653"/>
    </row>
    <row r="4" spans="1:4" ht="45" customHeight="1" x14ac:dyDescent="0.25">
      <c r="A4" s="744" t="s">
        <v>831</v>
      </c>
      <c r="B4" s="745">
        <v>350</v>
      </c>
      <c r="C4" s="746">
        <v>350</v>
      </c>
      <c r="D4" s="747"/>
    </row>
    <row r="5" spans="1:4" ht="45" customHeight="1" x14ac:dyDescent="0.25">
      <c r="A5" s="748" t="s">
        <v>832</v>
      </c>
      <c r="B5" s="749">
        <v>450</v>
      </c>
      <c r="C5" s="749">
        <v>450</v>
      </c>
      <c r="D5" s="750"/>
    </row>
    <row r="6" spans="1:4" ht="45" customHeight="1" x14ac:dyDescent="0.25">
      <c r="A6" s="748" t="s">
        <v>833</v>
      </c>
      <c r="B6" s="749">
        <v>600</v>
      </c>
      <c r="C6" s="746">
        <v>600</v>
      </c>
      <c r="D6" s="750"/>
    </row>
    <row r="7" spans="1:4" ht="48.75" customHeight="1" x14ac:dyDescent="0.25">
      <c r="A7" s="748" t="s">
        <v>834</v>
      </c>
      <c r="B7" s="749">
        <v>375</v>
      </c>
      <c r="C7" s="751" t="s">
        <v>835</v>
      </c>
    </row>
    <row r="8" spans="1:4" ht="58.5" customHeight="1" x14ac:dyDescent="0.25">
      <c r="A8" s="748" t="s">
        <v>836</v>
      </c>
      <c r="B8" s="749">
        <v>450</v>
      </c>
      <c r="C8" s="752">
        <v>350</v>
      </c>
    </row>
    <row r="9" spans="1:4" ht="45" customHeight="1" x14ac:dyDescent="0.25">
      <c r="A9" s="753" t="s">
        <v>837</v>
      </c>
      <c r="B9" s="754">
        <v>315</v>
      </c>
      <c r="C9" s="755" t="s">
        <v>838</v>
      </c>
    </row>
    <row r="10" spans="1:4" ht="45" customHeight="1" x14ac:dyDescent="0.25">
      <c r="A10" s="756" t="s">
        <v>839</v>
      </c>
      <c r="B10" s="754">
        <v>450</v>
      </c>
      <c r="C10" s="757" t="s">
        <v>840</v>
      </c>
    </row>
    <row r="11" spans="1:4" ht="45" customHeight="1" x14ac:dyDescent="0.25">
      <c r="A11" s="756" t="s">
        <v>841</v>
      </c>
      <c r="B11" s="754">
        <v>100</v>
      </c>
    </row>
    <row r="12" spans="1:4" ht="45" customHeight="1" x14ac:dyDescent="0.25">
      <c r="A12" s="756" t="s">
        <v>842</v>
      </c>
      <c r="B12" s="754">
        <v>230</v>
      </c>
    </row>
    <row r="13" spans="1:4" ht="45" customHeight="1" x14ac:dyDescent="0.25">
      <c r="A13" s="758" t="s">
        <v>843</v>
      </c>
      <c r="B13" s="759">
        <v>220</v>
      </c>
    </row>
    <row r="14" spans="1:4" ht="45" customHeight="1" x14ac:dyDescent="0.25">
      <c r="A14" s="760" t="s">
        <v>844</v>
      </c>
      <c r="B14" s="761">
        <v>250</v>
      </c>
    </row>
    <row r="15" spans="1:4" ht="45" customHeight="1" x14ac:dyDescent="0.25">
      <c r="A15" s="760" t="s">
        <v>845</v>
      </c>
      <c r="B15" s="761">
        <v>350</v>
      </c>
    </row>
    <row r="16" spans="1:4" ht="45" customHeight="1" x14ac:dyDescent="0.25">
      <c r="A16" s="760" t="s">
        <v>846</v>
      </c>
      <c r="B16" s="761">
        <v>0.4</v>
      </c>
    </row>
    <row r="17" spans="1:3" ht="45" customHeight="1" x14ac:dyDescent="0.25">
      <c r="A17" s="760" t="s">
        <v>847</v>
      </c>
      <c r="B17" s="761">
        <v>250</v>
      </c>
    </row>
    <row r="18" spans="1:3" ht="45" customHeight="1" x14ac:dyDescent="0.25">
      <c r="A18" s="760" t="s">
        <v>848</v>
      </c>
      <c r="B18" s="761">
        <v>350</v>
      </c>
    </row>
    <row r="19" spans="1:3" ht="45" customHeight="1" x14ac:dyDescent="0.25">
      <c r="A19" s="762" t="s">
        <v>849</v>
      </c>
      <c r="B19" s="763">
        <v>225</v>
      </c>
    </row>
    <row r="20" spans="1:3" ht="45" customHeight="1" x14ac:dyDescent="0.25">
      <c r="A20" s="762" t="s">
        <v>850</v>
      </c>
      <c r="B20" s="763">
        <v>100</v>
      </c>
    </row>
    <row r="21" spans="1:3" ht="45" customHeight="1" x14ac:dyDescent="0.25">
      <c r="A21" s="762"/>
      <c r="B21" s="764"/>
    </row>
    <row r="32" spans="1:3" x14ac:dyDescent="0.2">
      <c r="A32" t="s">
        <v>851</v>
      </c>
      <c r="B32">
        <v>26.5</v>
      </c>
      <c r="C32" t="s">
        <v>852</v>
      </c>
    </row>
    <row r="33" spans="1:3" x14ac:dyDescent="0.2">
      <c r="A33" t="s">
        <v>853</v>
      </c>
      <c r="B33">
        <v>332</v>
      </c>
    </row>
    <row r="35" spans="1:3" x14ac:dyDescent="0.2">
      <c r="A35" t="s">
        <v>851</v>
      </c>
      <c r="B35">
        <v>26.5</v>
      </c>
      <c r="C35" t="s">
        <v>852</v>
      </c>
    </row>
    <row r="36" spans="1:3" x14ac:dyDescent="0.2">
      <c r="A36" t="s">
        <v>854</v>
      </c>
      <c r="B36">
        <v>249</v>
      </c>
    </row>
    <row r="38" spans="1:3" x14ac:dyDescent="0.2">
      <c r="A38" t="s">
        <v>851</v>
      </c>
      <c r="B38">
        <v>26.5</v>
      </c>
      <c r="C38" t="s">
        <v>852</v>
      </c>
    </row>
    <row r="39" spans="1:3" x14ac:dyDescent="0.2">
      <c r="A39" t="s">
        <v>855</v>
      </c>
      <c r="B39">
        <v>166</v>
      </c>
    </row>
  </sheetData>
  <sheetProtection selectLockedCells="1" selectUnlockedCells="1"/>
  <phoneticPr fontId="7" type="noConversion"/>
  <pageMargins left="0" right="0" top="0.39374999999999999" bottom="0.19652777777777777" header="0.51180555555555551" footer="0.51180555555555551"/>
  <pageSetup paperSize="9" scale="85" firstPageNumber="0" orientation="portrait" horizontalDpi="300" verticalDpi="30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8"/>
  <dimension ref="A2:Q51"/>
  <sheetViews>
    <sheetView topLeftCell="A28" zoomScale="67" zoomScaleNormal="67" workbookViewId="0">
      <selection activeCell="K48" sqref="K48"/>
    </sheetView>
  </sheetViews>
  <sheetFormatPr defaultRowHeight="12.75" x14ac:dyDescent="0.2"/>
  <cols>
    <col min="3" max="3" width="17.28515625" customWidth="1"/>
    <col min="4" max="4" width="9.7109375" customWidth="1"/>
    <col min="6" max="6" width="13.5703125" customWidth="1"/>
    <col min="7" max="7" width="19.42578125" customWidth="1"/>
    <col min="8" max="8" width="10.5703125" customWidth="1"/>
    <col min="9" max="9" width="9.85546875" customWidth="1"/>
    <col min="10" max="10" width="11.85546875" customWidth="1"/>
    <col min="11" max="11" width="19" customWidth="1"/>
    <col min="12" max="12" width="9.7109375" customWidth="1"/>
    <col min="13" max="13" width="9" customWidth="1"/>
    <col min="14" max="14" width="11.42578125" customWidth="1"/>
    <col min="15" max="15" width="10.42578125" customWidth="1"/>
  </cols>
  <sheetData>
    <row r="2" spans="1:17" ht="23.25" x14ac:dyDescent="0.35">
      <c r="G2" s="2" t="s">
        <v>856</v>
      </c>
    </row>
    <row r="4" spans="1:17" ht="27.95" customHeight="1" x14ac:dyDescent="0.2">
      <c r="A4" s="339"/>
      <c r="B4" s="527"/>
      <c r="C4" s="770"/>
      <c r="D4" s="771"/>
      <c r="E4" s="771"/>
      <c r="F4" s="771"/>
      <c r="G4" s="770"/>
      <c r="H4" s="771"/>
      <c r="I4" s="771"/>
      <c r="J4" s="771"/>
      <c r="K4" s="770"/>
      <c r="L4" s="772"/>
      <c r="M4" s="772"/>
      <c r="N4" s="771"/>
      <c r="O4" s="771"/>
      <c r="P4" s="771"/>
    </row>
    <row r="5" spans="1:17" ht="27.95" customHeight="1" x14ac:dyDescent="0.2">
      <c r="A5" s="773"/>
      <c r="G5" s="771"/>
      <c r="K5" s="771"/>
      <c r="L5" s="774"/>
      <c r="M5" s="774"/>
      <c r="P5" s="771"/>
    </row>
    <row r="6" spans="1:17" ht="27.95" customHeight="1" x14ac:dyDescent="0.2">
      <c r="A6" s="773"/>
      <c r="G6" s="771"/>
      <c r="K6" s="771"/>
      <c r="L6" s="774"/>
      <c r="M6" s="774"/>
      <c r="P6" s="771"/>
    </row>
    <row r="7" spans="1:17" ht="17.100000000000001" customHeight="1" x14ac:dyDescent="0.2">
      <c r="A7" s="773"/>
      <c r="C7" s="771"/>
      <c r="D7" s="771"/>
      <c r="E7" s="771"/>
      <c r="F7" s="771"/>
      <c r="G7" s="771"/>
      <c r="H7" s="771"/>
      <c r="I7" s="771"/>
      <c r="J7" s="771"/>
      <c r="K7" s="771"/>
      <c r="L7" s="772"/>
      <c r="M7" s="772"/>
      <c r="N7" s="771"/>
      <c r="O7" s="771"/>
      <c r="P7" s="771"/>
    </row>
    <row r="8" spans="1:17" ht="24" customHeight="1" x14ac:dyDescent="0.2">
      <c r="A8" s="773"/>
      <c r="C8" s="771"/>
      <c r="D8" s="775"/>
      <c r="E8" s="775"/>
      <c r="F8" s="771"/>
      <c r="G8" s="771"/>
      <c r="H8" s="775"/>
      <c r="I8" s="775"/>
      <c r="J8" s="771"/>
      <c r="K8" s="771"/>
      <c r="L8" s="776"/>
      <c r="M8" s="775"/>
      <c r="N8" s="771"/>
      <c r="O8" s="771"/>
      <c r="P8" s="775"/>
    </row>
    <row r="9" spans="1:17" ht="17.100000000000001" customHeight="1" x14ac:dyDescent="0.2">
      <c r="A9" s="773"/>
      <c r="C9" s="771"/>
      <c r="D9" s="775"/>
      <c r="E9" s="775"/>
      <c r="F9" s="771"/>
      <c r="G9" s="771"/>
      <c r="H9" s="775"/>
      <c r="I9" s="775"/>
      <c r="J9" s="771"/>
      <c r="K9" s="771"/>
      <c r="L9" s="776"/>
      <c r="M9" s="776"/>
      <c r="N9" s="771"/>
      <c r="O9" s="771"/>
      <c r="P9" s="775"/>
      <c r="Q9" s="775"/>
    </row>
    <row r="10" spans="1:17" ht="17.100000000000001" customHeight="1" x14ac:dyDescent="0.2">
      <c r="A10" s="331" t="s">
        <v>857</v>
      </c>
      <c r="B10" s="7">
        <v>2007</v>
      </c>
      <c r="C10" s="72"/>
      <c r="D10" s="777"/>
      <c r="E10" s="72"/>
      <c r="F10" s="778"/>
      <c r="G10" s="72"/>
      <c r="H10" s="779"/>
      <c r="I10" s="72"/>
      <c r="J10" s="72"/>
      <c r="K10" s="72"/>
      <c r="L10" s="777"/>
      <c r="M10" s="780"/>
      <c r="N10" s="72"/>
      <c r="O10" s="72"/>
    </row>
    <row r="11" spans="1:17" ht="17.100000000000001" customHeight="1" x14ac:dyDescent="0.2">
      <c r="A11" s="328" t="s">
        <v>858</v>
      </c>
      <c r="B11" s="154">
        <v>2007</v>
      </c>
      <c r="C11" s="72"/>
      <c r="D11" s="777"/>
      <c r="E11" s="72"/>
      <c r="F11" s="778"/>
      <c r="G11" s="72"/>
      <c r="H11" s="779"/>
      <c r="I11" s="72"/>
      <c r="J11" s="72"/>
      <c r="K11" s="72"/>
      <c r="L11" s="777"/>
      <c r="M11" s="780"/>
      <c r="N11" s="72"/>
      <c r="O11" s="72"/>
    </row>
    <row r="12" spans="1:17" ht="17.100000000000001" customHeight="1" x14ac:dyDescent="0.2">
      <c r="A12" s="328" t="s">
        <v>859</v>
      </c>
      <c r="B12" s="154">
        <v>2007</v>
      </c>
      <c r="C12" s="72"/>
      <c r="D12" s="777"/>
      <c r="E12" s="72"/>
      <c r="F12" s="778"/>
      <c r="G12" s="72"/>
      <c r="H12" s="779"/>
      <c r="I12" s="72"/>
      <c r="J12" s="72"/>
      <c r="K12" s="72"/>
      <c r="L12" s="777"/>
      <c r="M12" s="780"/>
      <c r="N12" s="72"/>
      <c r="O12" s="72"/>
    </row>
    <row r="13" spans="1:17" ht="17.100000000000001" customHeight="1" x14ac:dyDescent="0.2">
      <c r="A13" s="328" t="s">
        <v>860</v>
      </c>
      <c r="B13" s="154">
        <v>2007</v>
      </c>
      <c r="C13" s="72"/>
      <c r="D13" s="777"/>
      <c r="E13" s="72"/>
      <c r="F13" s="778"/>
      <c r="G13" s="72"/>
      <c r="H13" s="779"/>
      <c r="I13" s="72"/>
      <c r="J13" s="72"/>
      <c r="K13" s="72"/>
      <c r="L13" s="777"/>
      <c r="M13" s="780"/>
      <c r="N13" s="72"/>
      <c r="O13" s="72"/>
    </row>
    <row r="14" spans="1:17" ht="17.100000000000001" customHeight="1" x14ac:dyDescent="0.2">
      <c r="A14" s="328" t="s">
        <v>861</v>
      </c>
      <c r="B14" s="154">
        <v>2007</v>
      </c>
      <c r="C14" s="72"/>
      <c r="D14" s="777"/>
      <c r="E14" s="72"/>
      <c r="F14" s="778"/>
      <c r="G14" s="72"/>
      <c r="H14" s="779"/>
      <c r="I14" s="72"/>
      <c r="J14" s="72"/>
      <c r="K14" s="72"/>
      <c r="L14" s="777"/>
      <c r="M14" s="780"/>
      <c r="N14" s="72"/>
      <c r="O14" s="72"/>
    </row>
    <row r="15" spans="1:17" ht="17.100000000000001" customHeight="1" x14ac:dyDescent="0.2">
      <c r="A15" s="328" t="s">
        <v>862</v>
      </c>
      <c r="B15" s="154">
        <v>2007</v>
      </c>
      <c r="C15" s="72"/>
      <c r="D15" s="777"/>
      <c r="E15" s="72"/>
      <c r="F15" s="778"/>
      <c r="G15" s="72"/>
      <c r="H15" s="779"/>
      <c r="I15" s="72"/>
      <c r="J15" s="72"/>
      <c r="K15" s="72"/>
      <c r="L15" s="777"/>
      <c r="M15" s="780"/>
      <c r="N15" s="72"/>
      <c r="O15" s="72"/>
    </row>
    <row r="16" spans="1:17" ht="17.100000000000001" customHeight="1" x14ac:dyDescent="0.2">
      <c r="A16" s="328" t="s">
        <v>863</v>
      </c>
      <c r="B16" s="154">
        <v>2008</v>
      </c>
      <c r="C16" s="72"/>
      <c r="D16" s="777"/>
      <c r="E16" s="72"/>
      <c r="F16" s="778"/>
      <c r="G16" s="72"/>
      <c r="H16" s="779"/>
      <c r="I16" s="72"/>
      <c r="J16" s="72"/>
      <c r="K16" s="72"/>
      <c r="L16" s="777"/>
      <c r="M16" s="780"/>
      <c r="N16" s="72"/>
      <c r="O16" s="72"/>
    </row>
    <row r="17" spans="1:17" ht="17.100000000000001" customHeight="1" x14ac:dyDescent="0.2">
      <c r="A17" s="328" t="s">
        <v>864</v>
      </c>
      <c r="B17" s="154">
        <v>2008</v>
      </c>
      <c r="C17" s="72"/>
      <c r="D17" s="777"/>
      <c r="E17" s="72"/>
      <c r="F17" s="778"/>
      <c r="G17" s="72"/>
      <c r="H17" s="779"/>
      <c r="I17" s="72"/>
      <c r="J17" s="72"/>
      <c r="K17" s="72"/>
      <c r="L17" s="777"/>
      <c r="M17" s="780"/>
      <c r="N17" s="72"/>
      <c r="O17" s="72"/>
    </row>
    <row r="18" spans="1:17" ht="17.100000000000001" customHeight="1" x14ac:dyDescent="0.2">
      <c r="A18" s="328" t="s">
        <v>865</v>
      </c>
      <c r="B18" s="154">
        <v>2008</v>
      </c>
      <c r="C18" s="72"/>
      <c r="D18" s="777"/>
      <c r="E18" s="72"/>
      <c r="F18" s="778"/>
      <c r="G18" s="72"/>
      <c r="H18" s="779"/>
      <c r="I18" s="72"/>
      <c r="J18" s="72"/>
      <c r="K18" s="72"/>
      <c r="L18" s="777"/>
      <c r="M18" s="780"/>
      <c r="N18" s="72"/>
      <c r="O18" s="72"/>
    </row>
    <row r="19" spans="1:17" ht="17.100000000000001" customHeight="1" x14ac:dyDescent="0.2">
      <c r="A19" s="328" t="s">
        <v>866</v>
      </c>
      <c r="B19" s="154">
        <v>2008</v>
      </c>
      <c r="C19" s="72"/>
      <c r="D19" s="777"/>
      <c r="E19" s="72"/>
      <c r="F19" s="778"/>
      <c r="G19" s="72"/>
      <c r="H19" s="779"/>
      <c r="I19" s="72"/>
      <c r="J19" s="72"/>
      <c r="K19" s="72"/>
      <c r="L19" s="777"/>
      <c r="M19" s="780"/>
      <c r="N19" s="72"/>
      <c r="O19" s="72"/>
    </row>
    <row r="20" spans="1:17" ht="17.100000000000001" customHeight="1" x14ac:dyDescent="0.2">
      <c r="A20" s="328" t="s">
        <v>867</v>
      </c>
      <c r="B20" s="154">
        <v>2008</v>
      </c>
      <c r="C20" s="72"/>
      <c r="D20" s="777"/>
      <c r="E20" s="72"/>
      <c r="F20" s="778"/>
      <c r="G20" s="72"/>
      <c r="H20" s="777"/>
      <c r="I20" s="72"/>
      <c r="J20" s="781"/>
      <c r="K20" s="72"/>
      <c r="L20" s="777"/>
      <c r="M20" s="780"/>
      <c r="N20" s="781"/>
      <c r="O20" s="781"/>
    </row>
    <row r="21" spans="1:17" ht="17.100000000000001" customHeight="1" x14ac:dyDescent="0.2">
      <c r="A21" s="328" t="s">
        <v>868</v>
      </c>
      <c r="B21" s="154">
        <v>2008</v>
      </c>
      <c r="C21" s="72"/>
      <c r="D21" s="777"/>
      <c r="E21" s="72"/>
      <c r="F21" s="778"/>
      <c r="G21" s="72"/>
      <c r="H21" s="777"/>
      <c r="I21" s="72"/>
      <c r="J21" s="782"/>
      <c r="K21" s="72"/>
      <c r="L21" s="777"/>
      <c r="M21" s="780"/>
      <c r="N21" s="781"/>
      <c r="O21" s="781"/>
    </row>
    <row r="22" spans="1:17" ht="17.100000000000001" customHeight="1" x14ac:dyDescent="0.2">
      <c r="A22" s="328" t="s">
        <v>857</v>
      </c>
      <c r="B22" s="154">
        <v>2008</v>
      </c>
      <c r="C22" s="72"/>
      <c r="D22" s="777"/>
      <c r="E22" s="72"/>
      <c r="F22" s="778"/>
      <c r="G22" s="72"/>
      <c r="H22" s="777"/>
      <c r="I22" s="72"/>
      <c r="J22" s="782"/>
      <c r="K22" s="72"/>
      <c r="L22" s="777"/>
      <c r="M22" s="780"/>
      <c r="N22" s="781"/>
      <c r="O22" s="781"/>
    </row>
    <row r="23" spans="1:17" ht="17.100000000000001" customHeight="1" x14ac:dyDescent="0.2">
      <c r="A23" s="328" t="s">
        <v>858</v>
      </c>
      <c r="B23" s="154">
        <v>2008</v>
      </c>
      <c r="C23" s="72"/>
      <c r="D23" s="777"/>
      <c r="E23" s="72"/>
      <c r="F23" s="778"/>
      <c r="G23" s="72"/>
      <c r="H23" s="777"/>
      <c r="I23" s="72"/>
      <c r="J23" s="782"/>
      <c r="K23" s="72"/>
      <c r="L23" s="777"/>
      <c r="M23" s="780"/>
      <c r="N23" s="781"/>
      <c r="O23" s="781"/>
    </row>
    <row r="24" spans="1:17" ht="17.100000000000001" customHeight="1" x14ac:dyDescent="0.2">
      <c r="A24" s="328" t="s">
        <v>859</v>
      </c>
      <c r="B24" s="154">
        <v>2008</v>
      </c>
      <c r="C24" s="72"/>
      <c r="D24" s="777"/>
      <c r="E24" s="72"/>
      <c r="F24" s="778"/>
      <c r="G24" s="72"/>
      <c r="H24" s="777"/>
      <c r="I24" s="72"/>
      <c r="J24" s="782"/>
      <c r="K24" s="72"/>
      <c r="L24" s="777"/>
      <c r="M24" s="780"/>
      <c r="N24" s="781"/>
      <c r="O24" s="781"/>
    </row>
    <row r="25" spans="1:17" ht="17.100000000000001" customHeight="1" x14ac:dyDescent="0.2">
      <c r="A25" s="328" t="s">
        <v>860</v>
      </c>
      <c r="B25" s="154">
        <v>2008</v>
      </c>
      <c r="C25" s="72"/>
      <c r="D25" s="777"/>
      <c r="E25" s="72"/>
      <c r="F25" s="778"/>
      <c r="G25" s="72"/>
      <c r="H25" s="777"/>
      <c r="I25" s="72"/>
      <c r="J25" s="782"/>
      <c r="K25" s="72"/>
      <c r="L25" s="777"/>
      <c r="M25" s="780"/>
      <c r="N25" s="781"/>
      <c r="O25" s="781"/>
    </row>
    <row r="26" spans="1:17" ht="17.100000000000001" customHeight="1" x14ac:dyDescent="0.2">
      <c r="A26" s="328" t="s">
        <v>861</v>
      </c>
      <c r="B26" s="154">
        <v>2008</v>
      </c>
      <c r="C26" s="72"/>
      <c r="D26" s="777"/>
      <c r="E26" s="72"/>
      <c r="F26" s="778"/>
      <c r="G26" s="72"/>
      <c r="H26" s="777"/>
      <c r="I26" s="72"/>
      <c r="J26" s="782"/>
      <c r="K26" s="72"/>
      <c r="L26" s="777"/>
      <c r="M26" s="780"/>
      <c r="N26" s="781"/>
      <c r="O26" s="781"/>
    </row>
    <row r="27" spans="1:17" ht="17.100000000000001" customHeight="1" x14ac:dyDescent="0.2">
      <c r="A27" s="330" t="s">
        <v>862</v>
      </c>
      <c r="B27" s="581">
        <v>2008</v>
      </c>
      <c r="C27" s="72"/>
      <c r="D27" s="777"/>
      <c r="E27" s="72"/>
      <c r="F27" s="778"/>
      <c r="G27" s="72"/>
      <c r="H27" s="777"/>
      <c r="I27" s="72"/>
      <c r="J27" s="782"/>
      <c r="K27" s="72"/>
      <c r="L27" s="777"/>
      <c r="M27" s="780"/>
      <c r="N27" s="781"/>
      <c r="O27" s="781"/>
    </row>
    <row r="28" spans="1:17" x14ac:dyDescent="0.2">
      <c r="A28" s="783" t="s">
        <v>329</v>
      </c>
      <c r="D28" s="774"/>
      <c r="F28" s="778"/>
      <c r="H28" s="774"/>
      <c r="L28" s="774"/>
      <c r="M28" s="784"/>
      <c r="N28" s="785"/>
      <c r="O28" s="785"/>
      <c r="P28" s="786"/>
      <c r="Q28" s="1"/>
    </row>
    <row r="30" spans="1:17" x14ac:dyDescent="0.2">
      <c r="A30" t="s">
        <v>144</v>
      </c>
    </row>
    <row r="32" spans="1:17" ht="38.25" x14ac:dyDescent="0.2">
      <c r="A32" s="339"/>
      <c r="B32" s="527"/>
      <c r="C32" s="787" t="s">
        <v>869</v>
      </c>
      <c r="D32" s="788"/>
      <c r="E32" s="789"/>
      <c r="F32" s="790"/>
      <c r="G32" s="787" t="s">
        <v>870</v>
      </c>
      <c r="H32" s="788"/>
      <c r="I32" s="789"/>
      <c r="J32" s="790"/>
      <c r="K32" s="787" t="s">
        <v>871</v>
      </c>
      <c r="L32" s="791"/>
      <c r="M32" s="792"/>
      <c r="N32" s="790"/>
      <c r="O32" s="789"/>
      <c r="P32" s="789"/>
      <c r="Q32" s="211"/>
    </row>
    <row r="33" spans="1:17" x14ac:dyDescent="0.2">
      <c r="A33" s="773"/>
      <c r="C33" s="783"/>
      <c r="D33" s="793"/>
      <c r="E33" s="216"/>
      <c r="F33" s="794"/>
      <c r="G33" s="795" t="s">
        <v>872</v>
      </c>
      <c r="H33" s="793"/>
      <c r="I33" s="216"/>
      <c r="J33" s="794"/>
      <c r="K33" s="795" t="s">
        <v>872</v>
      </c>
      <c r="L33" s="796"/>
      <c r="M33" s="797"/>
      <c r="N33" s="794"/>
      <c r="O33" s="216"/>
      <c r="P33" s="798"/>
      <c r="Q33" s="794"/>
    </row>
    <row r="34" spans="1:17" x14ac:dyDescent="0.2">
      <c r="A34" s="773"/>
      <c r="C34" s="783"/>
      <c r="D34" s="793"/>
      <c r="E34" s="216"/>
      <c r="F34" s="794"/>
      <c r="G34" s="795" t="s">
        <v>873</v>
      </c>
      <c r="H34" s="793"/>
      <c r="I34" s="216"/>
      <c r="J34" s="794"/>
      <c r="K34" s="795" t="s">
        <v>873</v>
      </c>
      <c r="L34" s="796"/>
      <c r="M34" s="797"/>
      <c r="N34" s="794"/>
      <c r="O34" s="216"/>
      <c r="P34" s="798"/>
      <c r="Q34" s="794"/>
    </row>
    <row r="35" spans="1:17" x14ac:dyDescent="0.2">
      <c r="A35" s="773"/>
      <c r="C35" s="795" t="s">
        <v>874</v>
      </c>
      <c r="D35" s="799"/>
      <c r="E35" s="798"/>
      <c r="F35" s="800"/>
      <c r="G35" s="801" t="s">
        <v>875</v>
      </c>
      <c r="H35" s="799"/>
      <c r="I35" s="798"/>
      <c r="J35" s="800"/>
      <c r="K35" s="801" t="s">
        <v>875</v>
      </c>
      <c r="L35" s="802"/>
      <c r="M35" s="803"/>
      <c r="N35" s="800"/>
      <c r="O35" s="798"/>
      <c r="P35" s="798"/>
      <c r="Q35" s="794"/>
    </row>
    <row r="36" spans="1:17" ht="38.25" x14ac:dyDescent="0.2">
      <c r="A36" s="773"/>
      <c r="C36" s="795"/>
      <c r="D36" s="804" t="s">
        <v>876</v>
      </c>
      <c r="E36" s="805" t="s">
        <v>877</v>
      </c>
      <c r="F36" s="800" t="s">
        <v>878</v>
      </c>
      <c r="G36" s="795" t="s">
        <v>879</v>
      </c>
      <c r="H36" s="804" t="s">
        <v>876</v>
      </c>
      <c r="I36" s="805" t="s">
        <v>877</v>
      </c>
      <c r="J36" s="800" t="s">
        <v>878</v>
      </c>
      <c r="K36" s="795" t="s">
        <v>879</v>
      </c>
      <c r="L36" s="806" t="s">
        <v>876</v>
      </c>
      <c r="M36" s="805" t="s">
        <v>877</v>
      </c>
      <c r="N36" s="800" t="s">
        <v>878</v>
      </c>
      <c r="O36" s="798" t="s">
        <v>880</v>
      </c>
      <c r="P36" s="807" t="s">
        <v>881</v>
      </c>
      <c r="Q36" s="794" t="s">
        <v>882</v>
      </c>
    </row>
    <row r="37" spans="1:17" x14ac:dyDescent="0.2">
      <c r="A37" s="773"/>
      <c r="C37" s="795"/>
      <c r="D37" s="808" t="s">
        <v>883</v>
      </c>
      <c r="E37" s="805"/>
      <c r="F37" s="800"/>
      <c r="G37" s="809" t="s">
        <v>884</v>
      </c>
      <c r="H37" s="808" t="s">
        <v>883</v>
      </c>
      <c r="I37" s="805"/>
      <c r="J37" s="800"/>
      <c r="K37" s="809" t="s">
        <v>884</v>
      </c>
      <c r="L37" s="810" t="s">
        <v>883</v>
      </c>
      <c r="M37" s="811"/>
      <c r="N37" s="800"/>
      <c r="O37" s="805" t="s">
        <v>883</v>
      </c>
      <c r="P37" s="805" t="s">
        <v>883</v>
      </c>
      <c r="Q37" s="812" t="s">
        <v>883</v>
      </c>
    </row>
    <row r="38" spans="1:17" x14ac:dyDescent="0.2">
      <c r="A38" s="773" t="s">
        <v>885</v>
      </c>
      <c r="C38" s="813" t="s">
        <v>886</v>
      </c>
      <c r="D38" s="808"/>
      <c r="E38" s="805"/>
      <c r="F38" s="800"/>
      <c r="G38" s="813" t="s">
        <v>887</v>
      </c>
      <c r="H38" s="808"/>
      <c r="I38" s="805"/>
      <c r="J38" s="800"/>
      <c r="K38" s="813" t="s">
        <v>888</v>
      </c>
      <c r="L38" s="810"/>
      <c r="M38" s="811"/>
      <c r="N38" s="800"/>
      <c r="O38" s="805"/>
      <c r="P38" s="805"/>
      <c r="Q38" s="812"/>
    </row>
    <row r="39" spans="1:17" x14ac:dyDescent="0.2">
      <c r="A39" s="328" t="s">
        <v>863</v>
      </c>
      <c r="B39" s="154">
        <v>2010</v>
      </c>
      <c r="C39" s="170">
        <v>184808</v>
      </c>
      <c r="D39" s="814">
        <v>2172</v>
      </c>
      <c r="E39" s="128"/>
      <c r="F39" s="815" t="e">
        <f>SUM(D39/E39)</f>
        <v>#DIV/0!</v>
      </c>
      <c r="G39" s="170">
        <v>54652</v>
      </c>
      <c r="H39" s="814">
        <v>1657</v>
      </c>
      <c r="I39" s="128"/>
      <c r="J39" s="816" t="e">
        <f t="shared" ref="J39:J50" si="0">H39/I39</f>
        <v>#DIV/0!</v>
      </c>
      <c r="K39" s="170">
        <v>51617</v>
      </c>
      <c r="L39" s="814">
        <v>2086</v>
      </c>
      <c r="M39" s="817"/>
      <c r="N39" s="816" t="e">
        <f t="shared" ref="N39:N50" si="1">L39/M39</f>
        <v>#DIV/0!</v>
      </c>
      <c r="O39" s="818"/>
      <c r="P39" s="819">
        <f>SUM(D39,H39,L39,O39)</f>
        <v>5915</v>
      </c>
      <c r="Q39" s="190">
        <v>539</v>
      </c>
    </row>
    <row r="40" spans="1:17" x14ac:dyDescent="0.2">
      <c r="A40" s="328" t="s">
        <v>864</v>
      </c>
      <c r="B40" s="154">
        <v>2010</v>
      </c>
      <c r="C40" s="170">
        <v>189310</v>
      </c>
      <c r="D40" s="814">
        <v>1223</v>
      </c>
      <c r="E40" s="128"/>
      <c r="F40" s="815" t="e">
        <f t="shared" ref="F40:F50" si="2">D40/E40</f>
        <v>#DIV/0!</v>
      </c>
      <c r="G40" s="170">
        <v>60017</v>
      </c>
      <c r="H40" s="814">
        <v>1660</v>
      </c>
      <c r="I40" s="128"/>
      <c r="J40" s="816" t="e">
        <f t="shared" si="0"/>
        <v>#DIV/0!</v>
      </c>
      <c r="K40" s="170">
        <v>56009</v>
      </c>
      <c r="L40" s="814">
        <v>1282</v>
      </c>
      <c r="M40" s="817"/>
      <c r="N40" s="816" t="e">
        <f t="shared" si="1"/>
        <v>#DIV/0!</v>
      </c>
      <c r="O40" s="818"/>
      <c r="P40" s="819">
        <f>SUM(D40,H40,L40,O40)</f>
        <v>4165</v>
      </c>
      <c r="Q40" s="190">
        <v>412</v>
      </c>
    </row>
    <row r="41" spans="1:17" x14ac:dyDescent="0.2">
      <c r="A41" s="328" t="s">
        <v>865</v>
      </c>
      <c r="B41" s="154">
        <v>2010</v>
      </c>
      <c r="C41" s="170">
        <v>191786</v>
      </c>
      <c r="D41" s="814">
        <v>3054</v>
      </c>
      <c r="E41" s="128"/>
      <c r="F41" s="815" t="e">
        <f t="shared" si="2"/>
        <v>#DIV/0!</v>
      </c>
      <c r="G41" s="170">
        <v>63399</v>
      </c>
      <c r="H41" s="814">
        <v>2841</v>
      </c>
      <c r="I41" s="128"/>
      <c r="J41" s="816" t="e">
        <f t="shared" si="0"/>
        <v>#DIV/0!</v>
      </c>
      <c r="K41" s="170">
        <v>58530</v>
      </c>
      <c r="L41" s="814">
        <v>2867</v>
      </c>
      <c r="M41" s="817"/>
      <c r="N41" s="816" t="e">
        <f t="shared" si="1"/>
        <v>#DIV/0!</v>
      </c>
      <c r="O41" s="818"/>
      <c r="P41" s="819">
        <f>SUM(D41,H41,L41,O41)</f>
        <v>8762</v>
      </c>
      <c r="Q41" s="190">
        <v>310</v>
      </c>
    </row>
    <row r="42" spans="1:17" x14ac:dyDescent="0.2">
      <c r="A42" s="328" t="s">
        <v>866</v>
      </c>
      <c r="B42" s="154">
        <v>2010</v>
      </c>
      <c r="C42" s="170">
        <v>194314</v>
      </c>
      <c r="D42" s="814">
        <v>0</v>
      </c>
      <c r="E42" s="128"/>
      <c r="F42" s="815" t="e">
        <f t="shared" si="2"/>
        <v>#DIV/0!</v>
      </c>
      <c r="G42" s="170">
        <v>67557</v>
      </c>
      <c r="H42" s="814">
        <v>2028</v>
      </c>
      <c r="I42" s="128"/>
      <c r="J42" s="816" t="e">
        <f t="shared" si="0"/>
        <v>#DIV/0!</v>
      </c>
      <c r="K42" s="170">
        <v>60017</v>
      </c>
      <c r="L42" s="814">
        <v>1384</v>
      </c>
      <c r="M42" s="817"/>
      <c r="N42" s="816" t="e">
        <f t="shared" si="1"/>
        <v>#DIV/0!</v>
      </c>
      <c r="O42" s="818"/>
      <c r="P42" s="820">
        <v>3412</v>
      </c>
      <c r="Q42" s="190">
        <v>121</v>
      </c>
    </row>
    <row r="43" spans="1:17" x14ac:dyDescent="0.2">
      <c r="A43" s="328" t="s">
        <v>867</v>
      </c>
      <c r="B43" s="154">
        <v>2010</v>
      </c>
      <c r="C43" s="170"/>
      <c r="D43" s="814">
        <v>1103</v>
      </c>
      <c r="E43" s="128"/>
      <c r="F43" s="815" t="e">
        <f t="shared" si="2"/>
        <v>#DIV/0!</v>
      </c>
      <c r="G43" s="170"/>
      <c r="H43" s="814">
        <v>3770</v>
      </c>
      <c r="I43" s="128"/>
      <c r="J43" s="816" t="e">
        <f t="shared" si="0"/>
        <v>#DIV/0!</v>
      </c>
      <c r="K43" s="170"/>
      <c r="L43" s="814">
        <v>1154</v>
      </c>
      <c r="M43" s="817"/>
      <c r="N43" s="816" t="e">
        <f t="shared" si="1"/>
        <v>#DIV/0!</v>
      </c>
      <c r="O43" s="818"/>
      <c r="P43" s="819">
        <f>SUM(D43,H43,L43,O43)</f>
        <v>6027</v>
      </c>
      <c r="Q43" s="190">
        <v>79</v>
      </c>
    </row>
    <row r="44" spans="1:17" x14ac:dyDescent="0.2">
      <c r="A44" s="328" t="s">
        <v>868</v>
      </c>
      <c r="B44" s="154">
        <v>2010</v>
      </c>
      <c r="C44" s="170"/>
      <c r="D44" s="814">
        <v>1767</v>
      </c>
      <c r="E44" s="128"/>
      <c r="F44" s="815" t="e">
        <f t="shared" si="2"/>
        <v>#DIV/0!</v>
      </c>
      <c r="G44" s="170"/>
      <c r="H44" s="814">
        <v>2867</v>
      </c>
      <c r="I44" s="128"/>
      <c r="J44" s="816" t="e">
        <f t="shared" si="0"/>
        <v>#DIV/0!</v>
      </c>
      <c r="K44" s="170"/>
      <c r="L44" s="814">
        <v>1999</v>
      </c>
      <c r="M44" s="817"/>
      <c r="N44" s="816" t="e">
        <f t="shared" si="1"/>
        <v>#DIV/0!</v>
      </c>
      <c r="O44" s="818"/>
      <c r="P44" s="819">
        <v>2559</v>
      </c>
      <c r="Q44" s="190">
        <v>178</v>
      </c>
    </row>
    <row r="45" spans="1:17" x14ac:dyDescent="0.2">
      <c r="A45" s="328" t="s">
        <v>857</v>
      </c>
      <c r="B45" s="154">
        <v>2010</v>
      </c>
      <c r="C45" s="170"/>
      <c r="D45" s="814">
        <v>2304</v>
      </c>
      <c r="E45" s="128"/>
      <c r="F45" s="815" t="e">
        <f t="shared" si="2"/>
        <v>#DIV/0!</v>
      </c>
      <c r="G45" s="170"/>
      <c r="H45" s="814">
        <v>1871</v>
      </c>
      <c r="I45" s="128"/>
      <c r="J45" s="816" t="e">
        <f t="shared" si="0"/>
        <v>#DIV/0!</v>
      </c>
      <c r="K45" s="170"/>
      <c r="L45" s="814">
        <v>3016</v>
      </c>
      <c r="M45" s="817"/>
      <c r="N45" s="816" t="e">
        <f t="shared" si="1"/>
        <v>#DIV/0!</v>
      </c>
      <c r="O45" s="818"/>
      <c r="P45" s="819">
        <f t="shared" ref="P45:P50" si="3">SUM(D45,H45,L45,O45)</f>
        <v>7191</v>
      </c>
      <c r="Q45" s="190">
        <v>371</v>
      </c>
    </row>
    <row r="46" spans="1:17" x14ac:dyDescent="0.2">
      <c r="A46" s="328" t="s">
        <v>858</v>
      </c>
      <c r="B46" s="154">
        <v>2010</v>
      </c>
      <c r="C46" s="170"/>
      <c r="D46" s="814">
        <v>1326</v>
      </c>
      <c r="E46" s="128"/>
      <c r="F46" s="815" t="e">
        <f t="shared" si="2"/>
        <v>#DIV/0!</v>
      </c>
      <c r="G46" s="170"/>
      <c r="H46" s="814">
        <v>1591</v>
      </c>
      <c r="I46" s="128"/>
      <c r="J46" s="816" t="e">
        <f t="shared" si="0"/>
        <v>#DIV/0!</v>
      </c>
      <c r="K46" s="170"/>
      <c r="L46" s="814">
        <v>2709</v>
      </c>
      <c r="M46" s="817"/>
      <c r="N46" s="816" t="e">
        <f t="shared" si="1"/>
        <v>#DIV/0!</v>
      </c>
      <c r="O46" s="818"/>
      <c r="P46" s="819">
        <f t="shared" si="3"/>
        <v>5626</v>
      </c>
      <c r="Q46" s="190">
        <v>10</v>
      </c>
    </row>
    <row r="47" spans="1:17" x14ac:dyDescent="0.2">
      <c r="A47" s="328" t="s">
        <v>859</v>
      </c>
      <c r="B47" s="154">
        <v>2010</v>
      </c>
      <c r="C47" s="170"/>
      <c r="D47" s="814">
        <v>1837</v>
      </c>
      <c r="E47" s="128"/>
      <c r="F47" s="815" t="e">
        <f t="shared" si="2"/>
        <v>#DIV/0!</v>
      </c>
      <c r="G47" s="170"/>
      <c r="H47" s="814">
        <v>1852</v>
      </c>
      <c r="I47" s="128"/>
      <c r="J47" s="816" t="e">
        <f t="shared" si="0"/>
        <v>#DIV/0!</v>
      </c>
      <c r="K47" s="170"/>
      <c r="L47" s="814">
        <v>2346</v>
      </c>
      <c r="M47" s="817"/>
      <c r="N47" s="816" t="e">
        <f t="shared" si="1"/>
        <v>#DIV/0!</v>
      </c>
      <c r="O47" s="818"/>
      <c r="P47" s="819">
        <f t="shared" si="3"/>
        <v>6035</v>
      </c>
      <c r="Q47" s="190">
        <v>79</v>
      </c>
    </row>
    <row r="48" spans="1:17" x14ac:dyDescent="0.2">
      <c r="A48" s="328" t="s">
        <v>860</v>
      </c>
      <c r="B48" s="154">
        <v>2010</v>
      </c>
      <c r="C48" s="170"/>
      <c r="D48" s="814">
        <v>1470</v>
      </c>
      <c r="E48" s="128"/>
      <c r="F48" s="815" t="e">
        <f t="shared" si="2"/>
        <v>#DIV/0!</v>
      </c>
      <c r="G48" s="170"/>
      <c r="H48" s="814">
        <v>975</v>
      </c>
      <c r="I48" s="128"/>
      <c r="J48" s="816" t="e">
        <f t="shared" si="0"/>
        <v>#DIV/0!</v>
      </c>
      <c r="K48" s="170"/>
      <c r="L48" s="814">
        <v>1845</v>
      </c>
      <c r="M48" s="817"/>
      <c r="N48" s="816" t="e">
        <f t="shared" si="1"/>
        <v>#DIV/0!</v>
      </c>
      <c r="O48" s="818"/>
      <c r="P48" s="819">
        <f t="shared" si="3"/>
        <v>4290</v>
      </c>
      <c r="Q48" s="190">
        <v>700</v>
      </c>
    </row>
    <row r="49" spans="1:17" x14ac:dyDescent="0.2">
      <c r="A49" s="328" t="s">
        <v>861</v>
      </c>
      <c r="B49" s="154">
        <v>2010</v>
      </c>
      <c r="C49" s="170"/>
      <c r="D49" s="814">
        <v>2389</v>
      </c>
      <c r="E49" s="128"/>
      <c r="F49" s="815" t="e">
        <f t="shared" si="2"/>
        <v>#DIV/0!</v>
      </c>
      <c r="G49" s="170"/>
      <c r="H49" s="814">
        <v>2736</v>
      </c>
      <c r="I49" s="128"/>
      <c r="J49" s="816" t="e">
        <f t="shared" si="0"/>
        <v>#DIV/0!</v>
      </c>
      <c r="K49" s="170"/>
      <c r="L49" s="814">
        <v>1580</v>
      </c>
      <c r="M49" s="817"/>
      <c r="N49" s="816" t="e">
        <f t="shared" si="1"/>
        <v>#DIV/0!</v>
      </c>
      <c r="O49" s="818"/>
      <c r="P49" s="819">
        <f t="shared" si="3"/>
        <v>6705</v>
      </c>
      <c r="Q49" s="190">
        <v>531</v>
      </c>
    </row>
    <row r="50" spans="1:17" x14ac:dyDescent="0.2">
      <c r="A50" s="330" t="s">
        <v>862</v>
      </c>
      <c r="B50" s="154">
        <v>2010</v>
      </c>
      <c r="C50" s="33"/>
      <c r="D50" s="814">
        <v>1775</v>
      </c>
      <c r="E50" s="128"/>
      <c r="F50" s="815" t="e">
        <f t="shared" si="2"/>
        <v>#DIV/0!</v>
      </c>
      <c r="G50" s="33"/>
      <c r="H50" s="814">
        <v>1434</v>
      </c>
      <c r="I50" s="128"/>
      <c r="J50" s="816" t="e">
        <f t="shared" si="0"/>
        <v>#DIV/0!</v>
      </c>
      <c r="K50" s="33"/>
      <c r="L50" s="814">
        <v>3299</v>
      </c>
      <c r="M50" s="817"/>
      <c r="N50" s="816" t="e">
        <f t="shared" si="1"/>
        <v>#DIV/0!</v>
      </c>
      <c r="O50" s="818"/>
      <c r="P50" s="819">
        <f t="shared" si="3"/>
        <v>6508</v>
      </c>
      <c r="Q50" s="49">
        <v>410</v>
      </c>
    </row>
    <row r="51" spans="1:17" x14ac:dyDescent="0.2">
      <c r="A51" s="783" t="s">
        <v>329</v>
      </c>
      <c r="C51" s="821"/>
      <c r="D51" s="822">
        <f>SUM(D39:D50)</f>
        <v>20420</v>
      </c>
      <c r="E51" s="823">
        <f>SUM(E39:E50)</f>
        <v>0</v>
      </c>
      <c r="F51" s="815" t="e">
        <f>SUM(D51/E51)</f>
        <v>#DIV/0!</v>
      </c>
      <c r="G51" s="821"/>
      <c r="H51" s="824">
        <f>SUM(H39:H50)</f>
        <v>25282</v>
      </c>
      <c r="I51" s="823">
        <f>SUM(I39:I50)</f>
        <v>0</v>
      </c>
      <c r="J51" s="825" t="e">
        <f>SUM(J39:J50)</f>
        <v>#DIV/0!</v>
      </c>
      <c r="K51" s="821"/>
      <c r="L51" s="824">
        <f>SUM(L39:L50)</f>
        <v>25567</v>
      </c>
      <c r="M51" s="826">
        <f>SUM(M39:M50)</f>
        <v>0</v>
      </c>
      <c r="N51" s="827" t="e">
        <f>SUM(N39:N50)</f>
        <v>#DIV/0!</v>
      </c>
      <c r="O51" s="785"/>
      <c r="P51" s="786">
        <f>SUM(P39:P50)</f>
        <v>67195</v>
      </c>
      <c r="Q51">
        <f>SUM(Q39:Q50)</f>
        <v>3740</v>
      </c>
    </row>
  </sheetData>
  <sheetProtection selectLockedCells="1" selectUnlockedCells="1"/>
  <phoneticPr fontId="7" type="noConversion"/>
  <pageMargins left="0" right="0" top="0" bottom="0" header="0.51180555555555551" footer="0.51180555555555551"/>
  <pageSetup paperSize="9" scale="75" firstPageNumber="0" orientation="landscape" horizontalDpi="300" verticalDpi="3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25">
    <tabColor indexed="35"/>
  </sheetPr>
  <dimension ref="A2:R58"/>
  <sheetViews>
    <sheetView topLeftCell="C28" zoomScale="75" workbookViewId="0">
      <selection activeCell="H44" sqref="H44"/>
    </sheetView>
  </sheetViews>
  <sheetFormatPr defaultRowHeight="12.75" x14ac:dyDescent="0.2"/>
  <cols>
    <col min="1" max="2" width="9.140625" style="1118"/>
    <col min="3" max="3" width="17.28515625" style="1118" customWidth="1"/>
    <col min="4" max="5" width="9" style="1118" customWidth="1"/>
    <col min="6" max="6" width="11" style="1118" customWidth="1"/>
    <col min="7" max="7" width="19.42578125" style="1118" customWidth="1"/>
    <col min="8" max="8" width="10.5703125" style="1118" customWidth="1"/>
    <col min="9" max="9" width="9.85546875" style="1118" customWidth="1"/>
    <col min="10" max="10" width="11.85546875" style="1118" customWidth="1"/>
    <col min="11" max="11" width="19" style="1118" customWidth="1"/>
    <col min="12" max="12" width="9.7109375" style="1118" customWidth="1"/>
    <col min="13" max="13" width="9" style="1118" customWidth="1"/>
    <col min="14" max="15" width="10.42578125" style="1118" customWidth="1"/>
    <col min="16" max="16" width="11" style="1118" customWidth="1"/>
    <col min="17" max="17" width="14.7109375" style="1118" customWidth="1"/>
    <col min="18" max="18" width="11" style="1118" customWidth="1"/>
    <col min="19" max="16384" width="9.140625" style="1118"/>
  </cols>
  <sheetData>
    <row r="2" spans="1:17" ht="23.25" x14ac:dyDescent="0.35">
      <c r="G2" s="1752" t="s">
        <v>856</v>
      </c>
    </row>
    <row r="3" spans="1:17" ht="13.5" thickBot="1" x14ac:dyDescent="0.25"/>
    <row r="4" spans="1:17" ht="27.95" customHeight="1" x14ac:dyDescent="0.2">
      <c r="A4" s="1274"/>
      <c r="B4" s="1275"/>
      <c r="C4" s="1348" t="s">
        <v>869</v>
      </c>
      <c r="D4" s="1349"/>
      <c r="E4" s="1350"/>
      <c r="F4" s="1351"/>
      <c r="G4" s="1348" t="s">
        <v>870</v>
      </c>
      <c r="H4" s="1349"/>
      <c r="I4" s="1350"/>
      <c r="J4" s="1351"/>
      <c r="K4" s="1348" t="s">
        <v>871</v>
      </c>
      <c r="L4" s="1352"/>
      <c r="M4" s="1353"/>
      <c r="N4" s="1351"/>
      <c r="O4" s="1350"/>
      <c r="P4" s="1350"/>
      <c r="Q4" s="1354"/>
    </row>
    <row r="5" spans="1:17" ht="27.95" customHeight="1" x14ac:dyDescent="0.2">
      <c r="A5" s="1355"/>
      <c r="C5" s="1356"/>
      <c r="D5" s="1357"/>
      <c r="E5" s="1279"/>
      <c r="F5" s="1358"/>
      <c r="G5" s="1359" t="s">
        <v>872</v>
      </c>
      <c r="H5" s="1357"/>
      <c r="I5" s="1279"/>
      <c r="J5" s="1358"/>
      <c r="K5" s="1359" t="s">
        <v>872</v>
      </c>
      <c r="L5" s="1360"/>
      <c r="M5" s="1361"/>
      <c r="N5" s="1358"/>
      <c r="O5" s="1279"/>
      <c r="P5" s="1362"/>
      <c r="Q5" s="1358"/>
    </row>
    <row r="6" spans="1:17" ht="27.95" customHeight="1" x14ac:dyDescent="0.2">
      <c r="A6" s="1355"/>
      <c r="C6" s="1356"/>
      <c r="D6" s="1357"/>
      <c r="E6" s="1279"/>
      <c r="F6" s="1358"/>
      <c r="G6" s="1359" t="s">
        <v>873</v>
      </c>
      <c r="H6" s="1357"/>
      <c r="I6" s="1279"/>
      <c r="J6" s="1358"/>
      <c r="K6" s="1359" t="s">
        <v>873</v>
      </c>
      <c r="L6" s="1360"/>
      <c r="M6" s="1361"/>
      <c r="N6" s="1358"/>
      <c r="O6" s="1279"/>
      <c r="P6" s="1362"/>
      <c r="Q6" s="1358"/>
    </row>
    <row r="7" spans="1:17" ht="17.100000000000001" customHeight="1" x14ac:dyDescent="0.2">
      <c r="A7" s="1355"/>
      <c r="C7" s="1359" t="s">
        <v>874</v>
      </c>
      <c r="D7" s="1363"/>
      <c r="E7" s="1362"/>
      <c r="F7" s="1364"/>
      <c r="G7" s="1365" t="s">
        <v>875</v>
      </c>
      <c r="H7" s="1363"/>
      <c r="I7" s="1362"/>
      <c r="J7" s="1364"/>
      <c r="K7" s="1365" t="s">
        <v>875</v>
      </c>
      <c r="L7" s="1366"/>
      <c r="M7" s="1367"/>
      <c r="N7" s="1364"/>
      <c r="O7" s="1362"/>
      <c r="P7" s="1362" t="s">
        <v>889</v>
      </c>
      <c r="Q7" s="1358" t="s">
        <v>889</v>
      </c>
    </row>
    <row r="8" spans="1:17" ht="24" customHeight="1" x14ac:dyDescent="0.2">
      <c r="A8" s="1355"/>
      <c r="C8" s="1359"/>
      <c r="D8" s="1368" t="s">
        <v>876</v>
      </c>
      <c r="E8" s="1369" t="s">
        <v>877</v>
      </c>
      <c r="F8" s="1364" t="s">
        <v>878</v>
      </c>
      <c r="G8" s="1359" t="s">
        <v>879</v>
      </c>
      <c r="H8" s="1368" t="s">
        <v>876</v>
      </c>
      <c r="I8" s="1369" t="s">
        <v>877</v>
      </c>
      <c r="J8" s="1364" t="s">
        <v>878</v>
      </c>
      <c r="K8" s="1359" t="s">
        <v>879</v>
      </c>
      <c r="L8" s="1370" t="s">
        <v>876</v>
      </c>
      <c r="M8" s="1369" t="s">
        <v>877</v>
      </c>
      <c r="N8" s="1364" t="s">
        <v>878</v>
      </c>
      <c r="O8" s="1362"/>
      <c r="P8" s="1371" t="s">
        <v>876</v>
      </c>
      <c r="Q8" s="1358" t="s">
        <v>882</v>
      </c>
    </row>
    <row r="9" spans="1:17" ht="17.100000000000001" customHeight="1" thickBot="1" x14ac:dyDescent="0.25">
      <c r="A9" s="1355"/>
      <c r="C9" s="1359"/>
      <c r="D9" s="1372" t="s">
        <v>883</v>
      </c>
      <c r="E9" s="1369"/>
      <c r="F9" s="1364"/>
      <c r="G9" s="1373" t="s">
        <v>884</v>
      </c>
      <c r="H9" s="1372" t="s">
        <v>883</v>
      </c>
      <c r="I9" s="1369"/>
      <c r="J9" s="1364"/>
      <c r="K9" s="1373" t="s">
        <v>884</v>
      </c>
      <c r="L9" s="1374" t="s">
        <v>883</v>
      </c>
      <c r="M9" s="1375"/>
      <c r="N9" s="1364"/>
      <c r="O9" s="1362"/>
      <c r="P9" s="1369" t="s">
        <v>883</v>
      </c>
      <c r="Q9" s="1376" t="s">
        <v>883</v>
      </c>
    </row>
    <row r="10" spans="1:17" ht="17.100000000000001" customHeight="1" x14ac:dyDescent="0.2">
      <c r="A10" s="1377" t="s">
        <v>857</v>
      </c>
      <c r="B10" s="1282">
        <v>2007</v>
      </c>
      <c r="C10" s="1378"/>
      <c r="D10" s="1379"/>
      <c r="E10" s="1380"/>
      <c r="F10" s="1381"/>
      <c r="G10" s="1382"/>
      <c r="H10" s="1383"/>
      <c r="I10" s="1380"/>
      <c r="J10" s="1384"/>
      <c r="K10" s="1382"/>
      <c r="L10" s="1379"/>
      <c r="M10" s="1385"/>
      <c r="N10" s="1384"/>
      <c r="O10" s="1380"/>
      <c r="P10" s="1386"/>
      <c r="Q10" s="1387"/>
    </row>
    <row r="11" spans="1:17" ht="17.100000000000001" customHeight="1" x14ac:dyDescent="0.2">
      <c r="A11" s="1161" t="s">
        <v>858</v>
      </c>
      <c r="B11" s="1178">
        <v>2007</v>
      </c>
      <c r="C11" s="1388"/>
      <c r="D11" s="1389"/>
      <c r="E11" s="1754"/>
      <c r="F11" s="1390"/>
      <c r="G11" s="1391"/>
      <c r="H11" s="1392"/>
      <c r="I11" s="1754"/>
      <c r="J11" s="1163"/>
      <c r="K11" s="1391"/>
      <c r="L11" s="1389"/>
      <c r="M11" s="1393"/>
      <c r="N11" s="1163"/>
      <c r="O11" s="1754"/>
      <c r="P11" s="1184">
        <v>1380</v>
      </c>
      <c r="Q11" s="1394"/>
    </row>
    <row r="12" spans="1:17" ht="17.100000000000001" customHeight="1" x14ac:dyDescent="0.2">
      <c r="A12" s="1161" t="s">
        <v>859</v>
      </c>
      <c r="B12" s="1178">
        <v>2007</v>
      </c>
      <c r="C12" s="1388"/>
      <c r="D12" s="1389"/>
      <c r="E12" s="1754"/>
      <c r="F12" s="1390"/>
      <c r="G12" s="1391"/>
      <c r="H12" s="1392"/>
      <c r="I12" s="1754"/>
      <c r="J12" s="1163"/>
      <c r="K12" s="1391"/>
      <c r="L12" s="1389"/>
      <c r="M12" s="1393"/>
      <c r="N12" s="1163"/>
      <c r="O12" s="1754"/>
      <c r="P12" s="1184"/>
      <c r="Q12" s="1394"/>
    </row>
    <row r="13" spans="1:17" ht="17.100000000000001" customHeight="1" x14ac:dyDescent="0.2">
      <c r="A13" s="1161" t="s">
        <v>860</v>
      </c>
      <c r="B13" s="1178">
        <v>2007</v>
      </c>
      <c r="C13" s="1388"/>
      <c r="D13" s="1389"/>
      <c r="E13" s="1754"/>
      <c r="F13" s="1390"/>
      <c r="G13" s="1391"/>
      <c r="H13" s="1392"/>
      <c r="I13" s="1754"/>
      <c r="J13" s="1163"/>
      <c r="K13" s="1391"/>
      <c r="L13" s="1389"/>
      <c r="M13" s="1393"/>
      <c r="N13" s="1163"/>
      <c r="O13" s="1754"/>
      <c r="P13" s="1184"/>
      <c r="Q13" s="1394"/>
    </row>
    <row r="14" spans="1:17" ht="17.100000000000001" customHeight="1" x14ac:dyDescent="0.2">
      <c r="A14" s="1161" t="s">
        <v>861</v>
      </c>
      <c r="B14" s="1178">
        <v>2007</v>
      </c>
      <c r="C14" s="1388"/>
      <c r="D14" s="1389"/>
      <c r="E14" s="1754"/>
      <c r="F14" s="1390"/>
      <c r="G14" s="1391"/>
      <c r="H14" s="1392"/>
      <c r="I14" s="1754"/>
      <c r="J14" s="1163"/>
      <c r="K14" s="1391"/>
      <c r="L14" s="1389"/>
      <c r="M14" s="1393"/>
      <c r="N14" s="1163"/>
      <c r="O14" s="1754"/>
      <c r="P14" s="1184"/>
      <c r="Q14" s="1394">
        <v>520</v>
      </c>
    </row>
    <row r="15" spans="1:17" ht="17.100000000000001" customHeight="1" x14ac:dyDescent="0.2">
      <c r="A15" s="1161" t="s">
        <v>862</v>
      </c>
      <c r="B15" s="1178">
        <v>2007</v>
      </c>
      <c r="C15" s="1388"/>
      <c r="D15" s="1389"/>
      <c r="E15" s="1754"/>
      <c r="F15" s="1390"/>
      <c r="G15" s="1391"/>
      <c r="H15" s="1392"/>
      <c r="I15" s="1754"/>
      <c r="J15" s="1163"/>
      <c r="K15" s="1391"/>
      <c r="L15" s="1389"/>
      <c r="M15" s="1393"/>
      <c r="N15" s="1163"/>
      <c r="O15" s="1754"/>
      <c r="P15" s="1184"/>
      <c r="Q15" s="1394">
        <v>99</v>
      </c>
    </row>
    <row r="16" spans="1:17" ht="17.100000000000001" customHeight="1" x14ac:dyDescent="0.2">
      <c r="A16" s="1161" t="s">
        <v>863</v>
      </c>
      <c r="B16" s="1178">
        <v>2008</v>
      </c>
      <c r="C16" s="1388"/>
      <c r="D16" s="1389"/>
      <c r="E16" s="1754"/>
      <c r="F16" s="1390"/>
      <c r="G16" s="1391"/>
      <c r="H16" s="1392"/>
      <c r="I16" s="1754"/>
      <c r="J16" s="1163"/>
      <c r="K16" s="1391"/>
      <c r="L16" s="1389"/>
      <c r="M16" s="1393"/>
      <c r="N16" s="1163"/>
      <c r="O16" s="1754"/>
      <c r="P16" s="1184"/>
      <c r="Q16" s="1394">
        <v>270</v>
      </c>
    </row>
    <row r="17" spans="1:17" ht="17.100000000000001" customHeight="1" x14ac:dyDescent="0.2">
      <c r="A17" s="1161" t="s">
        <v>864</v>
      </c>
      <c r="B17" s="1178">
        <v>2008</v>
      </c>
      <c r="C17" s="1388"/>
      <c r="D17" s="1389"/>
      <c r="E17" s="1754"/>
      <c r="F17" s="1390"/>
      <c r="G17" s="1391"/>
      <c r="H17" s="1392"/>
      <c r="I17" s="1754"/>
      <c r="J17" s="1163"/>
      <c r="K17" s="1391"/>
      <c r="L17" s="1389"/>
      <c r="M17" s="1393"/>
      <c r="N17" s="1163"/>
      <c r="O17" s="1754"/>
      <c r="P17" s="1184"/>
      <c r="Q17" s="1394">
        <v>550</v>
      </c>
    </row>
    <row r="18" spans="1:17" ht="17.100000000000001" customHeight="1" x14ac:dyDescent="0.2">
      <c r="A18" s="1161" t="s">
        <v>865</v>
      </c>
      <c r="B18" s="1178">
        <v>2008</v>
      </c>
      <c r="C18" s="1388"/>
      <c r="D18" s="1389"/>
      <c r="E18" s="1754"/>
      <c r="F18" s="1390"/>
      <c r="G18" s="1391"/>
      <c r="H18" s="1392"/>
      <c r="I18" s="1754"/>
      <c r="J18" s="1163"/>
      <c r="K18" s="1391"/>
      <c r="L18" s="1389"/>
      <c r="M18" s="1393"/>
      <c r="N18" s="1163"/>
      <c r="O18" s="1754"/>
      <c r="P18" s="1184"/>
      <c r="Q18" s="1394">
        <v>200</v>
      </c>
    </row>
    <row r="19" spans="1:17" ht="17.100000000000001" customHeight="1" x14ac:dyDescent="0.2">
      <c r="A19" s="1161" t="s">
        <v>866</v>
      </c>
      <c r="B19" s="1178">
        <v>2008</v>
      </c>
      <c r="C19" s="1388"/>
      <c r="D19" s="1389"/>
      <c r="E19" s="1754"/>
      <c r="F19" s="1390"/>
      <c r="G19" s="1391"/>
      <c r="H19" s="1392"/>
      <c r="I19" s="1754"/>
      <c r="J19" s="1163"/>
      <c r="K19" s="1391"/>
      <c r="L19" s="1389"/>
      <c r="M19" s="1393"/>
      <c r="N19" s="1163"/>
      <c r="O19" s="1754"/>
      <c r="P19" s="1184"/>
      <c r="Q19" s="1394">
        <v>249</v>
      </c>
    </row>
    <row r="20" spans="1:17" ht="17.100000000000001" customHeight="1" x14ac:dyDescent="0.2">
      <c r="A20" s="1161" t="s">
        <v>867</v>
      </c>
      <c r="B20" s="1178">
        <v>2008</v>
      </c>
      <c r="C20" s="1388"/>
      <c r="D20" s="1389"/>
      <c r="E20" s="1754"/>
      <c r="F20" s="1390" t="e">
        <f>SUM(C20/D20)</f>
        <v>#DIV/0!</v>
      </c>
      <c r="G20" s="1388"/>
      <c r="H20" s="1389"/>
      <c r="I20" s="1754"/>
      <c r="J20" s="1395"/>
      <c r="K20" s="1391"/>
      <c r="L20" s="1389"/>
      <c r="M20" s="1393"/>
      <c r="N20" s="1395" t="e">
        <f>SUM(K20/L20)</f>
        <v>#DIV/0!</v>
      </c>
      <c r="O20" s="1396"/>
      <c r="P20" s="1184"/>
      <c r="Q20" s="1394">
        <v>129</v>
      </c>
    </row>
    <row r="21" spans="1:17" ht="17.100000000000001" customHeight="1" x14ac:dyDescent="0.2">
      <c r="A21" s="1161" t="s">
        <v>868</v>
      </c>
      <c r="B21" s="1178">
        <v>2008</v>
      </c>
      <c r="C21" s="1388"/>
      <c r="D21" s="1389"/>
      <c r="E21" s="1754">
        <f>SUM(C21-C20)</f>
        <v>0</v>
      </c>
      <c r="F21" s="1390" t="e">
        <f>SUM(D21/E21)</f>
        <v>#DIV/0!</v>
      </c>
      <c r="G21" s="1388"/>
      <c r="H21" s="1389"/>
      <c r="I21" s="1754">
        <f>SUM(G21-G20)</f>
        <v>0</v>
      </c>
      <c r="J21" s="1397" t="e">
        <f>SUM(H21/I21)</f>
        <v>#DIV/0!</v>
      </c>
      <c r="K21" s="1391"/>
      <c r="L21" s="1389"/>
      <c r="M21" s="1393"/>
      <c r="N21" s="1395" t="e">
        <f>SUM(K21/L21)</f>
        <v>#DIV/0!</v>
      </c>
      <c r="O21" s="1396"/>
      <c r="P21" s="1184"/>
      <c r="Q21" s="1394">
        <v>660</v>
      </c>
    </row>
    <row r="22" spans="1:17" ht="17.100000000000001" customHeight="1" x14ac:dyDescent="0.2">
      <c r="A22" s="1161" t="s">
        <v>857</v>
      </c>
      <c r="B22" s="1178">
        <v>2008</v>
      </c>
      <c r="C22" s="1388"/>
      <c r="D22" s="1389"/>
      <c r="E22" s="1754">
        <f t="shared" ref="E22:E27" si="0">SUM(C22-C21)</f>
        <v>0</v>
      </c>
      <c r="F22" s="1390" t="e">
        <f t="shared" ref="F22:F28" si="1">SUM(D22/E22)</f>
        <v>#DIV/0!</v>
      </c>
      <c r="G22" s="1388"/>
      <c r="H22" s="1389"/>
      <c r="I22" s="1754">
        <f t="shared" ref="I22:I27" si="2">SUM(G22-G21)</f>
        <v>0</v>
      </c>
      <c r="J22" s="1397" t="e">
        <f t="shared" ref="J22:J27" si="3">SUM(H22/I22)</f>
        <v>#DIV/0!</v>
      </c>
      <c r="K22" s="1388"/>
      <c r="L22" s="1389"/>
      <c r="M22" s="1393"/>
      <c r="N22" s="1395" t="e">
        <f t="shared" ref="N22:N27" si="4">SUM(L22/M22)</f>
        <v>#DIV/0!</v>
      </c>
      <c r="O22" s="1396"/>
      <c r="P22" s="1184"/>
      <c r="Q22" s="1394">
        <v>550</v>
      </c>
    </row>
    <row r="23" spans="1:17" ht="17.100000000000001" customHeight="1" x14ac:dyDescent="0.2">
      <c r="A23" s="1161" t="s">
        <v>858</v>
      </c>
      <c r="B23" s="1178">
        <v>2008</v>
      </c>
      <c r="C23" s="1388"/>
      <c r="D23" s="1389"/>
      <c r="E23" s="1398">
        <f t="shared" si="0"/>
        <v>0</v>
      </c>
      <c r="F23" s="1399" t="e">
        <f t="shared" si="1"/>
        <v>#DIV/0!</v>
      </c>
      <c r="G23" s="1388"/>
      <c r="H23" s="1389"/>
      <c r="I23" s="1754">
        <f t="shared" si="2"/>
        <v>0</v>
      </c>
      <c r="J23" s="1397" t="e">
        <f t="shared" si="3"/>
        <v>#DIV/0!</v>
      </c>
      <c r="K23" s="1388"/>
      <c r="L23" s="1389"/>
      <c r="M23" s="1393"/>
      <c r="N23" s="1395" t="e">
        <f t="shared" si="4"/>
        <v>#DIV/0!</v>
      </c>
      <c r="O23" s="1396"/>
      <c r="P23" s="1184"/>
      <c r="Q23" s="1394">
        <v>230</v>
      </c>
    </row>
    <row r="24" spans="1:17" ht="17.100000000000001" customHeight="1" x14ac:dyDescent="0.2">
      <c r="A24" s="1161" t="s">
        <v>859</v>
      </c>
      <c r="B24" s="1178">
        <v>2008</v>
      </c>
      <c r="C24" s="1388"/>
      <c r="D24" s="1389"/>
      <c r="E24" s="1398">
        <f t="shared" si="0"/>
        <v>0</v>
      </c>
      <c r="F24" s="1399" t="e">
        <f t="shared" si="1"/>
        <v>#DIV/0!</v>
      </c>
      <c r="G24" s="1388"/>
      <c r="H24" s="1389"/>
      <c r="I24" s="1754">
        <f t="shared" si="2"/>
        <v>0</v>
      </c>
      <c r="J24" s="1397" t="e">
        <f t="shared" si="3"/>
        <v>#DIV/0!</v>
      </c>
      <c r="K24" s="1388"/>
      <c r="L24" s="1389"/>
      <c r="M24" s="1393"/>
      <c r="N24" s="1395" t="e">
        <f t="shared" si="4"/>
        <v>#DIV/0!</v>
      </c>
      <c r="O24" s="1396"/>
      <c r="P24" s="1184"/>
      <c r="Q24" s="1394">
        <v>290</v>
      </c>
    </row>
    <row r="25" spans="1:17" ht="17.100000000000001" customHeight="1" x14ac:dyDescent="0.2">
      <c r="A25" s="1161" t="s">
        <v>860</v>
      </c>
      <c r="B25" s="1178">
        <v>2008</v>
      </c>
      <c r="C25" s="1388"/>
      <c r="D25" s="1389"/>
      <c r="E25" s="1398">
        <f t="shared" si="0"/>
        <v>0</v>
      </c>
      <c r="F25" s="1399" t="e">
        <f t="shared" si="1"/>
        <v>#DIV/0!</v>
      </c>
      <c r="G25" s="1388"/>
      <c r="H25" s="1389"/>
      <c r="I25" s="1754">
        <f t="shared" si="2"/>
        <v>0</v>
      </c>
      <c r="J25" s="1397" t="e">
        <f t="shared" si="3"/>
        <v>#DIV/0!</v>
      </c>
      <c r="K25" s="1388"/>
      <c r="L25" s="1389"/>
      <c r="M25" s="1393"/>
      <c r="N25" s="1395" t="e">
        <f t="shared" si="4"/>
        <v>#DIV/0!</v>
      </c>
      <c r="O25" s="1396"/>
      <c r="P25" s="1184"/>
      <c r="Q25" s="1394"/>
    </row>
    <row r="26" spans="1:17" ht="17.100000000000001" customHeight="1" x14ac:dyDescent="0.2">
      <c r="A26" s="1161" t="s">
        <v>861</v>
      </c>
      <c r="B26" s="1178">
        <v>2008</v>
      </c>
      <c r="C26" s="1388"/>
      <c r="D26" s="1389"/>
      <c r="E26" s="1398">
        <f t="shared" si="0"/>
        <v>0</v>
      </c>
      <c r="F26" s="1399" t="e">
        <f t="shared" si="1"/>
        <v>#DIV/0!</v>
      </c>
      <c r="G26" s="1388"/>
      <c r="H26" s="1389"/>
      <c r="I26" s="1754">
        <f t="shared" si="2"/>
        <v>0</v>
      </c>
      <c r="J26" s="1397" t="e">
        <f t="shared" si="3"/>
        <v>#DIV/0!</v>
      </c>
      <c r="K26" s="1388"/>
      <c r="L26" s="1389"/>
      <c r="M26" s="1393"/>
      <c r="N26" s="1395" t="e">
        <f t="shared" si="4"/>
        <v>#DIV/0!</v>
      </c>
      <c r="O26" s="1396"/>
      <c r="P26" s="1184"/>
      <c r="Q26" s="1394">
        <v>209</v>
      </c>
    </row>
    <row r="27" spans="1:17" ht="17.100000000000001" customHeight="1" thickBot="1" x14ac:dyDescent="0.25">
      <c r="A27" s="1400" t="s">
        <v>862</v>
      </c>
      <c r="B27" s="1401">
        <v>2008</v>
      </c>
      <c r="C27" s="1402"/>
      <c r="D27" s="1389"/>
      <c r="E27" s="1398">
        <f t="shared" si="0"/>
        <v>0</v>
      </c>
      <c r="F27" s="1399" t="e">
        <f t="shared" si="1"/>
        <v>#DIV/0!</v>
      </c>
      <c r="G27" s="1402"/>
      <c r="H27" s="1389"/>
      <c r="I27" s="1754">
        <f t="shared" si="2"/>
        <v>0</v>
      </c>
      <c r="J27" s="1397" t="e">
        <f t="shared" si="3"/>
        <v>#DIV/0!</v>
      </c>
      <c r="K27" s="1402"/>
      <c r="L27" s="1389"/>
      <c r="M27" s="1393"/>
      <c r="N27" s="1395" t="e">
        <f t="shared" si="4"/>
        <v>#DIV/0!</v>
      </c>
      <c r="O27" s="1396"/>
      <c r="P27" s="1184"/>
      <c r="Q27" s="1403">
        <v>550</v>
      </c>
    </row>
    <row r="28" spans="1:17" ht="13.5" thickBot="1" x14ac:dyDescent="0.25">
      <c r="A28" s="1356" t="s">
        <v>329</v>
      </c>
      <c r="C28" s="1404"/>
      <c r="D28" s="1405">
        <f>SUM(D10:D27)</f>
        <v>0</v>
      </c>
      <c r="E28" s="1173"/>
      <c r="F28" s="1390" t="e">
        <f t="shared" si="1"/>
        <v>#DIV/0!</v>
      </c>
      <c r="G28" s="1404"/>
      <c r="H28" s="1406"/>
      <c r="I28" s="1407">
        <f>SUM(I20:I27)</f>
        <v>0</v>
      </c>
      <c r="J28" s="1408"/>
      <c r="K28" s="1404"/>
      <c r="L28" s="1406">
        <f>SUM(L10:L27)</f>
        <v>0</v>
      </c>
      <c r="M28" s="1409">
        <f>SUM(M27,M25,M23)</f>
        <v>0</v>
      </c>
      <c r="N28" s="1410" t="e">
        <f>SUM(N10:N27)</f>
        <v>#DIV/0!</v>
      </c>
      <c r="O28" s="1411"/>
      <c r="P28" s="1412">
        <f>SUM(P11:P27)</f>
        <v>1380</v>
      </c>
      <c r="Q28" s="1191">
        <f>SUM(Q11:Q27)</f>
        <v>4506</v>
      </c>
    </row>
    <row r="30" spans="1:17" x14ac:dyDescent="0.2">
      <c r="A30" s="1118" t="s">
        <v>144</v>
      </c>
    </row>
    <row r="31" spans="1:17" ht="13.5" thickBot="1" x14ac:dyDescent="0.25"/>
    <row r="32" spans="1:17" ht="38.25" x14ac:dyDescent="0.2">
      <c r="A32" s="1274"/>
      <c r="B32" s="1275"/>
      <c r="C32" s="1348" t="s">
        <v>890</v>
      </c>
      <c r="D32" s="1349"/>
      <c r="E32" s="1350"/>
      <c r="F32" s="1351"/>
      <c r="G32" s="1348" t="s">
        <v>870</v>
      </c>
      <c r="H32" s="1349"/>
      <c r="I32" s="1350"/>
      <c r="J32" s="1351"/>
      <c r="K32" s="1348" t="s">
        <v>871</v>
      </c>
      <c r="L32" s="1352"/>
      <c r="M32" s="1353"/>
      <c r="N32" s="1351"/>
      <c r="O32" s="1350"/>
      <c r="P32" s="1350"/>
      <c r="Q32" s="1354"/>
    </row>
    <row r="33" spans="1:18" x14ac:dyDescent="0.2">
      <c r="A33" s="1355"/>
      <c r="C33" s="1356"/>
      <c r="D33" s="1357"/>
      <c r="E33" s="1279"/>
      <c r="F33" s="1358"/>
      <c r="G33" s="1359" t="s">
        <v>872</v>
      </c>
      <c r="H33" s="1357"/>
      <c r="I33" s="1279"/>
      <c r="J33" s="1358"/>
      <c r="K33" s="1359" t="s">
        <v>872</v>
      </c>
      <c r="L33" s="1360"/>
      <c r="M33" s="1361"/>
      <c r="N33" s="1358"/>
      <c r="O33" s="1279"/>
      <c r="P33" s="1362"/>
      <c r="Q33" s="1358"/>
    </row>
    <row r="34" spans="1:18" x14ac:dyDescent="0.2">
      <c r="A34" s="1355"/>
      <c r="C34" s="1356"/>
      <c r="D34" s="1357"/>
      <c r="E34" s="1279"/>
      <c r="F34" s="1358"/>
      <c r="G34" s="1359" t="s">
        <v>873</v>
      </c>
      <c r="H34" s="1357"/>
      <c r="I34" s="1279"/>
      <c r="J34" s="1358"/>
      <c r="K34" s="1359" t="s">
        <v>873</v>
      </c>
      <c r="L34" s="1360"/>
      <c r="M34" s="1361"/>
      <c r="N34" s="1358"/>
      <c r="O34" s="1279"/>
      <c r="P34" s="1362"/>
      <c r="Q34" s="1358"/>
    </row>
    <row r="35" spans="1:18" x14ac:dyDescent="0.2">
      <c r="A35" s="1355"/>
      <c r="C35" s="1359" t="s">
        <v>874</v>
      </c>
      <c r="D35" s="1363"/>
      <c r="E35" s="1362"/>
      <c r="F35" s="1364"/>
      <c r="G35" s="1365" t="s">
        <v>875</v>
      </c>
      <c r="H35" s="1363"/>
      <c r="I35" s="1362"/>
      <c r="J35" s="1364"/>
      <c r="K35" s="1365" t="s">
        <v>875</v>
      </c>
      <c r="L35" s="1366"/>
      <c r="M35" s="1367"/>
      <c r="N35" s="1364"/>
      <c r="O35" s="1362"/>
      <c r="P35" s="1362"/>
      <c r="Q35" s="1358"/>
    </row>
    <row r="36" spans="1:18" ht="38.25" x14ac:dyDescent="0.2">
      <c r="A36" s="1355"/>
      <c r="C36" s="1359"/>
      <c r="D36" s="1368" t="s">
        <v>876</v>
      </c>
      <c r="E36" s="1369" t="s">
        <v>877</v>
      </c>
      <c r="F36" s="1364" t="s">
        <v>878</v>
      </c>
      <c r="G36" s="1359" t="s">
        <v>879</v>
      </c>
      <c r="H36" s="1368" t="s">
        <v>876</v>
      </c>
      <c r="I36" s="1369" t="s">
        <v>877</v>
      </c>
      <c r="J36" s="1364" t="s">
        <v>878</v>
      </c>
      <c r="K36" s="1359" t="s">
        <v>879</v>
      </c>
      <c r="L36" s="1370" t="s">
        <v>876</v>
      </c>
      <c r="M36" s="1369" t="s">
        <v>877</v>
      </c>
      <c r="N36" s="1364" t="s">
        <v>878</v>
      </c>
      <c r="O36" s="1362" t="s">
        <v>880</v>
      </c>
      <c r="P36" s="1371" t="s">
        <v>881</v>
      </c>
      <c r="Q36" s="1358" t="s">
        <v>882</v>
      </c>
    </row>
    <row r="37" spans="1:18" x14ac:dyDescent="0.2">
      <c r="A37" s="1355"/>
      <c r="C37" s="1359"/>
      <c r="D37" s="1372" t="s">
        <v>883</v>
      </c>
      <c r="E37" s="1369"/>
      <c r="F37" s="1364"/>
      <c r="G37" s="1373" t="s">
        <v>884</v>
      </c>
      <c r="H37" s="1372" t="s">
        <v>883</v>
      </c>
      <c r="I37" s="1369"/>
      <c r="J37" s="1364"/>
      <c r="K37" s="1373" t="s">
        <v>884</v>
      </c>
      <c r="L37" s="1374" t="s">
        <v>883</v>
      </c>
      <c r="M37" s="1375"/>
      <c r="N37" s="1364"/>
      <c r="O37" s="1369" t="s">
        <v>883</v>
      </c>
      <c r="P37" s="1369" t="s">
        <v>883</v>
      </c>
      <c r="Q37" s="1376" t="s">
        <v>883</v>
      </c>
    </row>
    <row r="38" spans="1:18" x14ac:dyDescent="0.2">
      <c r="A38" s="1355" t="s">
        <v>885</v>
      </c>
      <c r="C38" s="1413" t="s">
        <v>886</v>
      </c>
      <c r="D38" s="1372"/>
      <c r="E38" s="1369"/>
      <c r="F38" s="1364"/>
      <c r="G38" s="1413" t="s">
        <v>887</v>
      </c>
      <c r="H38" s="1372"/>
      <c r="I38" s="1369"/>
      <c r="J38" s="1364"/>
      <c r="K38" s="1413" t="s">
        <v>888</v>
      </c>
      <c r="L38" s="1374"/>
      <c r="M38" s="1375"/>
      <c r="N38" s="1364"/>
      <c r="O38" s="1369"/>
      <c r="P38" s="1369"/>
      <c r="Q38" s="1376"/>
    </row>
    <row r="39" spans="1:18" x14ac:dyDescent="0.2">
      <c r="A39" s="1161" t="s">
        <v>863</v>
      </c>
      <c r="B39" s="1178"/>
      <c r="C39" s="1388">
        <v>4409</v>
      </c>
      <c r="D39" s="1389">
        <v>1327.62</v>
      </c>
      <c r="E39" s="1754"/>
      <c r="F39" s="1414"/>
      <c r="G39" s="1388">
        <v>84969</v>
      </c>
      <c r="H39" s="1389">
        <v>550.71</v>
      </c>
      <c r="I39" s="1754"/>
      <c r="J39" s="1397"/>
      <c r="K39" s="1388">
        <v>76733</v>
      </c>
      <c r="L39" s="1389">
        <v>2081.21</v>
      </c>
      <c r="M39" s="1393"/>
      <c r="N39" s="1397"/>
      <c r="O39" s="1415"/>
      <c r="P39" s="1416">
        <f t="shared" ref="P39:P42" si="5">SUM(D39,H39,L39,O39)</f>
        <v>3959.54</v>
      </c>
      <c r="Q39" s="1394">
        <v>79</v>
      </c>
      <c r="R39" s="1710">
        <f t="shared" ref="R39:R50" si="6">SUM(P39:Q39)</f>
        <v>4038.54</v>
      </c>
    </row>
    <row r="40" spans="1:18" x14ac:dyDescent="0.2">
      <c r="A40" s="1161" t="s">
        <v>864</v>
      </c>
      <c r="B40" s="1178"/>
      <c r="C40" s="1388"/>
      <c r="D40" s="1389">
        <v>1732.94</v>
      </c>
      <c r="E40" s="1754"/>
      <c r="F40" s="1414"/>
      <c r="G40" s="1388"/>
      <c r="H40" s="1389">
        <v>2337.4</v>
      </c>
      <c r="I40" s="1754"/>
      <c r="J40" s="1397"/>
      <c r="K40" s="1388"/>
      <c r="L40" s="1389">
        <v>2629.78</v>
      </c>
      <c r="M40" s="1393"/>
      <c r="N40" s="1397"/>
      <c r="O40" s="1415"/>
      <c r="P40" s="1416">
        <f t="shared" si="5"/>
        <v>6700.1200000000008</v>
      </c>
      <c r="Q40" s="1394">
        <v>554.85</v>
      </c>
      <c r="R40" s="1710">
        <f t="shared" si="6"/>
        <v>7254.9700000000012</v>
      </c>
    </row>
    <row r="41" spans="1:18" x14ac:dyDescent="0.2">
      <c r="A41" s="1161" t="s">
        <v>865</v>
      </c>
      <c r="B41" s="1178"/>
      <c r="C41" s="1388"/>
      <c r="D41" s="1389">
        <v>1232.28</v>
      </c>
      <c r="E41" s="1754"/>
      <c r="F41" s="1414"/>
      <c r="G41" s="1388"/>
      <c r="H41" s="1389">
        <v>1406.96</v>
      </c>
      <c r="I41" s="1754"/>
      <c r="J41" s="1397"/>
      <c r="K41" s="1388"/>
      <c r="L41" s="1389">
        <v>2154.09</v>
      </c>
      <c r="M41" s="1393"/>
      <c r="N41" s="1397"/>
      <c r="O41" s="1415"/>
      <c r="P41" s="1416">
        <f t="shared" si="5"/>
        <v>4793.33</v>
      </c>
      <c r="Q41" s="1394">
        <v>445.95</v>
      </c>
      <c r="R41" s="1710">
        <f t="shared" si="6"/>
        <v>5239.28</v>
      </c>
    </row>
    <row r="42" spans="1:18" x14ac:dyDescent="0.2">
      <c r="A42" s="1161" t="s">
        <v>866</v>
      </c>
      <c r="B42" s="1178"/>
      <c r="C42" s="1388"/>
      <c r="D42" s="1389">
        <v>936.43</v>
      </c>
      <c r="E42" s="1754"/>
      <c r="F42" s="1414"/>
      <c r="G42" s="1388"/>
      <c r="H42" s="1389">
        <v>2045.56</v>
      </c>
      <c r="I42" s="1754"/>
      <c r="J42" s="1397"/>
      <c r="K42" s="1388"/>
      <c r="L42" s="1389">
        <v>3968.04</v>
      </c>
      <c r="M42" s="1393"/>
      <c r="N42" s="1397"/>
      <c r="O42" s="1415"/>
      <c r="P42" s="1416">
        <f t="shared" si="5"/>
        <v>6950.03</v>
      </c>
      <c r="Q42" s="1394">
        <v>138.94999999999999</v>
      </c>
      <c r="R42" s="1710">
        <f t="shared" si="6"/>
        <v>7088.98</v>
      </c>
    </row>
    <row r="43" spans="1:18" x14ac:dyDescent="0.2">
      <c r="A43" s="1161" t="s">
        <v>867</v>
      </c>
      <c r="B43" s="1178"/>
      <c r="C43" s="1388"/>
      <c r="D43" s="1714">
        <v>1079.6400000000001</v>
      </c>
      <c r="E43" s="1754">
        <f>C43-C42</f>
        <v>0</v>
      </c>
      <c r="F43" s="1414" t="e">
        <f t="shared" ref="F43:F50" si="7">D43/E43</f>
        <v>#DIV/0!</v>
      </c>
      <c r="G43" s="1388"/>
      <c r="H43" s="1389">
        <v>1816.71</v>
      </c>
      <c r="I43" s="1754">
        <f>G43-G42</f>
        <v>0</v>
      </c>
      <c r="J43" s="1397" t="e">
        <f t="shared" ref="J43:J50" si="8">H43/I43</f>
        <v>#DIV/0!</v>
      </c>
      <c r="K43" s="1388"/>
      <c r="L43" s="1389">
        <v>3684.13</v>
      </c>
      <c r="M43" s="1393">
        <f>K43-K42</f>
        <v>0</v>
      </c>
      <c r="N43" s="1397" t="e">
        <f t="shared" ref="N43:N50" si="9">L43/M43</f>
        <v>#DIV/0!</v>
      </c>
      <c r="O43" s="1415">
        <v>175.02</v>
      </c>
      <c r="P43" s="1416">
        <f t="shared" ref="P43:P50" si="10">SUM(D43,H43,L43,O43)</f>
        <v>6755.5000000000009</v>
      </c>
      <c r="Q43" s="1394">
        <v>613.95000000000005</v>
      </c>
      <c r="R43" s="1710">
        <f t="shared" si="6"/>
        <v>7369.4500000000007</v>
      </c>
    </row>
    <row r="44" spans="1:18" x14ac:dyDescent="0.2">
      <c r="A44" s="1161" t="s">
        <v>868</v>
      </c>
      <c r="B44" s="1178"/>
      <c r="C44" s="1388"/>
      <c r="D44" s="1389"/>
      <c r="E44" s="1754">
        <f>C44-C43</f>
        <v>0</v>
      </c>
      <c r="F44" s="1414" t="e">
        <f t="shared" si="7"/>
        <v>#DIV/0!</v>
      </c>
      <c r="G44" s="1388"/>
      <c r="H44" s="1389"/>
      <c r="I44" s="1754">
        <f>G44-G43</f>
        <v>0</v>
      </c>
      <c r="J44" s="1397" t="e">
        <f t="shared" si="8"/>
        <v>#DIV/0!</v>
      </c>
      <c r="K44" s="1388"/>
      <c r="L44" s="1389"/>
      <c r="M44" s="1393">
        <f>K44-K43</f>
        <v>0</v>
      </c>
      <c r="N44" s="1397" t="e">
        <f t="shared" si="9"/>
        <v>#DIV/0!</v>
      </c>
      <c r="O44" s="1415"/>
      <c r="P44" s="1416">
        <f t="shared" si="10"/>
        <v>0</v>
      </c>
      <c r="Q44" s="1394"/>
      <c r="R44" s="1710">
        <f t="shared" si="6"/>
        <v>0</v>
      </c>
    </row>
    <row r="45" spans="1:18" x14ac:dyDescent="0.2">
      <c r="A45" s="1161" t="s">
        <v>857</v>
      </c>
      <c r="B45" s="1178"/>
      <c r="C45" s="1388"/>
      <c r="D45" s="1389"/>
      <c r="E45" s="1754">
        <f>C45-C44</f>
        <v>0</v>
      </c>
      <c r="F45" s="1414" t="e">
        <f t="shared" si="7"/>
        <v>#DIV/0!</v>
      </c>
      <c r="G45" s="1388"/>
      <c r="H45" s="1389"/>
      <c r="I45" s="1754">
        <f>G45-G44</f>
        <v>0</v>
      </c>
      <c r="J45" s="1397" t="e">
        <f t="shared" si="8"/>
        <v>#DIV/0!</v>
      </c>
      <c r="K45" s="1388"/>
      <c r="L45" s="1389"/>
      <c r="M45" s="1393">
        <f>K45-K44</f>
        <v>0</v>
      </c>
      <c r="N45" s="1397" t="e">
        <f t="shared" si="9"/>
        <v>#DIV/0!</v>
      </c>
      <c r="O45" s="1415"/>
      <c r="P45" s="1416">
        <f t="shared" si="10"/>
        <v>0</v>
      </c>
      <c r="Q45" s="1394"/>
      <c r="R45" s="1710">
        <f t="shared" si="6"/>
        <v>0</v>
      </c>
    </row>
    <row r="46" spans="1:18" x14ac:dyDescent="0.2">
      <c r="A46" s="1161" t="s">
        <v>858</v>
      </c>
      <c r="B46" s="1178"/>
      <c r="C46" s="1388"/>
      <c r="D46" s="1389"/>
      <c r="E46" s="1754">
        <f>C46-C45</f>
        <v>0</v>
      </c>
      <c r="F46" s="1414" t="e">
        <f t="shared" si="7"/>
        <v>#DIV/0!</v>
      </c>
      <c r="G46" s="1388"/>
      <c r="H46" s="1389"/>
      <c r="I46" s="1754">
        <f>G46-G45</f>
        <v>0</v>
      </c>
      <c r="J46" s="1397" t="e">
        <f t="shared" si="8"/>
        <v>#DIV/0!</v>
      </c>
      <c r="K46" s="1388"/>
      <c r="L46" s="1389"/>
      <c r="M46" s="1393">
        <f>K46-K45</f>
        <v>0</v>
      </c>
      <c r="N46" s="1397" t="e">
        <f t="shared" si="9"/>
        <v>#DIV/0!</v>
      </c>
      <c r="O46" s="1415"/>
      <c r="P46" s="1416">
        <f t="shared" si="10"/>
        <v>0</v>
      </c>
      <c r="Q46" s="1394"/>
      <c r="R46" s="1710">
        <f t="shared" si="6"/>
        <v>0</v>
      </c>
    </row>
    <row r="47" spans="1:18" x14ac:dyDescent="0.2">
      <c r="A47" s="1161" t="s">
        <v>859</v>
      </c>
      <c r="B47" s="1178"/>
      <c r="C47" s="1388"/>
      <c r="D47" s="1389"/>
      <c r="E47" s="1754"/>
      <c r="F47" s="1414" t="e">
        <f t="shared" si="7"/>
        <v>#DIV/0!</v>
      </c>
      <c r="G47" s="1388"/>
      <c r="H47" s="1389"/>
      <c r="I47" s="1754"/>
      <c r="J47" s="1397" t="e">
        <f t="shared" si="8"/>
        <v>#DIV/0!</v>
      </c>
      <c r="K47" s="1388"/>
      <c r="L47" s="1389"/>
      <c r="M47" s="1393"/>
      <c r="N47" s="1397" t="e">
        <f t="shared" si="9"/>
        <v>#DIV/0!</v>
      </c>
      <c r="O47" s="1415"/>
      <c r="P47" s="1416">
        <f t="shared" si="10"/>
        <v>0</v>
      </c>
      <c r="Q47" s="1394"/>
      <c r="R47" s="1710">
        <f t="shared" si="6"/>
        <v>0</v>
      </c>
    </row>
    <row r="48" spans="1:18" x14ac:dyDescent="0.2">
      <c r="A48" s="1161" t="s">
        <v>860</v>
      </c>
      <c r="B48" s="1178"/>
      <c r="C48" s="1388"/>
      <c r="D48" s="1389"/>
      <c r="E48" s="1754"/>
      <c r="F48" s="1414" t="e">
        <f t="shared" si="7"/>
        <v>#DIV/0!</v>
      </c>
      <c r="G48" s="1388"/>
      <c r="H48" s="1389"/>
      <c r="I48" s="1754"/>
      <c r="J48" s="1397" t="e">
        <f t="shared" si="8"/>
        <v>#DIV/0!</v>
      </c>
      <c r="K48" s="1388"/>
      <c r="L48" s="1389"/>
      <c r="M48" s="1393"/>
      <c r="N48" s="1397" t="e">
        <f t="shared" si="9"/>
        <v>#DIV/0!</v>
      </c>
      <c r="O48" s="1415"/>
      <c r="P48" s="1416">
        <f t="shared" si="10"/>
        <v>0</v>
      </c>
      <c r="Q48" s="1546"/>
      <c r="R48" s="1710">
        <f t="shared" si="6"/>
        <v>0</v>
      </c>
    </row>
    <row r="49" spans="1:18" x14ac:dyDescent="0.2">
      <c r="A49" s="1161" t="s">
        <v>861</v>
      </c>
      <c r="B49" s="1178"/>
      <c r="C49" s="1388"/>
      <c r="D49" s="1389"/>
      <c r="E49" s="1754"/>
      <c r="F49" s="1414" t="e">
        <f t="shared" si="7"/>
        <v>#DIV/0!</v>
      </c>
      <c r="G49" s="1388"/>
      <c r="H49" s="1389"/>
      <c r="I49" s="1754"/>
      <c r="J49" s="1397" t="e">
        <f t="shared" si="8"/>
        <v>#DIV/0!</v>
      </c>
      <c r="K49" s="1388"/>
      <c r="L49" s="1389"/>
      <c r="M49" s="1393"/>
      <c r="N49" s="1397" t="e">
        <f t="shared" si="9"/>
        <v>#DIV/0!</v>
      </c>
      <c r="O49" s="1415"/>
      <c r="P49" s="1416">
        <f t="shared" si="10"/>
        <v>0</v>
      </c>
      <c r="Q49" s="1394"/>
      <c r="R49" s="1710">
        <f t="shared" si="6"/>
        <v>0</v>
      </c>
    </row>
    <row r="50" spans="1:18" ht="13.5" thickBot="1" x14ac:dyDescent="0.25">
      <c r="A50" s="1400" t="s">
        <v>862</v>
      </c>
      <c r="B50" s="1178"/>
      <c r="C50" s="1402"/>
      <c r="D50" s="1389"/>
      <c r="E50" s="1754"/>
      <c r="F50" s="1414" t="e">
        <f t="shared" si="7"/>
        <v>#DIV/0!</v>
      </c>
      <c r="G50" s="1402"/>
      <c r="H50" s="1389"/>
      <c r="I50" s="1754"/>
      <c r="J50" s="1397" t="e">
        <f t="shared" si="8"/>
        <v>#DIV/0!</v>
      </c>
      <c r="K50" s="1402"/>
      <c r="L50" s="1389"/>
      <c r="M50" s="1393"/>
      <c r="N50" s="1397" t="e">
        <f t="shared" si="9"/>
        <v>#DIV/0!</v>
      </c>
      <c r="O50" s="1415"/>
      <c r="P50" s="1416">
        <f t="shared" si="10"/>
        <v>0</v>
      </c>
      <c r="Q50" s="1403"/>
      <c r="R50" s="1710">
        <f t="shared" si="6"/>
        <v>0</v>
      </c>
    </row>
    <row r="51" spans="1:18" ht="13.5" thickBot="1" x14ac:dyDescent="0.25">
      <c r="A51" s="1356" t="s">
        <v>329</v>
      </c>
      <c r="C51" s="1404"/>
      <c r="D51" s="1713">
        <f>SUM(D39:D50)</f>
        <v>6308.9100000000008</v>
      </c>
      <c r="E51" s="1407">
        <f>SUM(E39:E50)</f>
        <v>0</v>
      </c>
      <c r="F51" s="1414" t="e">
        <f>SUM(D51/E51)</f>
        <v>#DIV/0!</v>
      </c>
      <c r="G51" s="1712"/>
      <c r="H51" s="1406">
        <f>SUM(H39:H50)</f>
        <v>8157.3399999999992</v>
      </c>
      <c r="I51" s="1407">
        <f>SUM(I39:I50)</f>
        <v>0</v>
      </c>
      <c r="J51" s="1417" t="e">
        <f>SUM(J39:J50)</f>
        <v>#DIV/0!</v>
      </c>
      <c r="K51" s="1712"/>
      <c r="L51" s="1406">
        <f>SUM(L39:L50)</f>
        <v>14517.25</v>
      </c>
      <c r="M51" s="1418">
        <f>SUM(M39:M50)</f>
        <v>0</v>
      </c>
      <c r="N51" s="1410" t="e">
        <f>SUM(N39:N50)</f>
        <v>#DIV/0!</v>
      </c>
      <c r="O51" s="1711"/>
      <c r="P51" s="1710">
        <f>SUM(P39:P50)</f>
        <v>29158.52</v>
      </c>
      <c r="Q51" s="1710">
        <f t="shared" ref="Q51" si="11">SUM(Q39:Q50)</f>
        <v>1832.7</v>
      </c>
      <c r="R51" s="1710">
        <f>SUM(P51:Q51)</f>
        <v>30991.22</v>
      </c>
    </row>
    <row r="58" spans="1:18" x14ac:dyDescent="0.2">
      <c r="J58" s="1118">
        <v>59</v>
      </c>
    </row>
  </sheetData>
  <pageMargins left="0" right="0" top="0" bottom="0" header="0" footer="0"/>
  <pageSetup paperSize="9" scale="75" orientation="landscape" horizontalDpi="300" verticalDpi="30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22">
    <tabColor indexed="35"/>
  </sheetPr>
  <dimension ref="A2:Q58"/>
  <sheetViews>
    <sheetView topLeftCell="C28" zoomScale="75" workbookViewId="0">
      <selection activeCell="Q50" sqref="Q50"/>
    </sheetView>
  </sheetViews>
  <sheetFormatPr defaultRowHeight="12.75" x14ac:dyDescent="0.2"/>
  <cols>
    <col min="1" max="2" width="9.140625" style="1118"/>
    <col min="3" max="3" width="17.28515625" style="1118" customWidth="1"/>
    <col min="4" max="5" width="9" style="1118" customWidth="1"/>
    <col min="6" max="6" width="11" style="1118" customWidth="1"/>
    <col min="7" max="7" width="19.42578125" style="1118" customWidth="1"/>
    <col min="8" max="8" width="10.5703125" style="1118" customWidth="1"/>
    <col min="9" max="9" width="9.85546875" style="1118" customWidth="1"/>
    <col min="10" max="10" width="11.85546875" style="1118" customWidth="1"/>
    <col min="11" max="11" width="19" style="1118" customWidth="1"/>
    <col min="12" max="12" width="9.7109375" style="1118" customWidth="1"/>
    <col min="13" max="13" width="9" style="1118" customWidth="1"/>
    <col min="14" max="15" width="10.42578125" style="1118" customWidth="1"/>
    <col min="16" max="16384" width="9.140625" style="1118"/>
  </cols>
  <sheetData>
    <row r="2" spans="1:17" ht="23.25" x14ac:dyDescent="0.35">
      <c r="G2" s="1752" t="s">
        <v>856</v>
      </c>
    </row>
    <row r="3" spans="1:17" ht="13.5" thickBot="1" x14ac:dyDescent="0.25"/>
    <row r="4" spans="1:17" ht="27.95" customHeight="1" x14ac:dyDescent="0.2">
      <c r="A4" s="1274"/>
      <c r="B4" s="1275"/>
      <c r="C4" s="1348" t="s">
        <v>869</v>
      </c>
      <c r="D4" s="1349"/>
      <c r="E4" s="1350"/>
      <c r="F4" s="1351"/>
      <c r="G4" s="1348" t="s">
        <v>870</v>
      </c>
      <c r="H4" s="1349"/>
      <c r="I4" s="1350"/>
      <c r="J4" s="1351"/>
      <c r="K4" s="1348" t="s">
        <v>871</v>
      </c>
      <c r="L4" s="1352"/>
      <c r="M4" s="1353"/>
      <c r="N4" s="1351"/>
      <c r="O4" s="1350"/>
      <c r="P4" s="1350"/>
      <c r="Q4" s="1354"/>
    </row>
    <row r="5" spans="1:17" ht="27.95" customHeight="1" x14ac:dyDescent="0.2">
      <c r="A5" s="1355"/>
      <c r="C5" s="1356"/>
      <c r="D5" s="1357"/>
      <c r="E5" s="1279"/>
      <c r="F5" s="1358"/>
      <c r="G5" s="1359" t="s">
        <v>872</v>
      </c>
      <c r="H5" s="1357"/>
      <c r="I5" s="1279"/>
      <c r="J5" s="1358"/>
      <c r="K5" s="1359" t="s">
        <v>872</v>
      </c>
      <c r="L5" s="1360"/>
      <c r="M5" s="1361"/>
      <c r="N5" s="1358"/>
      <c r="O5" s="1279"/>
      <c r="P5" s="1362"/>
      <c r="Q5" s="1358"/>
    </row>
    <row r="6" spans="1:17" ht="27.95" customHeight="1" x14ac:dyDescent="0.2">
      <c r="A6" s="1355"/>
      <c r="C6" s="1356"/>
      <c r="D6" s="1357"/>
      <c r="E6" s="1279"/>
      <c r="F6" s="1358"/>
      <c r="G6" s="1359" t="s">
        <v>873</v>
      </c>
      <c r="H6" s="1357"/>
      <c r="I6" s="1279"/>
      <c r="J6" s="1358"/>
      <c r="K6" s="1359" t="s">
        <v>873</v>
      </c>
      <c r="L6" s="1360"/>
      <c r="M6" s="1361"/>
      <c r="N6" s="1358"/>
      <c r="O6" s="1279"/>
      <c r="P6" s="1362"/>
      <c r="Q6" s="1358"/>
    </row>
    <row r="7" spans="1:17" ht="17.100000000000001" customHeight="1" x14ac:dyDescent="0.2">
      <c r="A7" s="1355"/>
      <c r="C7" s="1359" t="s">
        <v>874</v>
      </c>
      <c r="D7" s="1363"/>
      <c r="E7" s="1362"/>
      <c r="F7" s="1364"/>
      <c r="G7" s="1365" t="s">
        <v>875</v>
      </c>
      <c r="H7" s="1363"/>
      <c r="I7" s="1362"/>
      <c r="J7" s="1364"/>
      <c r="K7" s="1365" t="s">
        <v>875</v>
      </c>
      <c r="L7" s="1366"/>
      <c r="M7" s="1367"/>
      <c r="N7" s="1364"/>
      <c r="O7" s="1362"/>
      <c r="P7" s="1362" t="s">
        <v>889</v>
      </c>
      <c r="Q7" s="1358" t="s">
        <v>889</v>
      </c>
    </row>
    <row r="8" spans="1:17" ht="24" customHeight="1" x14ac:dyDescent="0.2">
      <c r="A8" s="1355"/>
      <c r="C8" s="1359"/>
      <c r="D8" s="1368" t="s">
        <v>876</v>
      </c>
      <c r="E8" s="1369" t="s">
        <v>877</v>
      </c>
      <c r="F8" s="1364" t="s">
        <v>878</v>
      </c>
      <c r="G8" s="1359" t="s">
        <v>879</v>
      </c>
      <c r="H8" s="1368" t="s">
        <v>876</v>
      </c>
      <c r="I8" s="1369" t="s">
        <v>877</v>
      </c>
      <c r="J8" s="1364" t="s">
        <v>878</v>
      </c>
      <c r="K8" s="1359" t="s">
        <v>879</v>
      </c>
      <c r="L8" s="1370" t="s">
        <v>876</v>
      </c>
      <c r="M8" s="1369" t="s">
        <v>877</v>
      </c>
      <c r="N8" s="1364" t="s">
        <v>878</v>
      </c>
      <c r="O8" s="1362"/>
      <c r="P8" s="1371" t="s">
        <v>876</v>
      </c>
      <c r="Q8" s="1358" t="s">
        <v>882</v>
      </c>
    </row>
    <row r="9" spans="1:17" ht="17.100000000000001" customHeight="1" thickBot="1" x14ac:dyDescent="0.25">
      <c r="A9" s="1355"/>
      <c r="C9" s="1359"/>
      <c r="D9" s="1372" t="s">
        <v>883</v>
      </c>
      <c r="E9" s="1369"/>
      <c r="F9" s="1364"/>
      <c r="G9" s="1373" t="s">
        <v>884</v>
      </c>
      <c r="H9" s="1372" t="s">
        <v>883</v>
      </c>
      <c r="I9" s="1369"/>
      <c r="J9" s="1364"/>
      <c r="K9" s="1373" t="s">
        <v>884</v>
      </c>
      <c r="L9" s="1374" t="s">
        <v>883</v>
      </c>
      <c r="M9" s="1375"/>
      <c r="N9" s="1364"/>
      <c r="O9" s="1362"/>
      <c r="P9" s="1369" t="s">
        <v>883</v>
      </c>
      <c r="Q9" s="1376" t="s">
        <v>883</v>
      </c>
    </row>
    <row r="10" spans="1:17" ht="17.100000000000001" customHeight="1" x14ac:dyDescent="0.2">
      <c r="A10" s="1377" t="s">
        <v>857</v>
      </c>
      <c r="B10" s="1282">
        <v>2007</v>
      </c>
      <c r="C10" s="1378"/>
      <c r="D10" s="1379"/>
      <c r="E10" s="1380"/>
      <c r="F10" s="1381"/>
      <c r="G10" s="1382"/>
      <c r="H10" s="1383"/>
      <c r="I10" s="1380"/>
      <c r="J10" s="1384"/>
      <c r="K10" s="1382"/>
      <c r="L10" s="1379"/>
      <c r="M10" s="1385"/>
      <c r="N10" s="1384"/>
      <c r="O10" s="1380"/>
      <c r="P10" s="1386"/>
      <c r="Q10" s="1387"/>
    </row>
    <row r="11" spans="1:17" ht="17.100000000000001" customHeight="1" x14ac:dyDescent="0.2">
      <c r="A11" s="1161" t="s">
        <v>858</v>
      </c>
      <c r="B11" s="1178">
        <v>2007</v>
      </c>
      <c r="C11" s="1388"/>
      <c r="D11" s="1389"/>
      <c r="E11" s="1754"/>
      <c r="F11" s="1390"/>
      <c r="G11" s="1391"/>
      <c r="H11" s="1392"/>
      <c r="I11" s="1754"/>
      <c r="J11" s="1163"/>
      <c r="K11" s="1391"/>
      <c r="L11" s="1389"/>
      <c r="M11" s="1393"/>
      <c r="N11" s="1163"/>
      <c r="O11" s="1754"/>
      <c r="P11" s="1184">
        <v>1380</v>
      </c>
      <c r="Q11" s="1394"/>
    </row>
    <row r="12" spans="1:17" ht="17.100000000000001" customHeight="1" x14ac:dyDescent="0.2">
      <c r="A12" s="1161" t="s">
        <v>859</v>
      </c>
      <c r="B12" s="1178">
        <v>2007</v>
      </c>
      <c r="C12" s="1388"/>
      <c r="D12" s="1389"/>
      <c r="E12" s="1754"/>
      <c r="F12" s="1390"/>
      <c r="G12" s="1391"/>
      <c r="H12" s="1392"/>
      <c r="I12" s="1754"/>
      <c r="J12" s="1163"/>
      <c r="K12" s="1391"/>
      <c r="L12" s="1389"/>
      <c r="M12" s="1393"/>
      <c r="N12" s="1163"/>
      <c r="O12" s="1754"/>
      <c r="P12" s="1184"/>
      <c r="Q12" s="1394"/>
    </row>
    <row r="13" spans="1:17" ht="17.100000000000001" customHeight="1" x14ac:dyDescent="0.2">
      <c r="A13" s="1161" t="s">
        <v>860</v>
      </c>
      <c r="B13" s="1178">
        <v>2007</v>
      </c>
      <c r="C13" s="1388"/>
      <c r="D13" s="1389"/>
      <c r="E13" s="1754"/>
      <c r="F13" s="1390"/>
      <c r="G13" s="1391"/>
      <c r="H13" s="1392"/>
      <c r="I13" s="1754"/>
      <c r="J13" s="1163"/>
      <c r="K13" s="1391"/>
      <c r="L13" s="1389"/>
      <c r="M13" s="1393"/>
      <c r="N13" s="1163"/>
      <c r="O13" s="1754"/>
      <c r="P13" s="1184"/>
      <c r="Q13" s="1394"/>
    </row>
    <row r="14" spans="1:17" ht="17.100000000000001" customHeight="1" x14ac:dyDescent="0.2">
      <c r="A14" s="1161" t="s">
        <v>861</v>
      </c>
      <c r="B14" s="1178">
        <v>2007</v>
      </c>
      <c r="C14" s="1388"/>
      <c r="D14" s="1389"/>
      <c r="E14" s="1754"/>
      <c r="F14" s="1390"/>
      <c r="G14" s="1391"/>
      <c r="H14" s="1392"/>
      <c r="I14" s="1754"/>
      <c r="J14" s="1163"/>
      <c r="K14" s="1391"/>
      <c r="L14" s="1389"/>
      <c r="M14" s="1393"/>
      <c r="N14" s="1163"/>
      <c r="O14" s="1754"/>
      <c r="P14" s="1184"/>
      <c r="Q14" s="1394">
        <v>520</v>
      </c>
    </row>
    <row r="15" spans="1:17" ht="17.100000000000001" customHeight="1" x14ac:dyDescent="0.2">
      <c r="A15" s="1161" t="s">
        <v>862</v>
      </c>
      <c r="B15" s="1178">
        <v>2007</v>
      </c>
      <c r="C15" s="1388"/>
      <c r="D15" s="1389"/>
      <c r="E15" s="1754"/>
      <c r="F15" s="1390"/>
      <c r="G15" s="1391"/>
      <c r="H15" s="1392"/>
      <c r="I15" s="1754"/>
      <c r="J15" s="1163"/>
      <c r="K15" s="1391"/>
      <c r="L15" s="1389"/>
      <c r="M15" s="1393"/>
      <c r="N15" s="1163"/>
      <c r="O15" s="1754"/>
      <c r="P15" s="1184"/>
      <c r="Q15" s="1394">
        <v>99</v>
      </c>
    </row>
    <row r="16" spans="1:17" ht="17.100000000000001" customHeight="1" x14ac:dyDescent="0.2">
      <c r="A16" s="1161" t="s">
        <v>863</v>
      </c>
      <c r="B16" s="1178">
        <v>2008</v>
      </c>
      <c r="C16" s="1388"/>
      <c r="D16" s="1389"/>
      <c r="E16" s="1754"/>
      <c r="F16" s="1390"/>
      <c r="G16" s="1391"/>
      <c r="H16" s="1392"/>
      <c r="I16" s="1754"/>
      <c r="J16" s="1163"/>
      <c r="K16" s="1391"/>
      <c r="L16" s="1389"/>
      <c r="M16" s="1393"/>
      <c r="N16" s="1163"/>
      <c r="O16" s="1754"/>
      <c r="P16" s="1184"/>
      <c r="Q16" s="1394">
        <v>270</v>
      </c>
    </row>
    <row r="17" spans="1:17" ht="17.100000000000001" customHeight="1" x14ac:dyDescent="0.2">
      <c r="A17" s="1161" t="s">
        <v>864</v>
      </c>
      <c r="B17" s="1178">
        <v>2008</v>
      </c>
      <c r="C17" s="1388"/>
      <c r="D17" s="1389"/>
      <c r="E17" s="1754"/>
      <c r="F17" s="1390"/>
      <c r="G17" s="1391"/>
      <c r="H17" s="1392"/>
      <c r="I17" s="1754"/>
      <c r="J17" s="1163"/>
      <c r="K17" s="1391"/>
      <c r="L17" s="1389"/>
      <c r="M17" s="1393"/>
      <c r="N17" s="1163"/>
      <c r="O17" s="1754"/>
      <c r="P17" s="1184"/>
      <c r="Q17" s="1394">
        <v>550</v>
      </c>
    </row>
    <row r="18" spans="1:17" ht="17.100000000000001" customHeight="1" x14ac:dyDescent="0.2">
      <c r="A18" s="1161" t="s">
        <v>865</v>
      </c>
      <c r="B18" s="1178">
        <v>2008</v>
      </c>
      <c r="C18" s="1388"/>
      <c r="D18" s="1389"/>
      <c r="E18" s="1754"/>
      <c r="F18" s="1390"/>
      <c r="G18" s="1391"/>
      <c r="H18" s="1392"/>
      <c r="I18" s="1754"/>
      <c r="J18" s="1163"/>
      <c r="K18" s="1391"/>
      <c r="L18" s="1389"/>
      <c r="M18" s="1393"/>
      <c r="N18" s="1163"/>
      <c r="O18" s="1754"/>
      <c r="P18" s="1184"/>
      <c r="Q18" s="1394">
        <v>200</v>
      </c>
    </row>
    <row r="19" spans="1:17" ht="17.100000000000001" customHeight="1" x14ac:dyDescent="0.2">
      <c r="A19" s="1161" t="s">
        <v>866</v>
      </c>
      <c r="B19" s="1178">
        <v>2008</v>
      </c>
      <c r="C19" s="1388"/>
      <c r="D19" s="1389"/>
      <c r="E19" s="1754"/>
      <c r="F19" s="1390"/>
      <c r="G19" s="1391"/>
      <c r="H19" s="1392"/>
      <c r="I19" s="1754"/>
      <c r="J19" s="1163"/>
      <c r="K19" s="1391"/>
      <c r="L19" s="1389"/>
      <c r="M19" s="1393"/>
      <c r="N19" s="1163"/>
      <c r="O19" s="1754"/>
      <c r="P19" s="1184"/>
      <c r="Q19" s="1394">
        <v>249</v>
      </c>
    </row>
    <row r="20" spans="1:17" ht="17.100000000000001" customHeight="1" x14ac:dyDescent="0.2">
      <c r="A20" s="1161" t="s">
        <v>867</v>
      </c>
      <c r="B20" s="1178">
        <v>2008</v>
      </c>
      <c r="C20" s="1388"/>
      <c r="D20" s="1389"/>
      <c r="E20" s="1754"/>
      <c r="F20" s="1390" t="e">
        <f>SUM(C20/D20)</f>
        <v>#DIV/0!</v>
      </c>
      <c r="G20" s="1388"/>
      <c r="H20" s="1389"/>
      <c r="I20" s="1754"/>
      <c r="J20" s="1395"/>
      <c r="K20" s="1391"/>
      <c r="L20" s="1389"/>
      <c r="M20" s="1393"/>
      <c r="N20" s="1395" t="e">
        <f>SUM(K20/L20)</f>
        <v>#DIV/0!</v>
      </c>
      <c r="O20" s="1396"/>
      <c r="P20" s="1184"/>
      <c r="Q20" s="1394">
        <v>129</v>
      </c>
    </row>
    <row r="21" spans="1:17" ht="17.100000000000001" customHeight="1" x14ac:dyDescent="0.2">
      <c r="A21" s="1161" t="s">
        <v>868</v>
      </c>
      <c r="B21" s="1178">
        <v>2008</v>
      </c>
      <c r="C21" s="1388"/>
      <c r="D21" s="1389"/>
      <c r="E21" s="1754">
        <f>SUM(C21-C20)</f>
        <v>0</v>
      </c>
      <c r="F21" s="1390" t="e">
        <f>SUM(D21/E21)</f>
        <v>#DIV/0!</v>
      </c>
      <c r="G21" s="1388"/>
      <c r="H21" s="1389"/>
      <c r="I21" s="1754">
        <f>SUM(G21-G20)</f>
        <v>0</v>
      </c>
      <c r="J21" s="1397" t="e">
        <f>SUM(H21/I21)</f>
        <v>#DIV/0!</v>
      </c>
      <c r="K21" s="1391"/>
      <c r="L21" s="1389"/>
      <c r="M21" s="1393"/>
      <c r="N21" s="1395" t="e">
        <f>SUM(K21/L21)</f>
        <v>#DIV/0!</v>
      </c>
      <c r="O21" s="1396"/>
      <c r="P21" s="1184"/>
      <c r="Q21" s="1394">
        <v>660</v>
      </c>
    </row>
    <row r="22" spans="1:17" ht="17.100000000000001" customHeight="1" x14ac:dyDescent="0.2">
      <c r="A22" s="1161" t="s">
        <v>857</v>
      </c>
      <c r="B22" s="1178">
        <v>2008</v>
      </c>
      <c r="C22" s="1388"/>
      <c r="D22" s="1389"/>
      <c r="E22" s="1754">
        <f t="shared" ref="E22:E27" si="0">SUM(C22-C21)</f>
        <v>0</v>
      </c>
      <c r="F22" s="1390" t="e">
        <f t="shared" ref="F22:F28" si="1">SUM(D22/E22)</f>
        <v>#DIV/0!</v>
      </c>
      <c r="G22" s="1388"/>
      <c r="H22" s="1389"/>
      <c r="I22" s="1754">
        <f t="shared" ref="I22:I27" si="2">SUM(G22-G21)</f>
        <v>0</v>
      </c>
      <c r="J22" s="1397" t="e">
        <f t="shared" ref="J22:J27" si="3">SUM(H22/I22)</f>
        <v>#DIV/0!</v>
      </c>
      <c r="K22" s="1388"/>
      <c r="L22" s="1389"/>
      <c r="M22" s="1393"/>
      <c r="N22" s="1395" t="e">
        <f t="shared" ref="N22:N27" si="4">SUM(L22/M22)</f>
        <v>#DIV/0!</v>
      </c>
      <c r="O22" s="1396"/>
      <c r="P22" s="1184"/>
      <c r="Q22" s="1394">
        <v>550</v>
      </c>
    </row>
    <row r="23" spans="1:17" ht="17.100000000000001" customHeight="1" x14ac:dyDescent="0.2">
      <c r="A23" s="1161" t="s">
        <v>858</v>
      </c>
      <c r="B23" s="1178">
        <v>2008</v>
      </c>
      <c r="C23" s="1388"/>
      <c r="D23" s="1389"/>
      <c r="E23" s="1398">
        <f t="shared" si="0"/>
        <v>0</v>
      </c>
      <c r="F23" s="1399" t="e">
        <f t="shared" si="1"/>
        <v>#DIV/0!</v>
      </c>
      <c r="G23" s="1388"/>
      <c r="H23" s="1389"/>
      <c r="I23" s="1754">
        <f t="shared" si="2"/>
        <v>0</v>
      </c>
      <c r="J23" s="1397" t="e">
        <f t="shared" si="3"/>
        <v>#DIV/0!</v>
      </c>
      <c r="K23" s="1388"/>
      <c r="L23" s="1389"/>
      <c r="M23" s="1393"/>
      <c r="N23" s="1395" t="e">
        <f t="shared" si="4"/>
        <v>#DIV/0!</v>
      </c>
      <c r="O23" s="1396"/>
      <c r="P23" s="1184"/>
      <c r="Q23" s="1394">
        <v>230</v>
      </c>
    </row>
    <row r="24" spans="1:17" ht="17.100000000000001" customHeight="1" x14ac:dyDescent="0.2">
      <c r="A24" s="1161" t="s">
        <v>859</v>
      </c>
      <c r="B24" s="1178">
        <v>2008</v>
      </c>
      <c r="C24" s="1388"/>
      <c r="D24" s="1389"/>
      <c r="E24" s="1398">
        <f t="shared" si="0"/>
        <v>0</v>
      </c>
      <c r="F24" s="1399" t="e">
        <f t="shared" si="1"/>
        <v>#DIV/0!</v>
      </c>
      <c r="G24" s="1388"/>
      <c r="H24" s="1389"/>
      <c r="I24" s="1754">
        <f t="shared" si="2"/>
        <v>0</v>
      </c>
      <c r="J24" s="1397" t="e">
        <f t="shared" si="3"/>
        <v>#DIV/0!</v>
      </c>
      <c r="K24" s="1388"/>
      <c r="L24" s="1389"/>
      <c r="M24" s="1393"/>
      <c r="N24" s="1395" t="e">
        <f t="shared" si="4"/>
        <v>#DIV/0!</v>
      </c>
      <c r="O24" s="1396"/>
      <c r="P24" s="1184"/>
      <c r="Q24" s="1394">
        <v>290</v>
      </c>
    </row>
    <row r="25" spans="1:17" ht="17.100000000000001" customHeight="1" x14ac:dyDescent="0.2">
      <c r="A25" s="1161" t="s">
        <v>860</v>
      </c>
      <c r="B25" s="1178">
        <v>2008</v>
      </c>
      <c r="C25" s="1388"/>
      <c r="D25" s="1389"/>
      <c r="E25" s="1398">
        <f t="shared" si="0"/>
        <v>0</v>
      </c>
      <c r="F25" s="1399" t="e">
        <f t="shared" si="1"/>
        <v>#DIV/0!</v>
      </c>
      <c r="G25" s="1388"/>
      <c r="H25" s="1389"/>
      <c r="I25" s="1754">
        <f t="shared" si="2"/>
        <v>0</v>
      </c>
      <c r="J25" s="1397" t="e">
        <f t="shared" si="3"/>
        <v>#DIV/0!</v>
      </c>
      <c r="K25" s="1388"/>
      <c r="L25" s="1389"/>
      <c r="M25" s="1393"/>
      <c r="N25" s="1395" t="e">
        <f t="shared" si="4"/>
        <v>#DIV/0!</v>
      </c>
      <c r="O25" s="1396"/>
      <c r="P25" s="1184"/>
      <c r="Q25" s="1394"/>
    </row>
    <row r="26" spans="1:17" ht="17.100000000000001" customHeight="1" x14ac:dyDescent="0.2">
      <c r="A26" s="1161" t="s">
        <v>861</v>
      </c>
      <c r="B26" s="1178">
        <v>2008</v>
      </c>
      <c r="C26" s="1388"/>
      <c r="D26" s="1389"/>
      <c r="E26" s="1398">
        <f t="shared" si="0"/>
        <v>0</v>
      </c>
      <c r="F26" s="1399" t="e">
        <f t="shared" si="1"/>
        <v>#DIV/0!</v>
      </c>
      <c r="G26" s="1388"/>
      <c r="H26" s="1389"/>
      <c r="I26" s="1754">
        <f t="shared" si="2"/>
        <v>0</v>
      </c>
      <c r="J26" s="1397" t="e">
        <f t="shared" si="3"/>
        <v>#DIV/0!</v>
      </c>
      <c r="K26" s="1388"/>
      <c r="L26" s="1389"/>
      <c r="M26" s="1393"/>
      <c r="N26" s="1395" t="e">
        <f t="shared" si="4"/>
        <v>#DIV/0!</v>
      </c>
      <c r="O26" s="1396"/>
      <c r="P26" s="1184"/>
      <c r="Q26" s="1394">
        <v>209</v>
      </c>
    </row>
    <row r="27" spans="1:17" ht="17.100000000000001" customHeight="1" thickBot="1" x14ac:dyDescent="0.25">
      <c r="A27" s="1400" t="s">
        <v>862</v>
      </c>
      <c r="B27" s="1401">
        <v>2008</v>
      </c>
      <c r="C27" s="1402"/>
      <c r="D27" s="1389"/>
      <c r="E27" s="1398">
        <f t="shared" si="0"/>
        <v>0</v>
      </c>
      <c r="F27" s="1399" t="e">
        <f t="shared" si="1"/>
        <v>#DIV/0!</v>
      </c>
      <c r="G27" s="1402"/>
      <c r="H27" s="1389"/>
      <c r="I27" s="1754">
        <f t="shared" si="2"/>
        <v>0</v>
      </c>
      <c r="J27" s="1397" t="e">
        <f t="shared" si="3"/>
        <v>#DIV/0!</v>
      </c>
      <c r="K27" s="1402"/>
      <c r="L27" s="1389"/>
      <c r="M27" s="1393"/>
      <c r="N27" s="1395" t="e">
        <f t="shared" si="4"/>
        <v>#DIV/0!</v>
      </c>
      <c r="O27" s="1396"/>
      <c r="P27" s="1184"/>
      <c r="Q27" s="1403">
        <v>550</v>
      </c>
    </row>
    <row r="28" spans="1:17" ht="13.5" thickBot="1" x14ac:dyDescent="0.25">
      <c r="A28" s="1356" t="s">
        <v>329</v>
      </c>
      <c r="C28" s="1404"/>
      <c r="D28" s="1405">
        <f>SUM(D10:D27)</f>
        <v>0</v>
      </c>
      <c r="E28" s="1173"/>
      <c r="F28" s="1390" t="e">
        <f t="shared" si="1"/>
        <v>#DIV/0!</v>
      </c>
      <c r="G28" s="1404"/>
      <c r="H28" s="1406"/>
      <c r="I28" s="1407">
        <f>SUM(I20:I27)</f>
        <v>0</v>
      </c>
      <c r="J28" s="1408"/>
      <c r="K28" s="1404"/>
      <c r="L28" s="1406">
        <f>SUM(L10:L27)</f>
        <v>0</v>
      </c>
      <c r="M28" s="1409">
        <f>SUM(M27,M25,M23)</f>
        <v>0</v>
      </c>
      <c r="N28" s="1410" t="e">
        <f>SUM(N10:N27)</f>
        <v>#DIV/0!</v>
      </c>
      <c r="O28" s="1411"/>
      <c r="P28" s="1412">
        <f>SUM(P11:P27)</f>
        <v>1380</v>
      </c>
      <c r="Q28" s="1191">
        <f>SUM(Q11:Q27)</f>
        <v>4506</v>
      </c>
    </row>
    <row r="30" spans="1:17" x14ac:dyDescent="0.2">
      <c r="A30" s="1118" t="s">
        <v>144</v>
      </c>
    </row>
    <row r="31" spans="1:17" ht="13.5" thickBot="1" x14ac:dyDescent="0.25"/>
    <row r="32" spans="1:17" ht="38.25" x14ac:dyDescent="0.2">
      <c r="A32" s="1274"/>
      <c r="B32" s="1275"/>
      <c r="C32" s="1348" t="s">
        <v>891</v>
      </c>
      <c r="D32" s="1349"/>
      <c r="E32" s="1350"/>
      <c r="F32" s="1351"/>
      <c r="G32" s="1348" t="s">
        <v>870</v>
      </c>
      <c r="H32" s="1349"/>
      <c r="I32" s="1350"/>
      <c r="J32" s="1351"/>
      <c r="K32" s="1348" t="s">
        <v>871</v>
      </c>
      <c r="L32" s="1352"/>
      <c r="M32" s="1353"/>
      <c r="N32" s="1351"/>
      <c r="O32" s="1350"/>
      <c r="P32" s="1350"/>
      <c r="Q32" s="1354"/>
    </row>
    <row r="33" spans="1:17" x14ac:dyDescent="0.2">
      <c r="A33" s="1355"/>
      <c r="C33" s="1356"/>
      <c r="D33" s="1357"/>
      <c r="E33" s="1279"/>
      <c r="F33" s="1358"/>
      <c r="G33" s="1359" t="s">
        <v>872</v>
      </c>
      <c r="H33" s="1357"/>
      <c r="I33" s="1279"/>
      <c r="J33" s="1358"/>
      <c r="K33" s="1359" t="s">
        <v>872</v>
      </c>
      <c r="L33" s="1360"/>
      <c r="M33" s="1361"/>
      <c r="N33" s="1358"/>
      <c r="O33" s="1279"/>
      <c r="P33" s="1362"/>
      <c r="Q33" s="1358"/>
    </row>
    <row r="34" spans="1:17" x14ac:dyDescent="0.2">
      <c r="A34" s="1355"/>
      <c r="C34" s="1356"/>
      <c r="D34" s="1357"/>
      <c r="E34" s="1279"/>
      <c r="F34" s="1358"/>
      <c r="G34" s="1359" t="s">
        <v>873</v>
      </c>
      <c r="H34" s="1357"/>
      <c r="I34" s="1279"/>
      <c r="J34" s="1358"/>
      <c r="K34" s="1359" t="s">
        <v>873</v>
      </c>
      <c r="L34" s="1360"/>
      <c r="M34" s="1361"/>
      <c r="N34" s="1358"/>
      <c r="O34" s="1279"/>
      <c r="P34" s="1362"/>
      <c r="Q34" s="1358"/>
    </row>
    <row r="35" spans="1:17" x14ac:dyDescent="0.2">
      <c r="A35" s="1355"/>
      <c r="C35" s="1359" t="s">
        <v>874</v>
      </c>
      <c r="D35" s="1363"/>
      <c r="E35" s="1362"/>
      <c r="F35" s="1364"/>
      <c r="G35" s="1365" t="s">
        <v>875</v>
      </c>
      <c r="H35" s="1363"/>
      <c r="I35" s="1362"/>
      <c r="J35" s="1364"/>
      <c r="K35" s="1365" t="s">
        <v>875</v>
      </c>
      <c r="L35" s="1366"/>
      <c r="M35" s="1367"/>
      <c r="N35" s="1364"/>
      <c r="O35" s="1362"/>
      <c r="P35" s="1362"/>
      <c r="Q35" s="1358"/>
    </row>
    <row r="36" spans="1:17" ht="38.25" x14ac:dyDescent="0.2">
      <c r="A36" s="1355"/>
      <c r="C36" s="1359"/>
      <c r="D36" s="1368" t="s">
        <v>876</v>
      </c>
      <c r="E36" s="1369" t="s">
        <v>877</v>
      </c>
      <c r="F36" s="1364" t="s">
        <v>878</v>
      </c>
      <c r="G36" s="1359" t="s">
        <v>879</v>
      </c>
      <c r="H36" s="1368" t="s">
        <v>876</v>
      </c>
      <c r="I36" s="1369" t="s">
        <v>877</v>
      </c>
      <c r="J36" s="1364" t="s">
        <v>878</v>
      </c>
      <c r="K36" s="1359" t="s">
        <v>879</v>
      </c>
      <c r="L36" s="1370" t="s">
        <v>876</v>
      </c>
      <c r="M36" s="1369" t="s">
        <v>877</v>
      </c>
      <c r="N36" s="1364" t="s">
        <v>878</v>
      </c>
      <c r="O36" s="1362" t="s">
        <v>880</v>
      </c>
      <c r="P36" s="1371" t="s">
        <v>881</v>
      </c>
      <c r="Q36" s="1358" t="s">
        <v>882</v>
      </c>
    </row>
    <row r="37" spans="1:17" x14ac:dyDescent="0.2">
      <c r="A37" s="1355"/>
      <c r="C37" s="1359"/>
      <c r="D37" s="1372" t="s">
        <v>883</v>
      </c>
      <c r="E37" s="1369"/>
      <c r="F37" s="1364"/>
      <c r="G37" s="1373" t="s">
        <v>884</v>
      </c>
      <c r="H37" s="1372" t="s">
        <v>883</v>
      </c>
      <c r="I37" s="1369"/>
      <c r="J37" s="1364"/>
      <c r="K37" s="1373" t="s">
        <v>884</v>
      </c>
      <c r="L37" s="1374" t="s">
        <v>883</v>
      </c>
      <c r="M37" s="1375"/>
      <c r="N37" s="1364"/>
      <c r="O37" s="1369" t="s">
        <v>883</v>
      </c>
      <c r="P37" s="1369" t="s">
        <v>883</v>
      </c>
      <c r="Q37" s="1376" t="s">
        <v>883</v>
      </c>
    </row>
    <row r="38" spans="1:17" x14ac:dyDescent="0.2">
      <c r="A38" s="1355" t="s">
        <v>885</v>
      </c>
      <c r="C38" s="1413" t="s">
        <v>886</v>
      </c>
      <c r="D38" s="1372"/>
      <c r="E38" s="1369"/>
      <c r="F38" s="1364"/>
      <c r="G38" s="1413" t="s">
        <v>887</v>
      </c>
      <c r="H38" s="1372"/>
      <c r="I38" s="1369"/>
      <c r="J38" s="1364"/>
      <c r="K38" s="1413" t="s">
        <v>888</v>
      </c>
      <c r="L38" s="1374"/>
      <c r="M38" s="1375"/>
      <c r="N38" s="1364"/>
      <c r="O38" s="1369"/>
      <c r="P38" s="1369"/>
      <c r="Q38" s="1376"/>
    </row>
    <row r="39" spans="1:17" x14ac:dyDescent="0.2">
      <c r="A39" s="1161" t="s">
        <v>863</v>
      </c>
      <c r="B39" s="1178"/>
      <c r="C39" s="1388">
        <v>4409</v>
      </c>
      <c r="D39" s="1389">
        <v>2984</v>
      </c>
      <c r="E39" s="1754"/>
      <c r="F39" s="1414"/>
      <c r="G39" s="1388">
        <v>84969</v>
      </c>
      <c r="H39" s="1389">
        <v>459</v>
      </c>
      <c r="I39" s="1754"/>
      <c r="J39" s="1397"/>
      <c r="K39" s="1388">
        <v>76733</v>
      </c>
      <c r="L39" s="1389">
        <v>3059</v>
      </c>
      <c r="M39" s="1393"/>
      <c r="N39" s="1397"/>
      <c r="O39" s="1415"/>
      <c r="P39" s="1416"/>
      <c r="Q39" s="1394">
        <v>730</v>
      </c>
    </row>
    <row r="40" spans="1:17" x14ac:dyDescent="0.2">
      <c r="A40" s="1161" t="s">
        <v>864</v>
      </c>
      <c r="B40" s="1178"/>
      <c r="C40" s="1388"/>
      <c r="D40" s="1389">
        <v>2597</v>
      </c>
      <c r="E40" s="1754"/>
      <c r="F40" s="1414"/>
      <c r="G40" s="1388"/>
      <c r="H40" s="1389">
        <v>1765</v>
      </c>
      <c r="I40" s="1754"/>
      <c r="J40" s="1397"/>
      <c r="K40" s="1388"/>
      <c r="L40" s="1389">
        <v>375</v>
      </c>
      <c r="M40" s="1393"/>
      <c r="N40" s="1397"/>
      <c r="O40" s="1415"/>
      <c r="P40" s="1416"/>
      <c r="Q40" s="1394">
        <v>79</v>
      </c>
    </row>
    <row r="41" spans="1:17" x14ac:dyDescent="0.2">
      <c r="A41" s="1161" t="s">
        <v>865</v>
      </c>
      <c r="B41" s="1178"/>
      <c r="C41" s="1388"/>
      <c r="D41" s="1389">
        <v>1531</v>
      </c>
      <c r="E41" s="1754"/>
      <c r="F41" s="1414"/>
      <c r="G41" s="1388"/>
      <c r="H41" s="1389">
        <v>2092</v>
      </c>
      <c r="I41" s="1754"/>
      <c r="J41" s="1397"/>
      <c r="K41" s="1388"/>
      <c r="L41" s="1389">
        <v>2962</v>
      </c>
      <c r="M41" s="1393"/>
      <c r="N41" s="1397"/>
      <c r="O41" s="1415"/>
      <c r="P41" s="1416"/>
      <c r="Q41" s="1394">
        <v>227</v>
      </c>
    </row>
    <row r="42" spans="1:17" x14ac:dyDescent="0.2">
      <c r="A42" s="1161" t="s">
        <v>866</v>
      </c>
      <c r="B42" s="1178"/>
      <c r="C42" s="1388"/>
      <c r="D42" s="1389">
        <v>1717</v>
      </c>
      <c r="E42" s="1754"/>
      <c r="F42" s="1414"/>
      <c r="G42" s="1388"/>
      <c r="H42" s="1389">
        <v>2419</v>
      </c>
      <c r="I42" s="1754"/>
      <c r="J42" s="1397"/>
      <c r="K42" s="1388"/>
      <c r="L42" s="1389">
        <v>1758</v>
      </c>
      <c r="M42" s="1393"/>
      <c r="N42" s="1397"/>
      <c r="O42" s="1415"/>
      <c r="P42" s="1416"/>
      <c r="Q42" s="1394">
        <v>69</v>
      </c>
    </row>
    <row r="43" spans="1:17" x14ac:dyDescent="0.2">
      <c r="A43" s="1161" t="s">
        <v>867</v>
      </c>
      <c r="B43" s="1178"/>
      <c r="C43" s="1388"/>
      <c r="D43" s="1389">
        <v>1274</v>
      </c>
      <c r="E43" s="1754">
        <f>C43-C42</f>
        <v>0</v>
      </c>
      <c r="F43" s="1414" t="e">
        <f t="shared" ref="F43:F50" si="5">D43/E43</f>
        <v>#DIV/0!</v>
      </c>
      <c r="G43" s="1388"/>
      <c r="H43" s="1389">
        <v>654</v>
      </c>
      <c r="I43" s="1754">
        <f>G43-G42</f>
        <v>0</v>
      </c>
      <c r="J43" s="1397" t="e">
        <f t="shared" ref="J43:J50" si="6">H43/I43</f>
        <v>#DIV/0!</v>
      </c>
      <c r="K43" s="1388"/>
      <c r="L43" s="1389">
        <v>3031</v>
      </c>
      <c r="M43" s="1393">
        <f>K43-K42</f>
        <v>0</v>
      </c>
      <c r="N43" s="1397" t="e">
        <f t="shared" ref="N43:N50" si="7">L43/M43</f>
        <v>#DIV/0!</v>
      </c>
      <c r="O43" s="1415"/>
      <c r="P43" s="1416">
        <f t="shared" ref="P43:P50" si="8">SUM(D43,H43,L43,O43)</f>
        <v>4959</v>
      </c>
      <c r="Q43" s="1394">
        <v>59</v>
      </c>
    </row>
    <row r="44" spans="1:17" x14ac:dyDescent="0.2">
      <c r="A44" s="1161" t="s">
        <v>868</v>
      </c>
      <c r="B44" s="1178"/>
      <c r="C44" s="1388"/>
      <c r="D44" s="1389">
        <v>1068</v>
      </c>
      <c r="E44" s="1754">
        <f>C44-C43</f>
        <v>0</v>
      </c>
      <c r="F44" s="1414" t="e">
        <f t="shared" si="5"/>
        <v>#DIV/0!</v>
      </c>
      <c r="G44" s="1388"/>
      <c r="H44" s="1389">
        <v>1372</v>
      </c>
      <c r="I44" s="1754">
        <f>G44-G43</f>
        <v>0</v>
      </c>
      <c r="J44" s="1397" t="e">
        <f t="shared" si="6"/>
        <v>#DIV/0!</v>
      </c>
      <c r="K44" s="1388"/>
      <c r="L44" s="1389">
        <v>2003</v>
      </c>
      <c r="M44" s="1393">
        <f>K44-K43</f>
        <v>0</v>
      </c>
      <c r="N44" s="1397" t="e">
        <f t="shared" si="7"/>
        <v>#DIV/0!</v>
      </c>
      <c r="O44" s="1415"/>
      <c r="P44" s="1416">
        <f t="shared" si="8"/>
        <v>4443</v>
      </c>
      <c r="Q44" s="1394">
        <v>68</v>
      </c>
    </row>
    <row r="45" spans="1:17" x14ac:dyDescent="0.2">
      <c r="A45" s="1161" t="s">
        <v>857</v>
      </c>
      <c r="B45" s="1178"/>
      <c r="C45" s="1388"/>
      <c r="D45" s="1389">
        <v>1422</v>
      </c>
      <c r="E45" s="1754">
        <f>C45-C44</f>
        <v>0</v>
      </c>
      <c r="F45" s="1414" t="e">
        <f t="shared" si="5"/>
        <v>#DIV/0!</v>
      </c>
      <c r="G45" s="1388"/>
      <c r="H45" s="1389">
        <v>979</v>
      </c>
      <c r="I45" s="1754">
        <f>G45-G44</f>
        <v>0</v>
      </c>
      <c r="J45" s="1397" t="e">
        <f t="shared" si="6"/>
        <v>#DIV/0!</v>
      </c>
      <c r="K45" s="1388"/>
      <c r="L45" s="1389">
        <v>2588</v>
      </c>
      <c r="M45" s="1393">
        <f>K45-K44</f>
        <v>0</v>
      </c>
      <c r="N45" s="1397" t="e">
        <f t="shared" si="7"/>
        <v>#DIV/0!</v>
      </c>
      <c r="O45" s="1415"/>
      <c r="P45" s="1416">
        <f t="shared" si="8"/>
        <v>4989</v>
      </c>
      <c r="Q45" s="1394">
        <v>338</v>
      </c>
    </row>
    <row r="46" spans="1:17" x14ac:dyDescent="0.2">
      <c r="A46" s="1161" t="s">
        <v>858</v>
      </c>
      <c r="B46" s="1178"/>
      <c r="C46" s="1388"/>
      <c r="D46" s="1389">
        <v>1296</v>
      </c>
      <c r="E46" s="1754">
        <f>C46-C45</f>
        <v>0</v>
      </c>
      <c r="F46" s="1414" t="e">
        <f t="shared" si="5"/>
        <v>#DIV/0!</v>
      </c>
      <c r="G46" s="1388"/>
      <c r="H46" s="1389">
        <v>2760</v>
      </c>
      <c r="I46" s="1754">
        <f>G46-G45</f>
        <v>0</v>
      </c>
      <c r="J46" s="1397" t="e">
        <f t="shared" si="6"/>
        <v>#DIV/0!</v>
      </c>
      <c r="K46" s="1388"/>
      <c r="L46" s="1389">
        <v>3379</v>
      </c>
      <c r="M46" s="1393">
        <f>K46-K45</f>
        <v>0</v>
      </c>
      <c r="N46" s="1397" t="e">
        <f t="shared" si="7"/>
        <v>#DIV/0!</v>
      </c>
      <c r="O46" s="1415"/>
      <c r="P46" s="1416">
        <f t="shared" si="8"/>
        <v>7435</v>
      </c>
      <c r="Q46" s="1394">
        <v>289</v>
      </c>
    </row>
    <row r="47" spans="1:17" x14ac:dyDescent="0.2">
      <c r="A47" s="1161" t="s">
        <v>859</v>
      </c>
      <c r="B47" s="1178"/>
      <c r="C47" s="1388"/>
      <c r="D47" s="1389">
        <v>2020</v>
      </c>
      <c r="E47" s="1754"/>
      <c r="F47" s="1414" t="e">
        <f t="shared" si="5"/>
        <v>#DIV/0!</v>
      </c>
      <c r="G47" s="1388"/>
      <c r="H47" s="1389">
        <v>2787.52</v>
      </c>
      <c r="I47" s="1754"/>
      <c r="J47" s="1397" t="e">
        <f t="shared" si="6"/>
        <v>#DIV/0!</v>
      </c>
      <c r="K47" s="1388"/>
      <c r="L47" s="1389">
        <v>3961.5</v>
      </c>
      <c r="M47" s="1393"/>
      <c r="N47" s="1397" t="e">
        <f t="shared" si="7"/>
        <v>#DIV/0!</v>
      </c>
      <c r="O47" s="1415"/>
      <c r="P47" s="1416">
        <f t="shared" si="8"/>
        <v>8769.02</v>
      </c>
      <c r="Q47" s="1394">
        <v>374</v>
      </c>
    </row>
    <row r="48" spans="1:17" x14ac:dyDescent="0.2">
      <c r="A48" s="1161" t="s">
        <v>860</v>
      </c>
      <c r="B48" s="1178"/>
      <c r="C48" s="1388"/>
      <c r="D48" s="1389">
        <v>1353.4</v>
      </c>
      <c r="E48" s="1754"/>
      <c r="F48" s="1414" t="e">
        <f t="shared" si="5"/>
        <v>#DIV/0!</v>
      </c>
      <c r="G48" s="1388"/>
      <c r="H48" s="1389">
        <v>3692.96</v>
      </c>
      <c r="I48" s="1754"/>
      <c r="J48" s="1397" t="e">
        <f t="shared" si="6"/>
        <v>#DIV/0!</v>
      </c>
      <c r="K48" s="1388"/>
      <c r="L48" s="1389">
        <v>4321.93</v>
      </c>
      <c r="M48" s="1393"/>
      <c r="N48" s="1397" t="e">
        <f t="shared" si="7"/>
        <v>#DIV/0!</v>
      </c>
      <c r="O48" s="1415"/>
      <c r="P48" s="1416">
        <f t="shared" si="8"/>
        <v>9368.2900000000009</v>
      </c>
      <c r="Q48" s="1546">
        <v>394</v>
      </c>
    </row>
    <row r="49" spans="1:17" x14ac:dyDescent="0.2">
      <c r="A49" s="1161" t="s">
        <v>861</v>
      </c>
      <c r="B49" s="1178"/>
      <c r="C49" s="1388"/>
      <c r="D49" s="1389">
        <v>736.62</v>
      </c>
      <c r="E49" s="1754"/>
      <c r="F49" s="1414" t="e">
        <f t="shared" si="5"/>
        <v>#DIV/0!</v>
      </c>
      <c r="G49" s="1388"/>
      <c r="H49" s="1389">
        <v>1769.03</v>
      </c>
      <c r="I49" s="1754"/>
      <c r="J49" s="1397" t="e">
        <f t="shared" si="6"/>
        <v>#DIV/0!</v>
      </c>
      <c r="K49" s="1388"/>
      <c r="L49" s="1389">
        <v>4242.3999999999996</v>
      </c>
      <c r="M49" s="1393"/>
      <c r="N49" s="1397" t="e">
        <f t="shared" si="7"/>
        <v>#DIV/0!</v>
      </c>
      <c r="O49" s="1415"/>
      <c r="P49" s="1416">
        <f t="shared" si="8"/>
        <v>6748.0499999999993</v>
      </c>
      <c r="Q49" s="1394">
        <v>578</v>
      </c>
    </row>
    <row r="50" spans="1:17" ht="13.5" thickBot="1" x14ac:dyDescent="0.25">
      <c r="A50" s="1400" t="s">
        <v>862</v>
      </c>
      <c r="B50" s="1178"/>
      <c r="C50" s="1402"/>
      <c r="D50" s="1389"/>
      <c r="E50" s="1754"/>
      <c r="F50" s="1414" t="e">
        <f t="shared" si="5"/>
        <v>#DIV/0!</v>
      </c>
      <c r="G50" s="1402"/>
      <c r="H50" s="1389"/>
      <c r="I50" s="1754"/>
      <c r="J50" s="1397" t="e">
        <f t="shared" si="6"/>
        <v>#DIV/0!</v>
      </c>
      <c r="K50" s="1402"/>
      <c r="L50" s="1389"/>
      <c r="M50" s="1393"/>
      <c r="N50" s="1397" t="e">
        <f t="shared" si="7"/>
        <v>#DIV/0!</v>
      </c>
      <c r="O50" s="1415"/>
      <c r="P50" s="1416">
        <f t="shared" si="8"/>
        <v>0</v>
      </c>
      <c r="Q50" s="1403"/>
    </row>
    <row r="51" spans="1:17" ht="13.5" thickBot="1" x14ac:dyDescent="0.25">
      <c r="A51" s="1356" t="s">
        <v>329</v>
      </c>
      <c r="C51" s="1404"/>
      <c r="D51" s="1405">
        <f>SUM(D39:D50)</f>
        <v>17999.02</v>
      </c>
      <c r="E51" s="1407">
        <f>SUM(E39:E50)</f>
        <v>0</v>
      </c>
      <c r="F51" s="1414" t="e">
        <f>SUM(D51/E51)</f>
        <v>#DIV/0!</v>
      </c>
      <c r="G51" s="1404"/>
      <c r="H51" s="1406">
        <f>SUM(H39:H50)</f>
        <v>20749.509999999998</v>
      </c>
      <c r="I51" s="1407">
        <f>SUM(I39:I50)</f>
        <v>0</v>
      </c>
      <c r="J51" s="1417" t="e">
        <f>SUM(J39:J50)</f>
        <v>#DIV/0!</v>
      </c>
      <c r="K51" s="1404"/>
      <c r="L51" s="1406">
        <f>SUM(L39:L50)</f>
        <v>31680.83</v>
      </c>
      <c r="M51" s="1418">
        <f>SUM(M39:M50)</f>
        <v>0</v>
      </c>
      <c r="N51" s="1410" t="e">
        <f>SUM(N39:N50)</f>
        <v>#DIV/0!</v>
      </c>
      <c r="O51" s="1411"/>
      <c r="P51" s="1412">
        <f>SUM(P39:P50)</f>
        <v>46711.360000000001</v>
      </c>
      <c r="Q51" s="1118">
        <f>SUM(Q39:Q50)</f>
        <v>3205</v>
      </c>
    </row>
    <row r="58" spans="1:17" x14ac:dyDescent="0.2">
      <c r="J58" s="1118">
        <v>59</v>
      </c>
    </row>
  </sheetData>
  <phoneticPr fontId="61" type="noConversion"/>
  <pageMargins left="0" right="0" top="0" bottom="0" header="0" footer="0"/>
  <pageSetup paperSize="9" scale="75" orientation="landscape" horizontalDpi="300" verticalDpi="3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24">
    <tabColor indexed="39"/>
  </sheetPr>
  <dimension ref="A1:Q314"/>
  <sheetViews>
    <sheetView topLeftCell="A283" zoomScale="75" workbookViewId="0">
      <selection activeCell="I318" sqref="I318"/>
    </sheetView>
  </sheetViews>
  <sheetFormatPr defaultRowHeight="12.75" x14ac:dyDescent="0.2"/>
  <cols>
    <col min="1" max="1" width="23.85546875" style="1118" customWidth="1"/>
    <col min="2" max="2" width="11.140625" style="1118" customWidth="1"/>
    <col min="3" max="5" width="11.7109375" style="1118" customWidth="1"/>
    <col min="6" max="6" width="12.28515625" style="1118" customWidth="1"/>
    <col min="7" max="7" width="11.140625" style="1118" bestFit="1" customWidth="1"/>
    <col min="8" max="8" width="12.28515625" style="1118" customWidth="1"/>
    <col min="9" max="9" width="13" style="1118" customWidth="1"/>
    <col min="10" max="10" width="12.5703125" style="1118" customWidth="1"/>
    <col min="11" max="11" width="12.140625" style="1118" customWidth="1"/>
    <col min="12" max="12" width="11.140625" style="1118" customWidth="1"/>
    <col min="13" max="13" width="13.5703125" style="1118" customWidth="1"/>
    <col min="14" max="14" width="12" style="1118" customWidth="1"/>
    <col min="15" max="16384" width="9.140625" style="1118"/>
  </cols>
  <sheetData>
    <row r="1" spans="1:14" ht="20.25" x14ac:dyDescent="0.3">
      <c r="A1" s="1788" t="s">
        <v>892</v>
      </c>
      <c r="B1" s="1788"/>
      <c r="C1" s="1788"/>
      <c r="D1" s="1788"/>
      <c r="E1" s="1788"/>
      <c r="F1" s="1788"/>
      <c r="G1" s="1788"/>
      <c r="H1" s="1788"/>
      <c r="I1" s="1788"/>
      <c r="J1" s="1788"/>
      <c r="K1" s="1788"/>
      <c r="L1" s="1788"/>
      <c r="M1" s="1788"/>
      <c r="N1" s="1788"/>
    </row>
    <row r="2" spans="1:14" x14ac:dyDescent="0.2">
      <c r="A2" s="1119"/>
      <c r="B2" s="1119"/>
      <c r="C2" s="1119"/>
      <c r="D2" s="1119"/>
      <c r="E2" s="1119"/>
      <c r="F2" s="1119"/>
      <c r="G2" s="1119"/>
      <c r="H2" s="1119"/>
      <c r="I2" s="1119"/>
      <c r="J2" s="1119"/>
      <c r="K2" s="1119"/>
      <c r="L2" s="1119"/>
      <c r="M2" s="1119"/>
    </row>
    <row r="3" spans="1:14" x14ac:dyDescent="0.2">
      <c r="A3" s="1120"/>
      <c r="B3" s="1121" t="s">
        <v>863</v>
      </c>
      <c r="C3" s="1121" t="s">
        <v>864</v>
      </c>
      <c r="D3" s="1122" t="s">
        <v>865</v>
      </c>
      <c r="E3" s="1121" t="s">
        <v>866</v>
      </c>
      <c r="F3" s="1121" t="s">
        <v>867</v>
      </c>
      <c r="G3" s="1122" t="s">
        <v>868</v>
      </c>
      <c r="H3" s="1121" t="s">
        <v>857</v>
      </c>
      <c r="I3" s="1121" t="s">
        <v>858</v>
      </c>
      <c r="J3" s="1121" t="s">
        <v>859</v>
      </c>
      <c r="K3" s="1121" t="s">
        <v>860</v>
      </c>
      <c r="L3" s="1121" t="s">
        <v>861</v>
      </c>
      <c r="M3" s="1121" t="s">
        <v>862</v>
      </c>
      <c r="N3" s="1120" t="s">
        <v>137</v>
      </c>
    </row>
    <row r="4" spans="1:14" x14ac:dyDescent="0.2">
      <c r="A4" s="1123" t="s">
        <v>332</v>
      </c>
      <c r="B4" s="1124">
        <v>7054.52</v>
      </c>
      <c r="C4" s="1124">
        <v>6894</v>
      </c>
      <c r="D4" s="1124">
        <v>6894</v>
      </c>
      <c r="E4" s="1124">
        <v>6894</v>
      </c>
      <c r="F4" s="1124">
        <v>6894</v>
      </c>
      <c r="G4" s="1124">
        <v>6894</v>
      </c>
      <c r="H4" s="1124">
        <v>6894</v>
      </c>
      <c r="I4" s="1124">
        <v>6894</v>
      </c>
      <c r="J4" s="1124">
        <v>6894</v>
      </c>
      <c r="K4" s="1124">
        <v>6894</v>
      </c>
      <c r="L4" s="1124">
        <v>6894</v>
      </c>
      <c r="M4" s="1124">
        <v>6894</v>
      </c>
      <c r="N4" s="1124">
        <f t="shared" ref="N4:N16" si="0">SUM(B4:M4)</f>
        <v>82888.52</v>
      </c>
    </row>
    <row r="5" spans="1:14" x14ac:dyDescent="0.2">
      <c r="A5" s="1123" t="s">
        <v>893</v>
      </c>
      <c r="B5" s="1124">
        <v>16</v>
      </c>
      <c r="C5" s="1124">
        <v>37.25</v>
      </c>
      <c r="D5" s="1124">
        <v>100.25</v>
      </c>
      <c r="E5" s="1124"/>
      <c r="F5" s="1124"/>
      <c r="G5" s="1125"/>
      <c r="H5" s="1124"/>
      <c r="I5" s="1124"/>
      <c r="J5" s="1126"/>
      <c r="K5" s="1124"/>
      <c r="L5" s="1124"/>
      <c r="M5" s="1124"/>
      <c r="N5" s="1124">
        <f t="shared" si="0"/>
        <v>153.5</v>
      </c>
    </row>
    <row r="6" spans="1:14" x14ac:dyDescent="0.2">
      <c r="A6" s="1123" t="s">
        <v>894</v>
      </c>
      <c r="B6" s="1124">
        <v>548.5</v>
      </c>
      <c r="C6" s="1124"/>
      <c r="D6" s="1124"/>
      <c r="E6" s="1124"/>
      <c r="F6" s="1124"/>
      <c r="G6" s="1125"/>
      <c r="H6" s="1124"/>
      <c r="I6" s="1124"/>
      <c r="J6" s="1124"/>
      <c r="K6" s="1124"/>
      <c r="L6" s="1124"/>
      <c r="M6" s="1120"/>
      <c r="N6" s="1124">
        <f t="shared" si="0"/>
        <v>548.5</v>
      </c>
    </row>
    <row r="7" spans="1:14" x14ac:dyDescent="0.2">
      <c r="A7" s="1123" t="s">
        <v>895</v>
      </c>
      <c r="B7" s="1124">
        <v>4.5</v>
      </c>
      <c r="C7" s="1124">
        <v>14.5</v>
      </c>
      <c r="D7" s="1124">
        <v>17</v>
      </c>
      <c r="E7" s="1124"/>
      <c r="F7" s="1124"/>
      <c r="G7" s="1125"/>
      <c r="H7" s="1124"/>
      <c r="I7" s="1124"/>
      <c r="J7" s="1124"/>
      <c r="K7" s="1124"/>
      <c r="L7" s="1124"/>
      <c r="M7" s="1120"/>
      <c r="N7" s="1124">
        <f t="shared" si="0"/>
        <v>36</v>
      </c>
    </row>
    <row r="8" spans="1:14" x14ac:dyDescent="0.2">
      <c r="A8" s="1123" t="s">
        <v>896</v>
      </c>
      <c r="B8" s="1124">
        <v>361.5</v>
      </c>
      <c r="C8" s="1124">
        <v>494</v>
      </c>
      <c r="D8" s="1124">
        <v>772.5</v>
      </c>
      <c r="E8" s="1124"/>
      <c r="F8" s="1124"/>
      <c r="G8" s="1125"/>
      <c r="H8" s="1124"/>
      <c r="I8" s="1124"/>
      <c r="J8" s="1124"/>
      <c r="K8" s="1124"/>
      <c r="L8" s="1124"/>
      <c r="M8" s="1124"/>
      <c r="N8" s="1124">
        <f t="shared" si="0"/>
        <v>1628</v>
      </c>
    </row>
    <row r="9" spans="1:14" x14ac:dyDescent="0.2">
      <c r="A9" s="1123" t="s">
        <v>897</v>
      </c>
      <c r="B9" s="1124"/>
      <c r="C9" s="1124">
        <v>105.75</v>
      </c>
      <c r="D9" s="1124"/>
      <c r="E9" s="1124"/>
      <c r="F9" s="1124"/>
      <c r="G9" s="1125"/>
      <c r="H9" s="1124"/>
      <c r="I9" s="1124"/>
      <c r="J9" s="1124"/>
      <c r="K9" s="1124"/>
      <c r="L9" s="1124"/>
      <c r="M9" s="1124"/>
      <c r="N9" s="1124">
        <f t="shared" si="0"/>
        <v>105.75</v>
      </c>
    </row>
    <row r="10" spans="1:14" x14ac:dyDescent="0.2">
      <c r="A10" s="1123" t="s">
        <v>898</v>
      </c>
      <c r="B10" s="1124">
        <v>202.75</v>
      </c>
      <c r="C10" s="1124">
        <v>216.75</v>
      </c>
      <c r="D10" s="1124">
        <v>288.5</v>
      </c>
      <c r="E10" s="1124"/>
      <c r="F10" s="1124"/>
      <c r="G10" s="1125"/>
      <c r="H10" s="1124"/>
      <c r="I10" s="1124"/>
      <c r="J10" s="1124"/>
      <c r="K10" s="1124"/>
      <c r="L10" s="1124"/>
      <c r="M10" s="1124"/>
      <c r="N10" s="1124">
        <f t="shared" si="0"/>
        <v>708</v>
      </c>
    </row>
    <row r="11" spans="1:14" x14ac:dyDescent="0.2">
      <c r="A11" s="1123" t="s">
        <v>899</v>
      </c>
      <c r="B11" s="1124">
        <v>7.75</v>
      </c>
      <c r="C11" s="1124"/>
      <c r="D11" s="1124"/>
      <c r="E11" s="1124"/>
      <c r="F11" s="1124"/>
      <c r="G11" s="1125"/>
      <c r="H11" s="1124"/>
      <c r="I11" s="1124"/>
      <c r="J11" s="1124"/>
      <c r="K11" s="1124"/>
      <c r="L11" s="1124"/>
      <c r="M11" s="1124"/>
      <c r="N11" s="1124">
        <f t="shared" si="0"/>
        <v>7.75</v>
      </c>
    </row>
    <row r="12" spans="1:14" x14ac:dyDescent="0.2">
      <c r="A12" s="1123" t="s">
        <v>900</v>
      </c>
      <c r="B12" s="1124">
        <v>389.5</v>
      </c>
      <c r="C12" s="1124">
        <v>235.75</v>
      </c>
      <c r="D12" s="1124">
        <v>352.75</v>
      </c>
      <c r="E12" s="1124"/>
      <c r="F12" s="1124"/>
      <c r="G12" s="1125"/>
      <c r="H12" s="1124"/>
      <c r="I12" s="1124"/>
      <c r="J12" s="1124"/>
      <c r="K12" s="1124"/>
      <c r="L12" s="1124"/>
      <c r="M12" s="1124"/>
      <c r="N12" s="1124">
        <f t="shared" si="0"/>
        <v>978</v>
      </c>
    </row>
    <row r="13" spans="1:14" x14ac:dyDescent="0.2">
      <c r="A13" s="1123" t="s">
        <v>901</v>
      </c>
      <c r="B13" s="1124"/>
      <c r="C13" s="1124"/>
      <c r="D13" s="1124"/>
      <c r="E13" s="1124"/>
      <c r="F13" s="1124"/>
      <c r="G13" s="1125"/>
      <c r="H13" s="1124"/>
      <c r="I13" s="1124"/>
      <c r="J13" s="1124"/>
      <c r="K13" s="1124"/>
      <c r="L13" s="1124"/>
      <c r="M13" s="1124"/>
      <c r="N13" s="1124">
        <f t="shared" si="0"/>
        <v>0</v>
      </c>
    </row>
    <row r="14" spans="1:14" x14ac:dyDescent="0.2">
      <c r="A14" s="1123" t="s">
        <v>902</v>
      </c>
      <c r="B14" s="1124">
        <v>122.75</v>
      </c>
      <c r="C14" s="1124">
        <v>232.5</v>
      </c>
      <c r="D14" s="1124">
        <v>54</v>
      </c>
      <c r="E14" s="1124"/>
      <c r="F14" s="1124"/>
      <c r="G14" s="1125"/>
      <c r="H14" s="1124"/>
      <c r="I14" s="1124"/>
      <c r="J14" s="1124"/>
      <c r="K14" s="1124"/>
      <c r="L14" s="1124"/>
      <c r="M14" s="1124"/>
      <c r="N14" s="1124">
        <f t="shared" si="0"/>
        <v>409.25</v>
      </c>
    </row>
    <row r="15" spans="1:14" ht="13.5" thickBot="1" x14ac:dyDescent="0.25">
      <c r="A15" s="1127" t="s">
        <v>903</v>
      </c>
      <c r="B15" s="1128"/>
      <c r="C15" s="1128"/>
      <c r="D15" s="1128"/>
      <c r="E15" s="1128"/>
      <c r="F15" s="1128"/>
      <c r="G15" s="1129"/>
      <c r="H15" s="1128"/>
      <c r="I15" s="1128"/>
      <c r="J15" s="1128"/>
      <c r="K15" s="1128"/>
      <c r="L15" s="1128"/>
      <c r="M15" s="1128"/>
      <c r="N15" s="1130">
        <f t="shared" si="0"/>
        <v>0</v>
      </c>
    </row>
    <row r="16" spans="1:14" ht="13.5" thickBot="1" x14ac:dyDescent="0.25">
      <c r="A16" s="1131" t="s">
        <v>904</v>
      </c>
      <c r="B16" s="1132">
        <f>SUM(B4+B5+B6-B7-B8-B9-B10-B12-B13-B14-B15)</f>
        <v>6538.02</v>
      </c>
      <c r="C16" s="1132">
        <f t="shared" ref="C16:M16" si="1">SUM(C4+C5+C6+C7-C8-C9-C10-C12-C13-C14-C15)</f>
        <v>5661</v>
      </c>
      <c r="D16" s="1132">
        <f t="shared" si="1"/>
        <v>5543.5</v>
      </c>
      <c r="E16" s="1132">
        <f t="shared" si="1"/>
        <v>6894</v>
      </c>
      <c r="F16" s="1132">
        <f t="shared" si="1"/>
        <v>6894</v>
      </c>
      <c r="G16" s="1132">
        <f t="shared" si="1"/>
        <v>6894</v>
      </c>
      <c r="H16" s="1132">
        <f t="shared" si="1"/>
        <v>6894</v>
      </c>
      <c r="I16" s="1132">
        <f t="shared" si="1"/>
        <v>6894</v>
      </c>
      <c r="J16" s="1132">
        <f t="shared" si="1"/>
        <v>6894</v>
      </c>
      <c r="K16" s="1132">
        <f t="shared" si="1"/>
        <v>6894</v>
      </c>
      <c r="L16" s="1132">
        <f t="shared" si="1"/>
        <v>6894</v>
      </c>
      <c r="M16" s="1133">
        <f t="shared" si="1"/>
        <v>6894</v>
      </c>
      <c r="N16" s="1134">
        <f t="shared" si="0"/>
        <v>79788.52</v>
      </c>
    </row>
    <row r="17" spans="1:14" x14ac:dyDescent="0.2">
      <c r="A17" s="1135"/>
      <c r="B17" s="1136"/>
      <c r="C17" s="1136"/>
      <c r="D17" s="1136"/>
      <c r="E17" s="1136"/>
      <c r="F17" s="1136"/>
      <c r="G17" s="1136"/>
      <c r="H17" s="1136"/>
      <c r="I17" s="1136"/>
      <c r="J17" s="1136"/>
      <c r="K17" s="1136"/>
      <c r="L17" s="1136"/>
      <c r="M17" s="1136"/>
      <c r="N17" s="1136"/>
    </row>
    <row r="18" spans="1:14" x14ac:dyDescent="0.2">
      <c r="A18" s="1135"/>
      <c r="B18" s="1136"/>
      <c r="C18" s="1136"/>
      <c r="D18" s="1136"/>
      <c r="E18" s="1136"/>
      <c r="F18" s="1136"/>
      <c r="G18" s="1136"/>
      <c r="H18" s="1136"/>
      <c r="I18" s="1136"/>
      <c r="J18" s="1136"/>
      <c r="K18" s="1136"/>
      <c r="L18" s="1136"/>
      <c r="M18" s="1136"/>
      <c r="N18" s="1137" t="s">
        <v>905</v>
      </c>
    </row>
    <row r="19" spans="1:14" x14ac:dyDescent="0.2">
      <c r="A19" s="1123" t="s">
        <v>906</v>
      </c>
      <c r="B19" s="1124">
        <f t="shared" ref="B19:M19" si="2">SUM(B5*100/B16)</f>
        <v>0.2447224083132202</v>
      </c>
      <c r="C19" s="1124">
        <f t="shared" si="2"/>
        <v>0.65801095212859917</v>
      </c>
      <c r="D19" s="1124">
        <f t="shared" si="2"/>
        <v>1.8084242806890953</v>
      </c>
      <c r="E19" s="1124">
        <f t="shared" si="2"/>
        <v>0</v>
      </c>
      <c r="F19" s="1124">
        <f t="shared" si="2"/>
        <v>0</v>
      </c>
      <c r="G19" s="1124">
        <f t="shared" si="2"/>
        <v>0</v>
      </c>
      <c r="H19" s="1124">
        <f t="shared" si="2"/>
        <v>0</v>
      </c>
      <c r="I19" s="1124">
        <f t="shared" si="2"/>
        <v>0</v>
      </c>
      <c r="J19" s="1124">
        <f t="shared" si="2"/>
        <v>0</v>
      </c>
      <c r="K19" s="1124">
        <f t="shared" si="2"/>
        <v>0</v>
      </c>
      <c r="L19" s="1124">
        <f t="shared" si="2"/>
        <v>0</v>
      </c>
      <c r="M19" s="1124">
        <f t="shared" si="2"/>
        <v>0</v>
      </c>
      <c r="N19" s="1138">
        <f>SUM(B19:M19)/12</f>
        <v>0.22592980342757621</v>
      </c>
    </row>
    <row r="20" spans="1:14" x14ac:dyDescent="0.2">
      <c r="A20" s="1135"/>
      <c r="B20" s="1136"/>
      <c r="C20" s="1136"/>
      <c r="D20" s="1136"/>
      <c r="E20" s="1136"/>
      <c r="F20" s="1136"/>
      <c r="G20" s="1136"/>
      <c r="H20" s="1136"/>
      <c r="I20" s="1136"/>
      <c r="J20" s="1136"/>
      <c r="K20" s="1136"/>
      <c r="L20" s="1136"/>
      <c r="M20" s="1136"/>
      <c r="N20" s="1119"/>
    </row>
    <row r="21" spans="1:14" x14ac:dyDescent="0.2">
      <c r="A21" s="1123" t="s">
        <v>907</v>
      </c>
      <c r="B21" s="1124">
        <f t="shared" ref="B21:M21" si="3">SUM(B10*100/B16)</f>
        <v>3.1010917678440872</v>
      </c>
      <c r="C21" s="1124">
        <f t="shared" si="3"/>
        <v>3.8288288288288288</v>
      </c>
      <c r="D21" s="1124">
        <f t="shared" si="3"/>
        <v>5.2042933164967984</v>
      </c>
      <c r="E21" s="1124">
        <f t="shared" si="3"/>
        <v>0</v>
      </c>
      <c r="F21" s="1124">
        <f t="shared" si="3"/>
        <v>0</v>
      </c>
      <c r="G21" s="1124">
        <f t="shared" si="3"/>
        <v>0</v>
      </c>
      <c r="H21" s="1124">
        <f t="shared" si="3"/>
        <v>0</v>
      </c>
      <c r="I21" s="1124">
        <f t="shared" si="3"/>
        <v>0</v>
      </c>
      <c r="J21" s="1124">
        <f t="shared" si="3"/>
        <v>0</v>
      </c>
      <c r="K21" s="1124">
        <f t="shared" si="3"/>
        <v>0</v>
      </c>
      <c r="L21" s="1124">
        <f t="shared" si="3"/>
        <v>0</v>
      </c>
      <c r="M21" s="1124">
        <f t="shared" si="3"/>
        <v>0</v>
      </c>
      <c r="N21" s="1138">
        <f>SUM(B21:M21)/12</f>
        <v>1.0111844927641429</v>
      </c>
    </row>
    <row r="22" spans="1:14" ht="13.5" thickBot="1" x14ac:dyDescent="0.25">
      <c r="A22" s="1139" t="s">
        <v>908</v>
      </c>
      <c r="B22" s="1130">
        <f t="shared" ref="B22:M22" si="4">SUM(B11*100/B16)</f>
        <v>0.11853741652671602</v>
      </c>
      <c r="C22" s="1130">
        <f t="shared" si="4"/>
        <v>0</v>
      </c>
      <c r="D22" s="1130">
        <f t="shared" si="4"/>
        <v>0</v>
      </c>
      <c r="E22" s="1130">
        <f t="shared" si="4"/>
        <v>0</v>
      </c>
      <c r="F22" s="1130">
        <f t="shared" si="4"/>
        <v>0</v>
      </c>
      <c r="G22" s="1130">
        <f t="shared" si="4"/>
        <v>0</v>
      </c>
      <c r="H22" s="1130">
        <f t="shared" si="4"/>
        <v>0</v>
      </c>
      <c r="I22" s="1130">
        <f t="shared" si="4"/>
        <v>0</v>
      </c>
      <c r="J22" s="1130">
        <f t="shared" si="4"/>
        <v>0</v>
      </c>
      <c r="K22" s="1130">
        <f t="shared" si="4"/>
        <v>0</v>
      </c>
      <c r="L22" s="1130">
        <f t="shared" si="4"/>
        <v>0</v>
      </c>
      <c r="M22" s="1130">
        <f t="shared" si="4"/>
        <v>0</v>
      </c>
      <c r="N22" s="1140">
        <f>SUM(B22:M22)/12</f>
        <v>9.878118043893002E-3</v>
      </c>
    </row>
    <row r="23" spans="1:14" ht="13.5" thickBot="1" x14ac:dyDescent="0.25">
      <c r="A23" s="1141" t="s">
        <v>909</v>
      </c>
      <c r="B23" s="1142">
        <f t="shared" ref="B23:M23" si="5">SUM(B21:B21)</f>
        <v>3.1010917678440872</v>
      </c>
      <c r="C23" s="1142">
        <f t="shared" si="5"/>
        <v>3.8288288288288288</v>
      </c>
      <c r="D23" s="1142">
        <f t="shared" si="5"/>
        <v>5.2042933164967984</v>
      </c>
      <c r="E23" s="1142">
        <f t="shared" si="5"/>
        <v>0</v>
      </c>
      <c r="F23" s="1142">
        <f t="shared" si="5"/>
        <v>0</v>
      </c>
      <c r="G23" s="1142">
        <f t="shared" si="5"/>
        <v>0</v>
      </c>
      <c r="H23" s="1142">
        <f t="shared" si="5"/>
        <v>0</v>
      </c>
      <c r="I23" s="1142">
        <f t="shared" si="5"/>
        <v>0</v>
      </c>
      <c r="J23" s="1142">
        <f t="shared" si="5"/>
        <v>0</v>
      </c>
      <c r="K23" s="1142">
        <f t="shared" si="5"/>
        <v>0</v>
      </c>
      <c r="L23" s="1142">
        <f t="shared" si="5"/>
        <v>0</v>
      </c>
      <c r="M23" s="1142">
        <f t="shared" si="5"/>
        <v>0</v>
      </c>
      <c r="N23" s="1143">
        <f>SUM(N21:N22)</f>
        <v>1.0210626108080358</v>
      </c>
    </row>
    <row r="24" spans="1:14" x14ac:dyDescent="0.2">
      <c r="A24" s="1135" t="s">
        <v>910</v>
      </c>
      <c r="B24" s="1136"/>
      <c r="C24" s="1136"/>
      <c r="D24" s="1144">
        <f>SUM(B23:D23)/3</f>
        <v>4.0447379710565716</v>
      </c>
      <c r="E24" s="1136"/>
      <c r="F24" s="1136"/>
      <c r="G24" s="1144">
        <f>SUM(E23,F23,G23)/3</f>
        <v>0</v>
      </c>
      <c r="H24" s="1136"/>
      <c r="I24" s="1136"/>
      <c r="J24" s="1144">
        <f>SUM(H23,I23,J23)/3</f>
        <v>0</v>
      </c>
      <c r="K24" s="1136"/>
      <c r="L24" s="1136"/>
      <c r="M24" s="1144">
        <f>SUM(K23,L23,M23)/3</f>
        <v>0</v>
      </c>
      <c r="N24" s="1145">
        <f>SUM(D24:M24)/4</f>
        <v>1.0111844927641429</v>
      </c>
    </row>
    <row r="25" spans="1:14" x14ac:dyDescent="0.2">
      <c r="A25" s="1135" t="s">
        <v>911</v>
      </c>
      <c r="B25" s="1136"/>
      <c r="C25" s="1136"/>
      <c r="D25" s="1146"/>
      <c r="E25" s="1136"/>
      <c r="F25" s="1136"/>
      <c r="G25" s="1146"/>
      <c r="H25" s="1136"/>
      <c r="I25" s="1136"/>
      <c r="J25" s="1146"/>
      <c r="K25" s="1136"/>
      <c r="L25" s="1136"/>
      <c r="M25" s="1146"/>
      <c r="N25" s="1138">
        <f>SUM(D25:G25,J25,M25)/4</f>
        <v>0</v>
      </c>
    </row>
    <row r="26" spans="1:14" x14ac:dyDescent="0.2">
      <c r="A26" s="1135"/>
      <c r="B26" s="1136"/>
      <c r="C26" s="1136"/>
      <c r="D26" s="1136"/>
      <c r="E26" s="1136"/>
      <c r="F26" s="1136"/>
      <c r="G26" s="1136"/>
      <c r="H26" s="1136"/>
      <c r="I26" s="1136"/>
      <c r="J26" s="1136"/>
      <c r="K26" s="1136"/>
      <c r="L26" s="1136"/>
      <c r="M26" s="1136"/>
      <c r="N26" s="1136"/>
    </row>
    <row r="27" spans="1:14" x14ac:dyDescent="0.2">
      <c r="A27" s="1123" t="s">
        <v>912</v>
      </c>
      <c r="B27" s="1124">
        <f t="shared" ref="B27:M27" si="6">B14*100/B16</f>
        <v>1.8774797262779861</v>
      </c>
      <c r="C27" s="1124">
        <f t="shared" si="6"/>
        <v>4.1070482246952835</v>
      </c>
      <c r="D27" s="1124">
        <f t="shared" si="6"/>
        <v>0.97411382700460003</v>
      </c>
      <c r="E27" s="1124">
        <f t="shared" si="6"/>
        <v>0</v>
      </c>
      <c r="F27" s="1124">
        <f t="shared" si="6"/>
        <v>0</v>
      </c>
      <c r="G27" s="1124">
        <f t="shared" si="6"/>
        <v>0</v>
      </c>
      <c r="H27" s="1124">
        <f t="shared" si="6"/>
        <v>0</v>
      </c>
      <c r="I27" s="1124">
        <f t="shared" si="6"/>
        <v>0</v>
      </c>
      <c r="J27" s="1124">
        <f t="shared" si="6"/>
        <v>0</v>
      </c>
      <c r="K27" s="1124">
        <f t="shared" si="6"/>
        <v>0</v>
      </c>
      <c r="L27" s="1124">
        <f t="shared" si="6"/>
        <v>0</v>
      </c>
      <c r="M27" s="1124">
        <f t="shared" si="6"/>
        <v>0</v>
      </c>
      <c r="N27" s="1138">
        <f>SUM(B27:M27)/12</f>
        <v>0.57988681483148918</v>
      </c>
    </row>
    <row r="28" spans="1:14" x14ac:dyDescent="0.2">
      <c r="A28" s="1123" t="s">
        <v>913</v>
      </c>
      <c r="B28" s="1124">
        <f t="shared" ref="B28:M28" si="7">B12*100/B16</f>
        <v>5.9574611273749545</v>
      </c>
      <c r="C28" s="1124">
        <f t="shared" si="7"/>
        <v>4.1644585762232822</v>
      </c>
      <c r="D28" s="1124">
        <f t="shared" si="7"/>
        <v>6.3633083791828264</v>
      </c>
      <c r="E28" s="1124">
        <f t="shared" si="7"/>
        <v>0</v>
      </c>
      <c r="F28" s="1124">
        <f t="shared" si="7"/>
        <v>0</v>
      </c>
      <c r="G28" s="1124">
        <f t="shared" si="7"/>
        <v>0</v>
      </c>
      <c r="H28" s="1124">
        <f t="shared" si="7"/>
        <v>0</v>
      </c>
      <c r="I28" s="1124">
        <f t="shared" si="7"/>
        <v>0</v>
      </c>
      <c r="J28" s="1124">
        <f t="shared" si="7"/>
        <v>0</v>
      </c>
      <c r="K28" s="1124">
        <f t="shared" si="7"/>
        <v>0</v>
      </c>
      <c r="L28" s="1124">
        <f t="shared" si="7"/>
        <v>0</v>
      </c>
      <c r="M28" s="1124">
        <f t="shared" si="7"/>
        <v>0</v>
      </c>
      <c r="N28" s="1138">
        <f>SUM(B28:M28)/12</f>
        <v>1.3737690068984219</v>
      </c>
    </row>
    <row r="29" spans="1:14" ht="13.5" thickBot="1" x14ac:dyDescent="0.25">
      <c r="A29" s="1123" t="s">
        <v>914</v>
      </c>
      <c r="B29" s="1124">
        <f t="shared" ref="B29:M29" si="8">B8*100/B16</f>
        <v>5.5291969128268184</v>
      </c>
      <c r="C29" s="1124">
        <f t="shared" si="8"/>
        <v>8.7263734322557855</v>
      </c>
      <c r="D29" s="1124">
        <f t="shared" si="8"/>
        <v>13.935239469649138</v>
      </c>
      <c r="E29" s="1124">
        <f t="shared" si="8"/>
        <v>0</v>
      </c>
      <c r="F29" s="1124">
        <f t="shared" si="8"/>
        <v>0</v>
      </c>
      <c r="G29" s="1124">
        <f t="shared" si="8"/>
        <v>0</v>
      </c>
      <c r="H29" s="1124">
        <f t="shared" si="8"/>
        <v>0</v>
      </c>
      <c r="I29" s="1124">
        <f t="shared" si="8"/>
        <v>0</v>
      </c>
      <c r="J29" s="1124">
        <f t="shared" si="8"/>
        <v>0</v>
      </c>
      <c r="K29" s="1124">
        <f t="shared" si="8"/>
        <v>0</v>
      </c>
      <c r="L29" s="1124">
        <f t="shared" si="8"/>
        <v>0</v>
      </c>
      <c r="M29" s="1124">
        <f t="shared" si="8"/>
        <v>0</v>
      </c>
      <c r="N29" s="1138">
        <f>SUM(B29:M29)/12</f>
        <v>2.3492341512276451</v>
      </c>
    </row>
    <row r="30" spans="1:14" ht="13.5" thickBot="1" x14ac:dyDescent="0.25">
      <c r="A30" s="1147" t="s">
        <v>915</v>
      </c>
      <c r="B30" s="1148">
        <f t="shared" ref="B30:M30" si="9">SUM(B4-B16)*100/B16</f>
        <v>7.899945243361139</v>
      </c>
      <c r="C30" s="1148">
        <f t="shared" si="9"/>
        <v>21.78060413354531</v>
      </c>
      <c r="D30" s="1148">
        <f t="shared" si="9"/>
        <v>24.361865247587264</v>
      </c>
      <c r="E30" s="1148">
        <f t="shared" si="9"/>
        <v>0</v>
      </c>
      <c r="F30" s="1148">
        <f t="shared" si="9"/>
        <v>0</v>
      </c>
      <c r="G30" s="1148">
        <f t="shared" si="9"/>
        <v>0</v>
      </c>
      <c r="H30" s="1148">
        <f t="shared" si="9"/>
        <v>0</v>
      </c>
      <c r="I30" s="1148">
        <f t="shared" si="9"/>
        <v>0</v>
      </c>
      <c r="J30" s="1148">
        <f t="shared" si="9"/>
        <v>0</v>
      </c>
      <c r="K30" s="1148">
        <f t="shared" si="9"/>
        <v>0</v>
      </c>
      <c r="L30" s="1148">
        <f t="shared" si="9"/>
        <v>0</v>
      </c>
      <c r="M30" s="1148">
        <f t="shared" si="9"/>
        <v>0</v>
      </c>
      <c r="N30" s="1149">
        <f>SUM(B30:M30)/12</f>
        <v>4.5035345520411427</v>
      </c>
    </row>
    <row r="31" spans="1:14" x14ac:dyDescent="0.2">
      <c r="A31" s="1135"/>
      <c r="B31" s="1136"/>
      <c r="C31" s="1136"/>
      <c r="D31" s="1136"/>
      <c r="E31" s="1136"/>
      <c r="F31" s="1136"/>
      <c r="G31" s="1136"/>
      <c r="H31" s="1136"/>
      <c r="I31" s="1136"/>
      <c r="J31" s="1136"/>
      <c r="K31" s="1136"/>
      <c r="L31" s="1136"/>
      <c r="M31" s="1136"/>
      <c r="N31" s="1119"/>
    </row>
    <row r="32" spans="1:14" x14ac:dyDescent="0.2">
      <c r="A32" s="1150" t="s">
        <v>916</v>
      </c>
      <c r="B32" s="1136"/>
      <c r="C32" s="1136"/>
      <c r="D32" s="1136"/>
      <c r="E32" s="1136"/>
      <c r="F32" s="1136"/>
      <c r="G32" s="1136"/>
      <c r="H32" s="1136"/>
      <c r="I32" s="1136"/>
      <c r="J32" s="1136"/>
      <c r="K32" s="1136"/>
      <c r="L32" s="1136"/>
      <c r="M32" s="1136"/>
      <c r="N32" s="1119"/>
    </row>
    <row r="33" spans="1:14" x14ac:dyDescent="0.2">
      <c r="A33" s="1123" t="s">
        <v>917</v>
      </c>
      <c r="B33" s="1151">
        <v>44</v>
      </c>
      <c r="C33" s="1151">
        <v>43</v>
      </c>
      <c r="D33" s="1151">
        <v>43</v>
      </c>
      <c r="E33" s="1151">
        <v>43</v>
      </c>
      <c r="F33" s="1151">
        <v>43</v>
      </c>
      <c r="G33" s="1151">
        <v>43</v>
      </c>
      <c r="H33" s="1151">
        <v>43</v>
      </c>
      <c r="I33" s="1151">
        <v>43</v>
      </c>
      <c r="J33" s="1151">
        <v>43</v>
      </c>
      <c r="K33" s="1151">
        <v>43</v>
      </c>
      <c r="L33" s="1151">
        <v>43</v>
      </c>
      <c r="M33" s="1151">
        <v>43</v>
      </c>
      <c r="N33" s="1151">
        <v>43</v>
      </c>
    </row>
    <row r="34" spans="1:14" x14ac:dyDescent="0.2">
      <c r="A34" s="1123" t="s">
        <v>918</v>
      </c>
      <c r="B34" s="1151"/>
      <c r="C34" s="1151"/>
      <c r="D34" s="1151"/>
      <c r="E34" s="1151"/>
      <c r="F34" s="1151"/>
      <c r="G34" s="1151"/>
      <c r="H34" s="1151"/>
      <c r="I34" s="1151"/>
      <c r="J34" s="1151"/>
      <c r="K34" s="1151"/>
      <c r="L34" s="1151"/>
      <c r="M34" s="1151"/>
      <c r="N34" s="1151"/>
    </row>
    <row r="35" spans="1:14" x14ac:dyDescent="0.2">
      <c r="A35" s="1123" t="s">
        <v>919</v>
      </c>
      <c r="B35" s="1151"/>
      <c r="C35" s="1151">
        <v>1</v>
      </c>
      <c r="D35" s="1151"/>
      <c r="E35" s="1151"/>
      <c r="F35" s="1151"/>
      <c r="G35" s="1151"/>
      <c r="H35" s="1151"/>
      <c r="I35" s="1151"/>
      <c r="J35" s="1151"/>
      <c r="K35" s="1151"/>
      <c r="L35" s="1151"/>
      <c r="M35" s="1151"/>
      <c r="N35" s="1151"/>
    </row>
    <row r="36" spans="1:14" x14ac:dyDescent="0.2">
      <c r="A36" s="1123" t="s">
        <v>916</v>
      </c>
      <c r="B36" s="1151"/>
      <c r="C36" s="1151"/>
      <c r="D36" s="1151"/>
      <c r="E36" s="1151"/>
      <c r="F36" s="1151"/>
      <c r="G36" s="1151"/>
      <c r="H36" s="1151"/>
      <c r="I36" s="1151"/>
      <c r="J36" s="1151"/>
      <c r="K36" s="1151"/>
      <c r="L36" s="1151"/>
      <c r="M36" s="1151"/>
      <c r="N36" s="1151"/>
    </row>
    <row r="37" spans="1:14" x14ac:dyDescent="0.2">
      <c r="A37" s="1123" t="s">
        <v>920</v>
      </c>
      <c r="B37" s="1152">
        <f t="shared" ref="B37:M37" si="10">SUM(B36*100)/B33-100</f>
        <v>-100</v>
      </c>
      <c r="C37" s="1152">
        <f t="shared" si="10"/>
        <v>-100</v>
      </c>
      <c r="D37" s="1152">
        <f t="shared" si="10"/>
        <v>-100</v>
      </c>
      <c r="E37" s="1152">
        <f t="shared" si="10"/>
        <v>-100</v>
      </c>
      <c r="F37" s="1152">
        <f t="shared" si="10"/>
        <v>-100</v>
      </c>
      <c r="G37" s="1152">
        <f t="shared" si="10"/>
        <v>-100</v>
      </c>
      <c r="H37" s="1152">
        <f t="shared" si="10"/>
        <v>-100</v>
      </c>
      <c r="I37" s="1152">
        <f t="shared" si="10"/>
        <v>-100</v>
      </c>
      <c r="J37" s="1152">
        <f t="shared" si="10"/>
        <v>-100</v>
      </c>
      <c r="K37" s="1152">
        <f t="shared" si="10"/>
        <v>-100</v>
      </c>
      <c r="L37" s="1152">
        <f t="shared" si="10"/>
        <v>-100</v>
      </c>
      <c r="M37" s="1152">
        <f t="shared" si="10"/>
        <v>-100</v>
      </c>
      <c r="N37" s="1151"/>
    </row>
    <row r="38" spans="1:14" x14ac:dyDescent="0.2">
      <c r="A38" s="1135" t="s">
        <v>921</v>
      </c>
      <c r="B38" s="1153"/>
      <c r="C38" s="1153"/>
      <c r="D38" s="1154">
        <f>SUM(B37:D37/3)</f>
        <v>-33.333333333333336</v>
      </c>
      <c r="E38" s="1153"/>
      <c r="F38" s="1153"/>
      <c r="G38" s="1154">
        <f>SUM(E37:G37)/3</f>
        <v>-100</v>
      </c>
      <c r="H38" s="1153"/>
      <c r="I38" s="1153"/>
      <c r="J38" s="1154">
        <f>SUM(H37:J37)/3</f>
        <v>-100</v>
      </c>
      <c r="K38" s="1153"/>
      <c r="L38" s="1153"/>
      <c r="M38" s="1154">
        <f>SUM(K37:M37)/3</f>
        <v>-100</v>
      </c>
      <c r="N38" s="1153"/>
    </row>
    <row r="39" spans="1:14" x14ac:dyDescent="0.2">
      <c r="A39" s="1135"/>
      <c r="B39" s="1136"/>
      <c r="C39" s="1136"/>
      <c r="D39" s="1136"/>
      <c r="E39" s="1136"/>
      <c r="F39" s="1136"/>
      <c r="G39" s="1136"/>
      <c r="H39" s="1136"/>
      <c r="I39" s="1136"/>
      <c r="J39" s="1136"/>
      <c r="K39" s="1136"/>
      <c r="L39" s="1136"/>
      <c r="M39" s="1136"/>
      <c r="N39" s="1119"/>
    </row>
    <row r="40" spans="1:14" ht="16.5" thickBot="1" x14ac:dyDescent="0.3">
      <c r="E40" s="1155" t="s">
        <v>922</v>
      </c>
      <c r="F40" s="1156"/>
      <c r="G40" s="1157">
        <v>2012</v>
      </c>
    </row>
    <row r="41" spans="1:14" x14ac:dyDescent="0.2">
      <c r="A41" s="1158" t="s">
        <v>923</v>
      </c>
      <c r="B41" s="1159" t="s">
        <v>863</v>
      </c>
      <c r="C41" s="1159" t="s">
        <v>864</v>
      </c>
      <c r="D41" s="1159" t="s">
        <v>865</v>
      </c>
      <c r="E41" s="1159" t="s">
        <v>866</v>
      </c>
      <c r="F41" s="1159" t="s">
        <v>867</v>
      </c>
      <c r="G41" s="1159" t="s">
        <v>868</v>
      </c>
      <c r="H41" s="1159" t="s">
        <v>857</v>
      </c>
      <c r="I41" s="1159" t="s">
        <v>858</v>
      </c>
      <c r="J41" s="1159" t="s">
        <v>859</v>
      </c>
      <c r="K41" s="1159" t="s">
        <v>860</v>
      </c>
      <c r="L41" s="1159" t="s">
        <v>861</v>
      </c>
      <c r="M41" s="1159" t="s">
        <v>862</v>
      </c>
      <c r="N41" s="1160" t="s">
        <v>137</v>
      </c>
    </row>
    <row r="42" spans="1:14" x14ac:dyDescent="0.2">
      <c r="A42" s="1161" t="s">
        <v>924</v>
      </c>
      <c r="B42" s="1162">
        <v>37</v>
      </c>
      <c r="C42" s="1162">
        <v>60</v>
      </c>
      <c r="D42" s="1162">
        <v>48</v>
      </c>
      <c r="E42" s="1162">
        <v>37</v>
      </c>
      <c r="F42" s="1162"/>
      <c r="G42" s="1162"/>
      <c r="H42" s="1162"/>
      <c r="I42" s="1162"/>
      <c r="J42" s="1162"/>
      <c r="K42" s="1162"/>
      <c r="L42" s="1162"/>
      <c r="M42" s="1162"/>
      <c r="N42" s="1163">
        <f>SUM(B42:M42)</f>
        <v>182</v>
      </c>
    </row>
    <row r="43" spans="1:14" x14ac:dyDescent="0.2">
      <c r="A43" s="1161" t="s">
        <v>925</v>
      </c>
      <c r="B43" s="1162">
        <v>2467</v>
      </c>
      <c r="C43" s="1162">
        <v>2557</v>
      </c>
      <c r="D43" s="1162">
        <v>2482</v>
      </c>
      <c r="E43" s="1162">
        <v>1372</v>
      </c>
      <c r="F43" s="1162"/>
      <c r="G43" s="1162"/>
      <c r="H43" s="1162"/>
      <c r="I43" s="1162"/>
      <c r="J43" s="1162"/>
      <c r="K43" s="1162"/>
      <c r="L43" s="1162"/>
      <c r="M43" s="1162"/>
      <c r="N43" s="1163">
        <f>SUM(B43:M43)</f>
        <v>8878</v>
      </c>
    </row>
    <row r="44" spans="1:14" x14ac:dyDescent="0.2">
      <c r="A44" s="1161" t="s">
        <v>926</v>
      </c>
      <c r="B44" s="1162">
        <v>273</v>
      </c>
      <c r="C44" s="1162">
        <v>203</v>
      </c>
      <c r="D44" s="1162">
        <v>585</v>
      </c>
      <c r="E44" s="1162">
        <v>434</v>
      </c>
      <c r="F44" s="1162"/>
      <c r="G44" s="1162"/>
      <c r="H44" s="1162"/>
      <c r="I44" s="1162"/>
      <c r="J44" s="1162"/>
      <c r="K44" s="1162"/>
      <c r="L44" s="1162"/>
      <c r="M44" s="1162"/>
      <c r="N44" s="1163">
        <f>SUM(B44:M44)</f>
        <v>1495</v>
      </c>
    </row>
    <row r="45" spans="1:14" x14ac:dyDescent="0.2">
      <c r="A45" s="1161" t="s">
        <v>927</v>
      </c>
      <c r="B45" s="1162">
        <v>884</v>
      </c>
      <c r="C45" s="1162">
        <v>1038</v>
      </c>
      <c r="D45" s="1162">
        <v>964</v>
      </c>
      <c r="E45" s="1162">
        <v>790</v>
      </c>
      <c r="F45" s="1162"/>
      <c r="G45" s="1162"/>
      <c r="H45" s="1162"/>
      <c r="I45" s="1162"/>
      <c r="J45" s="1162"/>
      <c r="K45" s="1162"/>
      <c r="L45" s="1162"/>
      <c r="M45" s="1162"/>
      <c r="N45" s="1163">
        <f>SUM(B45:M45)</f>
        <v>3676</v>
      </c>
    </row>
    <row r="46" spans="1:14" ht="13.5" thickBot="1" x14ac:dyDescent="0.25">
      <c r="A46" s="1164" t="s">
        <v>928</v>
      </c>
      <c r="B46" s="1165">
        <v>1</v>
      </c>
      <c r="C46" s="1165">
        <v>7</v>
      </c>
      <c r="D46" s="1165"/>
      <c r="E46" s="1165">
        <v>1</v>
      </c>
      <c r="F46" s="1165"/>
      <c r="G46" s="1165"/>
      <c r="H46" s="1165"/>
      <c r="I46" s="1165"/>
      <c r="J46" s="1165"/>
      <c r="K46" s="1165"/>
      <c r="L46" s="1165"/>
      <c r="M46" s="1165"/>
      <c r="N46" s="1669">
        <f>SUM(B46:M46)</f>
        <v>9</v>
      </c>
    </row>
    <row r="47" spans="1:14" x14ac:dyDescent="0.2">
      <c r="N47" s="1670">
        <f>SUM(N42:N46)</f>
        <v>14240</v>
      </c>
    </row>
    <row r="48" spans="1:14" ht="16.5" thickBot="1" x14ac:dyDescent="0.3">
      <c r="E48" s="1155" t="s">
        <v>929</v>
      </c>
      <c r="F48" s="1156"/>
      <c r="G48" s="1157">
        <v>2012</v>
      </c>
    </row>
    <row r="49" spans="1:17" x14ac:dyDescent="0.2">
      <c r="A49" s="1158" t="s">
        <v>930</v>
      </c>
      <c r="B49" s="1159" t="s">
        <v>863</v>
      </c>
      <c r="C49" s="1159" t="s">
        <v>864</v>
      </c>
      <c r="D49" s="1159" t="s">
        <v>865</v>
      </c>
      <c r="E49" s="1159" t="s">
        <v>866</v>
      </c>
      <c r="F49" s="1159" t="s">
        <v>867</v>
      </c>
      <c r="G49" s="1159" t="s">
        <v>868</v>
      </c>
      <c r="H49" s="1159" t="s">
        <v>857</v>
      </c>
      <c r="I49" s="1159" t="s">
        <v>858</v>
      </c>
      <c r="J49" s="1159" t="s">
        <v>859</v>
      </c>
      <c r="K49" s="1159" t="s">
        <v>860</v>
      </c>
      <c r="L49" s="1159" t="s">
        <v>861</v>
      </c>
      <c r="M49" s="1159" t="s">
        <v>862</v>
      </c>
      <c r="N49" s="1160" t="s">
        <v>137</v>
      </c>
    </row>
    <row r="50" spans="1:17" x14ac:dyDescent="0.2">
      <c r="A50" s="1753" t="s">
        <v>931</v>
      </c>
      <c r="B50" s="1167"/>
      <c r="C50" s="1167"/>
      <c r="D50" s="1167"/>
      <c r="E50" s="1167"/>
      <c r="F50" s="1167"/>
      <c r="G50" s="1167"/>
      <c r="H50" s="1167"/>
      <c r="I50" s="1167"/>
      <c r="J50" s="1167"/>
      <c r="K50" s="1167"/>
      <c r="L50" s="1167"/>
      <c r="M50" s="1167"/>
      <c r="N50" s="1168">
        <f>SUM(B50:M50)</f>
        <v>0</v>
      </c>
    </row>
    <row r="51" spans="1:17" x14ac:dyDescent="0.2">
      <c r="A51" s="1161" t="s">
        <v>932</v>
      </c>
      <c r="B51" s="1169">
        <v>19</v>
      </c>
      <c r="C51" s="1169">
        <v>29</v>
      </c>
      <c r="D51" s="1169">
        <v>17</v>
      </c>
      <c r="E51" s="1169">
        <v>22</v>
      </c>
      <c r="F51" s="1169"/>
      <c r="G51" s="1169"/>
      <c r="H51" s="1169"/>
      <c r="I51" s="1169"/>
      <c r="J51" s="1169"/>
      <c r="K51" s="1169"/>
      <c r="L51" s="1169"/>
      <c r="M51" s="1169"/>
      <c r="N51" s="1168">
        <f>SUM(B51:M51)</f>
        <v>87</v>
      </c>
    </row>
    <row r="52" spans="1:17" x14ac:dyDescent="0.2">
      <c r="A52" s="1161" t="s">
        <v>933</v>
      </c>
      <c r="B52" s="1169">
        <v>12</v>
      </c>
      <c r="C52" s="1169">
        <v>12</v>
      </c>
      <c r="D52" s="1169">
        <v>20</v>
      </c>
      <c r="E52" s="1169">
        <v>25</v>
      </c>
      <c r="F52" s="1169"/>
      <c r="G52" s="1169"/>
      <c r="H52" s="1169"/>
      <c r="I52" s="1169"/>
      <c r="J52" s="1169"/>
      <c r="K52" s="1169"/>
      <c r="L52" s="1169"/>
      <c r="M52" s="1169"/>
      <c r="N52" s="1168">
        <f>SUM(B52:M52)</f>
        <v>69</v>
      </c>
    </row>
    <row r="53" spans="1:17" x14ac:dyDescent="0.2">
      <c r="A53" s="1161" t="s">
        <v>934</v>
      </c>
      <c r="B53" s="1170">
        <v>1</v>
      </c>
      <c r="C53" s="1170"/>
      <c r="D53" s="1170">
        <v>4</v>
      </c>
      <c r="E53" s="1170">
        <v>3</v>
      </c>
      <c r="F53" s="1170"/>
      <c r="G53" s="1170"/>
      <c r="H53" s="1170"/>
      <c r="I53" s="1170"/>
      <c r="J53" s="1170"/>
      <c r="K53" s="1170"/>
      <c r="L53" s="1170"/>
      <c r="M53" s="1170"/>
      <c r="N53" s="1168">
        <f>SUM(B53:M53)</f>
        <v>8</v>
      </c>
    </row>
    <row r="54" spans="1:17" x14ac:dyDescent="0.2">
      <c r="A54" s="1668" t="s">
        <v>935</v>
      </c>
      <c r="B54" s="1170"/>
      <c r="C54" s="1170">
        <v>13</v>
      </c>
      <c r="D54" s="1170">
        <v>31</v>
      </c>
      <c r="E54" s="1170">
        <v>17</v>
      </c>
      <c r="F54" s="1170"/>
      <c r="G54" s="1170"/>
      <c r="H54" s="1170"/>
      <c r="I54" s="1170"/>
      <c r="J54" s="1170"/>
      <c r="K54" s="1170"/>
      <c r="L54" s="1170"/>
      <c r="M54" s="1170"/>
      <c r="N54" s="1168">
        <f t="shared" ref="N54:N55" si="11">SUM(B54:M54)</f>
        <v>61</v>
      </c>
    </row>
    <row r="55" spans="1:17" ht="13.5" thickBot="1" x14ac:dyDescent="0.25">
      <c r="A55" s="1184" t="s">
        <v>936</v>
      </c>
      <c r="B55" s="1171">
        <v>46</v>
      </c>
      <c r="C55" s="1171">
        <v>51</v>
      </c>
      <c r="D55" s="1171">
        <v>54</v>
      </c>
      <c r="E55" s="1171">
        <v>48</v>
      </c>
      <c r="F55" s="1171"/>
      <c r="G55" s="1171"/>
      <c r="H55" s="1171"/>
      <c r="I55" s="1171"/>
      <c r="J55" s="1171"/>
      <c r="K55" s="1171"/>
      <c r="L55" s="1171"/>
      <c r="M55" s="1171"/>
      <c r="N55" s="1168">
        <f t="shared" si="11"/>
        <v>199</v>
      </c>
    </row>
    <row r="56" spans="1:17" ht="13.5" thickBot="1" x14ac:dyDescent="0.25">
      <c r="A56" s="1184"/>
      <c r="B56" s="1173"/>
      <c r="C56" s="1173"/>
      <c r="D56" s="1173"/>
      <c r="E56" s="1173"/>
      <c r="F56" s="1173"/>
      <c r="G56" s="1173"/>
      <c r="H56" s="1173"/>
      <c r="I56" s="1173"/>
      <c r="J56" s="1173"/>
      <c r="K56" s="1173"/>
      <c r="L56" s="1173"/>
      <c r="M56" s="1173"/>
      <c r="N56" s="1168">
        <f>SUM(N50:N55)</f>
        <v>424</v>
      </c>
    </row>
    <row r="57" spans="1:17" ht="18" x14ac:dyDescent="0.25">
      <c r="A57" s="1789" t="s">
        <v>937</v>
      </c>
      <c r="B57" s="1790"/>
      <c r="C57" s="1790"/>
      <c r="D57" s="1790"/>
      <c r="E57" s="1790"/>
      <c r="F57" s="1790"/>
      <c r="G57" s="1790"/>
      <c r="H57" s="1790"/>
      <c r="I57" s="1790"/>
      <c r="J57" s="1790"/>
      <c r="K57" s="1790"/>
      <c r="L57" s="1790"/>
      <c r="M57" s="1790"/>
      <c r="N57" s="1790"/>
    </row>
    <row r="58" spans="1:17" ht="15.75" x14ac:dyDescent="0.25">
      <c r="E58" s="1174"/>
      <c r="M58" s="1136"/>
      <c r="N58" s="1119"/>
    </row>
    <row r="59" spans="1:17" x14ac:dyDescent="0.2">
      <c r="A59" s="1175" t="s">
        <v>938</v>
      </c>
      <c r="B59" s="1176"/>
      <c r="C59" s="1177"/>
      <c r="D59" s="1184" t="s">
        <v>939</v>
      </c>
      <c r="I59" s="1178"/>
      <c r="J59" s="1179" t="s">
        <v>940</v>
      </c>
      <c r="K59" s="1176"/>
      <c r="L59" s="1176"/>
      <c r="M59" s="1176"/>
      <c r="N59" s="1180"/>
      <c r="P59" s="1136"/>
      <c r="Q59" s="1119"/>
    </row>
    <row r="60" spans="1:17" x14ac:dyDescent="0.2">
      <c r="A60" s="1178">
        <v>722</v>
      </c>
      <c r="B60" s="1178" t="s">
        <v>941</v>
      </c>
      <c r="C60" s="1181"/>
      <c r="D60" s="1182">
        <v>9775928</v>
      </c>
      <c r="E60" s="1183"/>
      <c r="F60" s="1183"/>
      <c r="G60" s="1183"/>
      <c r="H60" s="1183"/>
      <c r="I60" s="1184" t="s">
        <v>942</v>
      </c>
      <c r="J60" s="1162" t="s">
        <v>943</v>
      </c>
      <c r="K60" s="1162" t="s">
        <v>944</v>
      </c>
      <c r="L60" s="1754" t="s">
        <v>945</v>
      </c>
      <c r="M60" s="1755"/>
      <c r="N60" s="1162" t="s">
        <v>946</v>
      </c>
      <c r="P60" s="1136"/>
      <c r="Q60" s="1119"/>
    </row>
    <row r="61" spans="1:17" ht="13.5" thickBot="1" x14ac:dyDescent="0.25">
      <c r="A61" s="1178"/>
      <c r="B61" s="1178"/>
      <c r="C61" s="1181"/>
      <c r="D61" s="1182"/>
      <c r="E61" s="1183"/>
      <c r="F61" s="1183"/>
      <c r="G61" s="1183"/>
      <c r="H61" s="1183"/>
      <c r="I61" s="1791" t="s">
        <v>947</v>
      </c>
      <c r="J61" s="1792"/>
      <c r="K61" s="1792"/>
      <c r="L61" s="1792"/>
      <c r="M61" s="1793"/>
      <c r="N61" s="1185">
        <f>F90</f>
        <v>3091624</v>
      </c>
      <c r="O61" s="1183"/>
      <c r="P61" s="1136"/>
      <c r="Q61" s="1119"/>
    </row>
    <row r="62" spans="1:17" ht="13.5" thickBot="1" x14ac:dyDescent="0.25">
      <c r="A62" s="1186" t="s">
        <v>154</v>
      </c>
      <c r="B62" s="1187"/>
      <c r="C62" s="1188"/>
      <c r="D62" s="1756">
        <f>SUM(D60:D61)</f>
        <v>9775928</v>
      </c>
      <c r="E62" s="1192"/>
      <c r="F62" s="1192"/>
      <c r="G62" s="1192"/>
      <c r="H62" s="1183"/>
      <c r="I62" s="1162">
        <v>11820</v>
      </c>
      <c r="J62" s="1178">
        <v>147</v>
      </c>
      <c r="K62" s="1195">
        <v>40664</v>
      </c>
      <c r="L62" s="1178" t="s">
        <v>948</v>
      </c>
      <c r="M62" s="1757"/>
      <c r="N62" s="1189">
        <v>72061</v>
      </c>
      <c r="O62" s="1190"/>
      <c r="P62" s="1136"/>
      <c r="Q62" s="1119"/>
    </row>
    <row r="63" spans="1:17" x14ac:dyDescent="0.2">
      <c r="A63" s="1118" t="s">
        <v>153</v>
      </c>
      <c r="B63" s="1191"/>
      <c r="C63" s="1191"/>
      <c r="D63" s="1192">
        <f>D62/12</f>
        <v>814660.66666666663</v>
      </c>
      <c r="E63" s="1193"/>
      <c r="F63" s="1193"/>
      <c r="G63" s="1193"/>
      <c r="H63" s="1183"/>
      <c r="I63" s="1162">
        <v>62300</v>
      </c>
      <c r="J63" s="1178">
        <v>150</v>
      </c>
      <c r="K63" s="1195">
        <v>40544</v>
      </c>
      <c r="L63" s="1178" t="s">
        <v>949</v>
      </c>
      <c r="M63" s="1181"/>
      <c r="N63" s="1189">
        <v>63079</v>
      </c>
      <c r="O63" s="1212"/>
      <c r="P63" s="1136"/>
      <c r="Q63" s="1119"/>
    </row>
    <row r="64" spans="1:17" x14ac:dyDescent="0.2">
      <c r="B64" s="1191"/>
      <c r="C64" s="1191"/>
      <c r="H64" s="1183"/>
      <c r="I64" s="1162">
        <v>62011</v>
      </c>
      <c r="J64" s="1194" t="s">
        <v>950</v>
      </c>
      <c r="K64" s="1195">
        <v>38048</v>
      </c>
      <c r="L64" s="1178" t="s">
        <v>951</v>
      </c>
      <c r="M64" s="1181"/>
      <c r="N64" s="1189">
        <v>19971</v>
      </c>
      <c r="O64" s="1212"/>
      <c r="P64" s="1136"/>
      <c r="Q64" s="1119"/>
    </row>
    <row r="65" spans="1:17" x14ac:dyDescent="0.2">
      <c r="B65" s="1191"/>
      <c r="C65" s="1191"/>
      <c r="H65" s="1183"/>
      <c r="I65" s="1162" t="s">
        <v>952</v>
      </c>
      <c r="J65" s="1194" t="s">
        <v>953</v>
      </c>
      <c r="K65" s="1195">
        <v>38047</v>
      </c>
      <c r="L65" s="1178" t="s">
        <v>954</v>
      </c>
      <c r="M65" s="1181"/>
      <c r="N65" s="1189">
        <v>19971</v>
      </c>
      <c r="O65" s="1212"/>
      <c r="P65" s="1136"/>
      <c r="Q65" s="1119"/>
    </row>
    <row r="66" spans="1:17" x14ac:dyDescent="0.2">
      <c r="A66" s="1178"/>
      <c r="B66" s="1179" t="s">
        <v>940</v>
      </c>
      <c r="C66" s="1176"/>
      <c r="D66" s="1176"/>
      <c r="E66" s="1176"/>
      <c r="F66" s="1180"/>
      <c r="G66" s="1191"/>
      <c r="H66" s="1183" t="s">
        <v>955</v>
      </c>
      <c r="I66" s="1758"/>
      <c r="J66" s="1759"/>
      <c r="K66" s="1760"/>
      <c r="L66" s="1759"/>
      <c r="M66" s="1757"/>
      <c r="N66" s="1761"/>
      <c r="O66" s="1183"/>
      <c r="P66" s="1136"/>
      <c r="Q66" s="1119"/>
    </row>
    <row r="67" spans="1:17" x14ac:dyDescent="0.2">
      <c r="A67" s="1184" t="s">
        <v>942</v>
      </c>
      <c r="B67" s="1162" t="s">
        <v>943</v>
      </c>
      <c r="C67" s="1162" t="s">
        <v>944</v>
      </c>
      <c r="D67" s="1754" t="s">
        <v>945</v>
      </c>
      <c r="E67" s="1162"/>
      <c r="F67" s="1162" t="s">
        <v>946</v>
      </c>
      <c r="G67" s="1762"/>
      <c r="H67" s="1763" t="s">
        <v>956</v>
      </c>
      <c r="I67" s="1196">
        <v>31400</v>
      </c>
      <c r="J67" s="1197">
        <v>758</v>
      </c>
      <c r="K67" s="1198">
        <v>37500</v>
      </c>
      <c r="L67" s="1197" t="s">
        <v>957</v>
      </c>
      <c r="M67" s="1199"/>
      <c r="N67" s="1200">
        <v>40161</v>
      </c>
      <c r="O67" s="1209"/>
      <c r="P67" s="1136"/>
      <c r="Q67" s="1119"/>
    </row>
    <row r="68" spans="1:17" x14ac:dyDescent="0.2">
      <c r="A68" s="1162">
        <v>31139</v>
      </c>
      <c r="B68" s="1194">
        <v>111</v>
      </c>
      <c r="C68" s="1195">
        <v>40634</v>
      </c>
      <c r="D68" s="1178" t="s">
        <v>958</v>
      </c>
      <c r="E68" s="1764"/>
      <c r="F68" s="1765">
        <v>58572</v>
      </c>
      <c r="G68" s="1190"/>
      <c r="H68" s="1763" t="s">
        <v>959</v>
      </c>
      <c r="I68" s="1196">
        <v>51302</v>
      </c>
      <c r="J68" s="1197">
        <v>114</v>
      </c>
      <c r="K68" s="1198">
        <v>40544</v>
      </c>
      <c r="L68" s="1197" t="s">
        <v>960</v>
      </c>
      <c r="M68" s="1199"/>
      <c r="N68" s="1200">
        <v>16814</v>
      </c>
      <c r="O68" s="1212"/>
      <c r="P68" s="1136"/>
      <c r="Q68" s="1119"/>
    </row>
    <row r="69" spans="1:17" x14ac:dyDescent="0.2">
      <c r="A69" s="1766" t="s">
        <v>961</v>
      </c>
      <c r="B69" s="1178">
        <v>112</v>
      </c>
      <c r="C69" s="1195">
        <v>37956</v>
      </c>
      <c r="D69" s="1178" t="s">
        <v>962</v>
      </c>
      <c r="E69" s="1181"/>
      <c r="F69" s="1189">
        <v>118520</v>
      </c>
      <c r="G69" s="1183"/>
      <c r="H69" s="1763" t="s">
        <v>963</v>
      </c>
      <c r="I69" s="1196">
        <v>53204</v>
      </c>
      <c r="J69" s="1197">
        <v>114</v>
      </c>
      <c r="K69" s="1198">
        <v>40544</v>
      </c>
      <c r="L69" s="1197" t="s">
        <v>964</v>
      </c>
      <c r="M69" s="1199"/>
      <c r="N69" s="1200">
        <v>35767</v>
      </c>
      <c r="O69" s="1212"/>
      <c r="P69" s="1136"/>
      <c r="Q69" s="1119"/>
    </row>
    <row r="70" spans="1:17" x14ac:dyDescent="0.2">
      <c r="A70" s="1766" t="s">
        <v>965</v>
      </c>
      <c r="B70" s="1201">
        <v>113</v>
      </c>
      <c r="C70" s="1202">
        <v>38012</v>
      </c>
      <c r="D70" s="1201" t="s">
        <v>966</v>
      </c>
      <c r="E70" s="1203"/>
      <c r="F70" s="1204">
        <v>148969</v>
      </c>
      <c r="G70" s="1183"/>
      <c r="I70" s="1162">
        <v>62300</v>
      </c>
      <c r="J70" s="1178">
        <v>149</v>
      </c>
      <c r="K70" s="1195">
        <v>40544</v>
      </c>
      <c r="L70" s="1178" t="s">
        <v>967</v>
      </c>
      <c r="M70" s="1181"/>
      <c r="N70" s="1204">
        <v>50092</v>
      </c>
      <c r="O70" s="1183"/>
      <c r="P70" s="1136"/>
      <c r="Q70" s="1119"/>
    </row>
    <row r="71" spans="1:17" x14ac:dyDescent="0.2">
      <c r="A71" s="1162">
        <v>39610</v>
      </c>
      <c r="B71" s="1682">
        <v>153</v>
      </c>
      <c r="C71" s="1683" t="s">
        <v>968</v>
      </c>
      <c r="D71" s="1178"/>
      <c r="E71" s="1181"/>
      <c r="F71" s="1182">
        <v>80000</v>
      </c>
      <c r="G71" s="1190"/>
      <c r="H71" s="1183"/>
      <c r="I71" s="1162">
        <v>62300</v>
      </c>
      <c r="J71" s="1178">
        <v>148</v>
      </c>
      <c r="K71" s="1195">
        <v>40544</v>
      </c>
      <c r="L71" s="1178" t="s">
        <v>969</v>
      </c>
      <c r="M71" s="1181"/>
      <c r="N71" s="1204">
        <v>57478</v>
      </c>
      <c r="O71" s="1183"/>
      <c r="P71" s="1136"/>
      <c r="Q71" s="1119"/>
    </row>
    <row r="72" spans="1:17" x14ac:dyDescent="0.2">
      <c r="A72" s="1162">
        <v>23140</v>
      </c>
      <c r="B72" s="1201">
        <v>116</v>
      </c>
      <c r="C72" s="1202">
        <v>38412</v>
      </c>
      <c r="D72" s="1201" t="s">
        <v>970</v>
      </c>
      <c r="E72" s="1203"/>
      <c r="F72" s="1204">
        <v>61552</v>
      </c>
      <c r="G72" s="1183"/>
      <c r="H72" s="1183"/>
      <c r="I72" s="1162">
        <v>49500</v>
      </c>
      <c r="J72" s="1201">
        <v>900</v>
      </c>
      <c r="K72" s="1202">
        <v>38353</v>
      </c>
      <c r="L72" s="1201" t="s">
        <v>971</v>
      </c>
      <c r="M72" s="1203"/>
      <c r="N72" s="1204">
        <v>4178</v>
      </c>
      <c r="O72" s="1183"/>
      <c r="P72" s="1136"/>
      <c r="Q72" s="1119"/>
    </row>
    <row r="73" spans="1:17" x14ac:dyDescent="0.2">
      <c r="A73" s="1162">
        <v>54100</v>
      </c>
      <c r="B73" s="1178">
        <v>119</v>
      </c>
      <c r="C73" s="1195">
        <v>38808</v>
      </c>
      <c r="D73" s="1178" t="s">
        <v>972</v>
      </c>
      <c r="E73" s="1181"/>
      <c r="F73" s="1189">
        <v>1662560</v>
      </c>
      <c r="G73" s="1183"/>
      <c r="H73" s="1183"/>
      <c r="I73" s="1162">
        <v>82500</v>
      </c>
      <c r="J73" s="1178">
        <v>740</v>
      </c>
      <c r="K73" s="1195">
        <v>37834</v>
      </c>
      <c r="L73" s="1178" t="s">
        <v>973</v>
      </c>
      <c r="M73" s="1181"/>
      <c r="N73" s="1189">
        <v>94947</v>
      </c>
      <c r="O73" s="1183"/>
      <c r="P73" s="1136"/>
      <c r="Q73" s="1119"/>
    </row>
    <row r="74" spans="1:17" x14ac:dyDescent="0.2">
      <c r="A74" s="1162">
        <v>62005</v>
      </c>
      <c r="B74" s="1178">
        <v>121</v>
      </c>
      <c r="C74" s="1195">
        <v>39264</v>
      </c>
      <c r="D74" s="1178" t="s">
        <v>974</v>
      </c>
      <c r="E74" s="1181"/>
      <c r="F74" s="1189">
        <v>100185</v>
      </c>
      <c r="G74" s="1183"/>
      <c r="H74" s="1183"/>
      <c r="I74" s="1162">
        <v>62006</v>
      </c>
      <c r="J74" s="1194" t="s">
        <v>975</v>
      </c>
      <c r="K74" s="1195">
        <v>39173</v>
      </c>
      <c r="L74" s="1178" t="s">
        <v>976</v>
      </c>
      <c r="M74" s="1181"/>
      <c r="N74" s="1189">
        <v>41689</v>
      </c>
      <c r="O74" s="1767"/>
      <c r="P74" s="1136"/>
      <c r="Q74" s="1119"/>
    </row>
    <row r="75" spans="1:17" x14ac:dyDescent="0.2">
      <c r="A75" s="1162">
        <v>38350</v>
      </c>
      <c r="B75" s="1178">
        <v>122</v>
      </c>
      <c r="C75" s="1195">
        <v>39264</v>
      </c>
      <c r="D75" s="1178" t="s">
        <v>977</v>
      </c>
      <c r="E75" s="1181"/>
      <c r="F75" s="1189">
        <v>18880</v>
      </c>
      <c r="G75" s="1183"/>
      <c r="H75" s="1183"/>
      <c r="I75" s="1162">
        <v>38050</v>
      </c>
      <c r="J75" s="1205" t="s">
        <v>978</v>
      </c>
      <c r="K75" s="1202">
        <v>39448</v>
      </c>
      <c r="L75" s="1685" t="s">
        <v>979</v>
      </c>
      <c r="M75" s="1206"/>
      <c r="N75" s="1204">
        <v>30662</v>
      </c>
      <c r="O75" s="1183"/>
      <c r="P75" s="1136"/>
      <c r="Q75" s="1119"/>
    </row>
    <row r="76" spans="1:17" x14ac:dyDescent="0.2">
      <c r="A76" s="1162">
        <v>60111</v>
      </c>
      <c r="B76" s="1205">
        <v>128</v>
      </c>
      <c r="C76" s="1202">
        <v>39815</v>
      </c>
      <c r="D76" s="1178" t="s">
        <v>980</v>
      </c>
      <c r="E76" s="1764"/>
      <c r="F76" s="1182">
        <v>178927</v>
      </c>
      <c r="G76" s="1183"/>
      <c r="H76" s="1207"/>
      <c r="I76" s="1162">
        <v>28100</v>
      </c>
      <c r="J76" s="1201">
        <v>728</v>
      </c>
      <c r="K76" s="1202">
        <v>38846</v>
      </c>
      <c r="L76" s="1178" t="s">
        <v>981</v>
      </c>
      <c r="M76" s="1203"/>
      <c r="N76" s="1203">
        <v>73827</v>
      </c>
      <c r="O76" s="1183"/>
      <c r="P76" s="1136"/>
      <c r="Q76" s="1119"/>
    </row>
    <row r="77" spans="1:17" x14ac:dyDescent="0.2">
      <c r="A77" s="1162">
        <v>37105</v>
      </c>
      <c r="B77" s="1205">
        <v>129</v>
      </c>
      <c r="C77" s="1202">
        <v>39904</v>
      </c>
      <c r="D77" s="1178" t="s">
        <v>982</v>
      </c>
      <c r="E77" s="1764"/>
      <c r="F77" s="1182">
        <v>19252</v>
      </c>
      <c r="G77" s="1183"/>
      <c r="H77" s="1183"/>
      <c r="I77" s="1162">
        <v>38400</v>
      </c>
      <c r="J77" s="1178">
        <v>138</v>
      </c>
      <c r="K77" s="1760">
        <v>40544</v>
      </c>
      <c r="L77" s="1178" t="s">
        <v>983</v>
      </c>
      <c r="M77" s="1757"/>
      <c r="N77" s="1182">
        <v>29289</v>
      </c>
      <c r="O77" s="1183"/>
      <c r="P77" s="1136"/>
      <c r="Q77" s="1119"/>
    </row>
    <row r="78" spans="1:17" x14ac:dyDescent="0.2">
      <c r="A78" s="1162">
        <v>69725</v>
      </c>
      <c r="B78" s="1205">
        <v>130</v>
      </c>
      <c r="C78" s="1202">
        <v>39918</v>
      </c>
      <c r="D78" s="1178" t="s">
        <v>984</v>
      </c>
      <c r="E78" s="1764"/>
      <c r="F78" s="1182">
        <v>29820</v>
      </c>
      <c r="G78" s="1183"/>
      <c r="H78" s="1183"/>
      <c r="I78" s="1162">
        <v>37100</v>
      </c>
      <c r="J78" s="1201">
        <v>139</v>
      </c>
      <c r="K78" s="1760">
        <v>40544</v>
      </c>
      <c r="L78" s="1178" t="s">
        <v>985</v>
      </c>
      <c r="M78" s="1203"/>
      <c r="N78" s="1204">
        <v>9763</v>
      </c>
      <c r="O78" s="1183"/>
      <c r="P78" s="1136"/>
      <c r="Q78" s="1119"/>
    </row>
    <row r="79" spans="1:17" x14ac:dyDescent="0.2">
      <c r="A79" s="1162">
        <v>19020</v>
      </c>
      <c r="B79" s="1205">
        <v>131</v>
      </c>
      <c r="C79" s="1202">
        <v>40238</v>
      </c>
      <c r="D79" s="1208" t="s">
        <v>986</v>
      </c>
      <c r="F79" s="1182">
        <v>210256</v>
      </c>
      <c r="G79" s="1183"/>
      <c r="H79" s="1183"/>
      <c r="I79" s="1162"/>
      <c r="J79" s="1201"/>
      <c r="K79" s="1202"/>
      <c r="L79" s="1201"/>
      <c r="M79" s="1203"/>
      <c r="N79" s="1204"/>
      <c r="O79" s="1183"/>
      <c r="P79" s="1136"/>
      <c r="Q79" s="1119"/>
    </row>
    <row r="80" spans="1:17" x14ac:dyDescent="0.2">
      <c r="A80" s="1162">
        <v>54100</v>
      </c>
      <c r="B80" s="1205">
        <v>133</v>
      </c>
      <c r="C80" s="1202">
        <v>40040</v>
      </c>
      <c r="D80" s="1178" t="s">
        <v>987</v>
      </c>
      <c r="E80" s="1764"/>
      <c r="F80" s="1768"/>
      <c r="G80" s="1681" t="s">
        <v>988</v>
      </c>
      <c r="H80" s="1183"/>
      <c r="I80" s="1162"/>
      <c r="J80" s="1201"/>
      <c r="K80" s="1202"/>
      <c r="L80" s="1201"/>
      <c r="M80" s="1203"/>
      <c r="N80" s="1204"/>
      <c r="O80" s="1183"/>
      <c r="P80" s="1136"/>
      <c r="Q80" s="1119"/>
    </row>
    <row r="81" spans="1:17" x14ac:dyDescent="0.2">
      <c r="A81" s="1162">
        <v>50005</v>
      </c>
      <c r="B81" s="1178">
        <v>132</v>
      </c>
      <c r="C81" s="1195">
        <v>40057</v>
      </c>
      <c r="D81" s="1178" t="s">
        <v>989</v>
      </c>
      <c r="E81" s="1182"/>
      <c r="F81" s="1189">
        <v>182255</v>
      </c>
      <c r="G81" s="1183"/>
      <c r="H81" s="1183"/>
      <c r="I81" s="1162">
        <v>20100</v>
      </c>
      <c r="J81" s="1759" t="s">
        <v>941</v>
      </c>
      <c r="K81" s="1195">
        <v>40179</v>
      </c>
      <c r="L81" s="1178" t="s">
        <v>990</v>
      </c>
      <c r="M81" s="1181"/>
      <c r="N81" s="1204">
        <v>546551</v>
      </c>
      <c r="O81" s="1209"/>
      <c r="P81" s="1136"/>
      <c r="Q81" s="1119"/>
    </row>
    <row r="82" spans="1:17" x14ac:dyDescent="0.2">
      <c r="A82" s="1769"/>
      <c r="B82" s="1201">
        <v>140</v>
      </c>
      <c r="C82" s="1202">
        <v>40575</v>
      </c>
      <c r="D82" s="1182" t="s">
        <v>991</v>
      </c>
      <c r="F82" s="1204"/>
      <c r="G82" s="1212" t="s">
        <v>992</v>
      </c>
      <c r="H82" s="1183"/>
      <c r="I82" s="1162">
        <v>80005</v>
      </c>
      <c r="J82" s="1759" t="s">
        <v>941</v>
      </c>
      <c r="K82" s="1195">
        <v>40179</v>
      </c>
      <c r="L82" s="1178" t="s">
        <v>993</v>
      </c>
      <c r="M82" s="1181"/>
      <c r="N82" s="1204">
        <v>505945</v>
      </c>
      <c r="O82" s="1209"/>
      <c r="P82" s="1136"/>
      <c r="Q82" s="1119"/>
    </row>
    <row r="83" spans="1:17" x14ac:dyDescent="0.2">
      <c r="A83" s="1162">
        <v>62400</v>
      </c>
      <c r="B83" s="1201">
        <v>141</v>
      </c>
      <c r="C83" s="1202">
        <v>40544</v>
      </c>
      <c r="D83" s="1201" t="s">
        <v>994</v>
      </c>
      <c r="E83" s="1203"/>
      <c r="F83" s="1204">
        <v>18298</v>
      </c>
      <c r="G83" s="1190" t="s">
        <v>995</v>
      </c>
      <c r="H83" s="1183"/>
      <c r="I83" s="1162">
        <v>39630</v>
      </c>
      <c r="J83" s="1759" t="s">
        <v>941</v>
      </c>
      <c r="K83" s="1195">
        <v>40179</v>
      </c>
      <c r="L83" s="1178" t="s">
        <v>996</v>
      </c>
      <c r="M83" s="1181"/>
      <c r="N83" s="1204">
        <v>578646</v>
      </c>
      <c r="O83" s="1209"/>
      <c r="P83" s="1136"/>
      <c r="Q83" s="1119"/>
    </row>
    <row r="84" spans="1:17" x14ac:dyDescent="0.2">
      <c r="A84" s="1162">
        <v>60109</v>
      </c>
      <c r="B84" s="1184">
        <v>142</v>
      </c>
      <c r="C84" s="1195">
        <v>40544</v>
      </c>
      <c r="D84" s="1178" t="s">
        <v>997</v>
      </c>
      <c r="E84" s="1181"/>
      <c r="F84" s="1189">
        <v>54291</v>
      </c>
      <c r="G84" s="1190" t="s">
        <v>998</v>
      </c>
      <c r="H84" s="1183"/>
      <c r="I84" s="1162">
        <v>49500</v>
      </c>
      <c r="J84" s="1759" t="s">
        <v>941</v>
      </c>
      <c r="K84" s="1195">
        <v>40179</v>
      </c>
      <c r="L84" s="1178" t="s">
        <v>999</v>
      </c>
      <c r="M84" s="1181"/>
      <c r="N84" s="1204">
        <v>542491</v>
      </c>
      <c r="O84" s="1209"/>
      <c r="P84" s="1136"/>
      <c r="Q84" s="1119"/>
    </row>
    <row r="85" spans="1:17" x14ac:dyDescent="0.2">
      <c r="A85" s="1162">
        <v>67004</v>
      </c>
      <c r="B85" s="1184">
        <v>143</v>
      </c>
      <c r="C85" s="1195">
        <v>40544</v>
      </c>
      <c r="D85" s="1178" t="s">
        <v>1000</v>
      </c>
      <c r="E85" s="1181"/>
      <c r="F85" s="1189">
        <v>1666</v>
      </c>
      <c r="G85" s="1190" t="s">
        <v>1001</v>
      </c>
      <c r="H85" s="1183"/>
      <c r="I85" s="1162">
        <v>60111</v>
      </c>
      <c r="J85" s="1759" t="s">
        <v>941</v>
      </c>
      <c r="K85" s="1195">
        <v>40179</v>
      </c>
      <c r="L85" s="1178" t="s">
        <v>1002</v>
      </c>
      <c r="M85" s="1181"/>
      <c r="N85" s="1204">
        <v>717095</v>
      </c>
      <c r="O85" s="1209"/>
      <c r="P85" s="1136"/>
      <c r="Q85" s="1119"/>
    </row>
    <row r="86" spans="1:17" x14ac:dyDescent="0.2">
      <c r="A86" s="1213">
        <v>62300</v>
      </c>
      <c r="B86" s="1184">
        <v>144</v>
      </c>
      <c r="C86" s="1296">
        <v>40544</v>
      </c>
      <c r="D86" s="1178" t="s">
        <v>1003</v>
      </c>
      <c r="E86" s="1181"/>
      <c r="F86" s="1189">
        <v>3734</v>
      </c>
      <c r="G86" s="1190" t="s">
        <v>1004</v>
      </c>
      <c r="H86" s="1770"/>
      <c r="I86" s="1162">
        <v>11023</v>
      </c>
      <c r="J86" s="1759" t="s">
        <v>941</v>
      </c>
      <c r="K86" s="1195">
        <v>40179</v>
      </c>
      <c r="L86" s="1201" t="s">
        <v>1005</v>
      </c>
      <c r="M86" s="1203"/>
      <c r="N86" s="1204">
        <v>4118094</v>
      </c>
      <c r="O86" s="1209"/>
      <c r="P86" s="1136"/>
      <c r="Q86" s="1119"/>
    </row>
    <row r="87" spans="1:17" x14ac:dyDescent="0.2">
      <c r="A87" s="1162">
        <v>33410</v>
      </c>
      <c r="B87" s="1184">
        <v>145</v>
      </c>
      <c r="C87" s="1195">
        <v>40544</v>
      </c>
      <c r="D87" s="1178" t="s">
        <v>1006</v>
      </c>
      <c r="E87" s="1181"/>
      <c r="F87" s="1189">
        <v>16166</v>
      </c>
      <c r="G87" s="1214" t="s">
        <v>1007</v>
      </c>
      <c r="H87" s="1183"/>
      <c r="I87" s="1162">
        <v>11023</v>
      </c>
      <c r="J87" s="1759" t="s">
        <v>941</v>
      </c>
      <c r="K87" s="1195">
        <v>40179</v>
      </c>
      <c r="L87" s="1178" t="s">
        <v>1008</v>
      </c>
      <c r="M87" s="1181"/>
      <c r="N87" s="1204">
        <v>1085980</v>
      </c>
      <c r="O87" s="1209"/>
      <c r="P87" s="1136"/>
      <c r="Q87" s="1119"/>
    </row>
    <row r="88" spans="1:17" ht="13.5" thickBot="1" x14ac:dyDescent="0.25">
      <c r="A88" s="1162">
        <v>39851</v>
      </c>
      <c r="B88" s="1184">
        <v>146</v>
      </c>
      <c r="C88" s="1195">
        <v>40544</v>
      </c>
      <c r="D88" s="1178" t="s">
        <v>1009</v>
      </c>
      <c r="E88" s="1181"/>
      <c r="F88" s="1189">
        <v>10778</v>
      </c>
      <c r="G88" s="1214" t="s">
        <v>1010</v>
      </c>
      <c r="H88" s="1770"/>
      <c r="I88" s="1162" t="s">
        <v>1011</v>
      </c>
      <c r="J88" s="1759" t="s">
        <v>941</v>
      </c>
      <c r="K88" s="1195">
        <v>40179</v>
      </c>
      <c r="L88" s="1201" t="s">
        <v>952</v>
      </c>
      <c r="M88" s="1203"/>
      <c r="N88" s="1204">
        <v>1681126</v>
      </c>
      <c r="O88" s="1209"/>
      <c r="P88" s="1136"/>
      <c r="Q88" s="1119"/>
    </row>
    <row r="89" spans="1:17" ht="13.5" thickBot="1" x14ac:dyDescent="0.25">
      <c r="A89" s="1162">
        <v>53401</v>
      </c>
      <c r="B89" s="1684">
        <v>154</v>
      </c>
      <c r="C89" s="1760">
        <v>40966</v>
      </c>
      <c r="D89" s="1685" t="s">
        <v>1012</v>
      </c>
      <c r="E89" s="1764"/>
      <c r="F89" s="1765">
        <v>116943</v>
      </c>
      <c r="G89" s="1190"/>
      <c r="H89" s="1770"/>
      <c r="J89" s="1186" t="s">
        <v>154</v>
      </c>
      <c r="K89" s="1188"/>
      <c r="L89" s="1187"/>
      <c r="M89" s="1188"/>
      <c r="N89" s="1756">
        <f>SUM(N61:N88)</f>
        <v>13527301</v>
      </c>
      <c r="O89" s="1212"/>
      <c r="P89" s="1136"/>
      <c r="Q89" s="1119"/>
    </row>
    <row r="90" spans="1:17" ht="13.5" thickBot="1" x14ac:dyDescent="0.25">
      <c r="B90" s="1186" t="s">
        <v>1013</v>
      </c>
      <c r="C90" s="1188"/>
      <c r="D90" s="1187"/>
      <c r="E90" s="1188"/>
      <c r="F90" s="1215">
        <f>SUM(F67:F89)</f>
        <v>3091624</v>
      </c>
      <c r="G90" s="1183"/>
      <c r="H90" s="1770"/>
      <c r="J90" s="1216" t="s">
        <v>153</v>
      </c>
      <c r="K90" s="1216"/>
      <c r="L90" s="1216"/>
      <c r="M90" s="1217"/>
      <c r="N90" s="1771">
        <f>N89/12</f>
        <v>1127275.0833333333</v>
      </c>
      <c r="O90" s="1212"/>
      <c r="P90" s="1136"/>
      <c r="Q90" s="1119"/>
    </row>
    <row r="91" spans="1:17" x14ac:dyDescent="0.2">
      <c r="C91" s="1183"/>
      <c r="D91" s="1183"/>
      <c r="E91" s="1183"/>
      <c r="F91" s="1183"/>
      <c r="G91" s="1183"/>
      <c r="H91" s="1183"/>
      <c r="L91" s="1192"/>
      <c r="M91" s="1218"/>
      <c r="N91" s="1218"/>
      <c r="O91" s="1212"/>
      <c r="P91" s="1136"/>
      <c r="Q91" s="1119"/>
    </row>
    <row r="92" spans="1:17" x14ac:dyDescent="0.2">
      <c r="C92" s="1183"/>
      <c r="D92" s="1183"/>
      <c r="E92" s="1183"/>
      <c r="F92" s="1183"/>
      <c r="G92" s="1183"/>
      <c r="H92" s="1183"/>
      <c r="L92" s="1192"/>
      <c r="M92" s="1218"/>
      <c r="N92" s="1218"/>
      <c r="O92" s="1183"/>
      <c r="P92" s="1136"/>
      <c r="Q92" s="1119"/>
    </row>
    <row r="93" spans="1:17" x14ac:dyDescent="0.2">
      <c r="C93" s="1183"/>
      <c r="D93" s="1183"/>
      <c r="E93" s="1183"/>
      <c r="F93" s="1183"/>
      <c r="G93" s="1183"/>
      <c r="H93" s="1183"/>
      <c r="L93" s="1192"/>
      <c r="M93" s="1218"/>
      <c r="N93" s="1218"/>
      <c r="O93" s="1219"/>
      <c r="P93" s="1136"/>
      <c r="Q93" s="1119"/>
    </row>
    <row r="94" spans="1:17" x14ac:dyDescent="0.2">
      <c r="C94" s="1183"/>
      <c r="D94" s="1183"/>
      <c r="E94" s="1183"/>
      <c r="F94" s="1183"/>
      <c r="G94" s="1183"/>
      <c r="L94" s="1192"/>
      <c r="M94" s="1218"/>
      <c r="N94" s="1218"/>
      <c r="O94" s="1219"/>
      <c r="P94" s="1136"/>
      <c r="Q94" s="1119"/>
    </row>
    <row r="95" spans="1:17" x14ac:dyDescent="0.2">
      <c r="C95" s="1183"/>
      <c r="D95" s="1183"/>
      <c r="E95" s="1183"/>
      <c r="F95" s="1183"/>
      <c r="G95" s="1183"/>
      <c r="L95" s="1192"/>
      <c r="M95" s="1218"/>
      <c r="N95" s="1218"/>
      <c r="O95" s="1212"/>
      <c r="P95" s="1136"/>
      <c r="Q95" s="1119"/>
    </row>
    <row r="96" spans="1:17" x14ac:dyDescent="0.2">
      <c r="C96" s="1183"/>
      <c r="D96" s="1183"/>
      <c r="E96" s="1183"/>
      <c r="F96" s="1183"/>
      <c r="G96" s="1183"/>
      <c r="L96" s="1192"/>
      <c r="M96" s="1218"/>
      <c r="N96" s="1218"/>
      <c r="O96" s="1183"/>
      <c r="P96" s="1136"/>
      <c r="Q96" s="1119"/>
    </row>
    <row r="97" spans="1:14" x14ac:dyDescent="0.2">
      <c r="C97" s="1183"/>
      <c r="D97" s="1183"/>
      <c r="L97" s="1192"/>
      <c r="M97" s="1218"/>
      <c r="N97" s="1218"/>
    </row>
    <row r="98" spans="1:14" x14ac:dyDescent="0.2">
      <c r="A98" s="1220" t="s">
        <v>1014</v>
      </c>
      <c r="B98" s="1124" t="s">
        <v>863</v>
      </c>
      <c r="C98" s="1124" t="s">
        <v>864</v>
      </c>
      <c r="D98" s="1124" t="s">
        <v>865</v>
      </c>
      <c r="E98" s="1124" t="s">
        <v>866</v>
      </c>
      <c r="F98" s="1124" t="s">
        <v>867</v>
      </c>
      <c r="G98" s="1124" t="s">
        <v>868</v>
      </c>
      <c r="H98" s="1124" t="s">
        <v>857</v>
      </c>
      <c r="I98" s="1124" t="s">
        <v>858</v>
      </c>
      <c r="J98" s="1124" t="s">
        <v>859</v>
      </c>
      <c r="K98" s="1124" t="s">
        <v>860</v>
      </c>
      <c r="L98" s="1124" t="s">
        <v>861</v>
      </c>
      <c r="M98" s="1124" t="s">
        <v>862</v>
      </c>
      <c r="N98" s="1120"/>
    </row>
    <row r="99" spans="1:14" x14ac:dyDescent="0.2">
      <c r="A99" s="1123" t="s">
        <v>1015</v>
      </c>
      <c r="B99" s="1221"/>
      <c r="C99" s="1221"/>
      <c r="D99" s="1221"/>
      <c r="E99" s="1221"/>
      <c r="F99" s="1221"/>
      <c r="G99" s="1221"/>
      <c r="H99" s="1221"/>
      <c r="I99" s="1221"/>
      <c r="J99" s="1221"/>
      <c r="K99" s="1221"/>
      <c r="L99" s="1221"/>
      <c r="M99" s="1221"/>
      <c r="N99" s="1222">
        <f>SUM(B99:M99)</f>
        <v>0</v>
      </c>
    </row>
    <row r="100" spans="1:14" ht="13.5" thickBot="1" x14ac:dyDescent="0.25">
      <c r="A100" s="1139" t="s">
        <v>1016</v>
      </c>
      <c r="B100" s="1223">
        <f>N90</f>
        <v>1127275.0833333333</v>
      </c>
      <c r="C100" s="1223">
        <f>N90</f>
        <v>1127275.0833333333</v>
      </c>
      <c r="D100" s="1223">
        <f>N90</f>
        <v>1127275.0833333333</v>
      </c>
      <c r="E100" s="1223">
        <f>N90</f>
        <v>1127275.0833333333</v>
      </c>
      <c r="F100" s="1223">
        <f>N90</f>
        <v>1127275.0833333333</v>
      </c>
      <c r="G100" s="1223">
        <f>N90</f>
        <v>1127275.0833333333</v>
      </c>
      <c r="H100" s="1223">
        <f>N90</f>
        <v>1127275.0833333333</v>
      </c>
      <c r="I100" s="1223">
        <f>N90</f>
        <v>1127275.0833333333</v>
      </c>
      <c r="J100" s="1223">
        <f>N90</f>
        <v>1127275.0833333333</v>
      </c>
      <c r="K100" s="1223">
        <f>N90</f>
        <v>1127275.0833333333</v>
      </c>
      <c r="L100" s="1223">
        <f>N90</f>
        <v>1127275.0833333333</v>
      </c>
      <c r="M100" s="1223">
        <f>N90</f>
        <v>1127275.0833333333</v>
      </c>
      <c r="N100" s="1224">
        <f>SUM(B100:M100)</f>
        <v>13527301.000000002</v>
      </c>
    </row>
    <row r="101" spans="1:14" ht="13.5" thickBot="1" x14ac:dyDescent="0.25">
      <c r="A101" s="1225" t="s">
        <v>1017</v>
      </c>
      <c r="B101" s="1226">
        <f t="shared" ref="B101:N101" si="12">SUM(B99:B100)</f>
        <v>1127275.0833333333</v>
      </c>
      <c r="C101" s="1226">
        <f t="shared" si="12"/>
        <v>1127275.0833333333</v>
      </c>
      <c r="D101" s="1226">
        <f t="shared" si="12"/>
        <v>1127275.0833333333</v>
      </c>
      <c r="E101" s="1226">
        <f t="shared" si="12"/>
        <v>1127275.0833333333</v>
      </c>
      <c r="F101" s="1226">
        <f t="shared" si="12"/>
        <v>1127275.0833333333</v>
      </c>
      <c r="G101" s="1226">
        <f t="shared" si="12"/>
        <v>1127275.0833333333</v>
      </c>
      <c r="H101" s="1226">
        <f t="shared" si="12"/>
        <v>1127275.0833333333</v>
      </c>
      <c r="I101" s="1226">
        <f t="shared" si="12"/>
        <v>1127275.0833333333</v>
      </c>
      <c r="J101" s="1226">
        <f t="shared" si="12"/>
        <v>1127275.0833333333</v>
      </c>
      <c r="K101" s="1226">
        <f t="shared" si="12"/>
        <v>1127275.0833333333</v>
      </c>
      <c r="L101" s="1226">
        <f t="shared" si="12"/>
        <v>1127275.0833333333</v>
      </c>
      <c r="M101" s="1226">
        <f t="shared" si="12"/>
        <v>1127275.0833333333</v>
      </c>
      <c r="N101" s="1227">
        <f t="shared" si="12"/>
        <v>13527301.000000002</v>
      </c>
    </row>
    <row r="102" spans="1:14" x14ac:dyDescent="0.2">
      <c r="A102" s="1228" t="s">
        <v>1018</v>
      </c>
      <c r="B102" s="1229">
        <v>1630</v>
      </c>
      <c r="C102" s="1229">
        <v>5075</v>
      </c>
      <c r="D102" s="1229">
        <v>5950</v>
      </c>
      <c r="E102" s="1229">
        <v>6999</v>
      </c>
      <c r="F102" s="1229">
        <v>700</v>
      </c>
      <c r="G102" s="1230"/>
      <c r="H102" s="1229"/>
      <c r="I102" s="1229"/>
      <c r="J102" s="1229"/>
      <c r="K102" s="1229"/>
      <c r="L102" s="1229"/>
      <c r="M102" s="1229"/>
      <c r="N102" s="1229">
        <f t="shared" ref="N102:N107" si="13">SUM(B102:M102)</f>
        <v>20354</v>
      </c>
    </row>
    <row r="103" spans="1:14" x14ac:dyDescent="0.2">
      <c r="A103" s="1120" t="s">
        <v>1019</v>
      </c>
      <c r="B103" s="1222">
        <v>115125</v>
      </c>
      <c r="C103" s="1222">
        <v>129312</v>
      </c>
      <c r="D103" s="1222">
        <v>135500</v>
      </c>
      <c r="E103" s="1222">
        <v>225875</v>
      </c>
      <c r="F103" s="1222">
        <v>100000</v>
      </c>
      <c r="G103" s="1222">
        <v>100000</v>
      </c>
      <c r="H103" s="1222">
        <v>100000</v>
      </c>
      <c r="I103" s="1222">
        <v>100000</v>
      </c>
      <c r="J103" s="1222">
        <v>100000</v>
      </c>
      <c r="K103" s="1222">
        <v>100000</v>
      </c>
      <c r="L103" s="1222">
        <v>100000</v>
      </c>
      <c r="M103" s="1222">
        <v>100000</v>
      </c>
      <c r="N103" s="1229">
        <f t="shared" si="13"/>
        <v>1405812</v>
      </c>
    </row>
    <row r="104" spans="1:14" x14ac:dyDescent="0.2">
      <c r="A104" s="1120" t="s">
        <v>1020</v>
      </c>
      <c r="B104" s="1222">
        <v>25874</v>
      </c>
      <c r="C104" s="1222">
        <v>25874</v>
      </c>
      <c r="D104" s="1222">
        <v>25874</v>
      </c>
      <c r="E104" s="1222">
        <v>25874</v>
      </c>
      <c r="F104" s="1222">
        <v>18553</v>
      </c>
      <c r="G104" s="1222">
        <v>18553</v>
      </c>
      <c r="H104" s="1222">
        <v>18553</v>
      </c>
      <c r="I104" s="1222">
        <v>18553</v>
      </c>
      <c r="J104" s="1222">
        <v>18553</v>
      </c>
      <c r="K104" s="1222">
        <v>18553</v>
      </c>
      <c r="L104" s="1222">
        <v>18553</v>
      </c>
      <c r="M104" s="1222">
        <v>18553</v>
      </c>
      <c r="N104" s="1229">
        <f t="shared" si="13"/>
        <v>251920</v>
      </c>
    </row>
    <row r="105" spans="1:14" x14ac:dyDescent="0.2">
      <c r="A105" s="1120" t="s">
        <v>1021</v>
      </c>
      <c r="B105" s="1222">
        <v>272462.5</v>
      </c>
      <c r="C105" s="1221">
        <v>79308.5</v>
      </c>
      <c r="D105" s="1221">
        <v>84467</v>
      </c>
      <c r="E105" s="1232">
        <v>50000</v>
      </c>
      <c r="F105" s="1232">
        <v>50000</v>
      </c>
      <c r="G105" s="1232">
        <v>50000</v>
      </c>
      <c r="H105" s="1232">
        <v>50000</v>
      </c>
      <c r="I105" s="1232">
        <v>50000</v>
      </c>
      <c r="J105" s="1232">
        <v>50000</v>
      </c>
      <c r="K105" s="1232">
        <v>50000</v>
      </c>
      <c r="L105" s="1232">
        <v>50000</v>
      </c>
      <c r="M105" s="1232">
        <v>50000</v>
      </c>
      <c r="N105" s="1229">
        <f t="shared" si="13"/>
        <v>886238</v>
      </c>
    </row>
    <row r="106" spans="1:14" x14ac:dyDescent="0.2">
      <c r="A106" s="1120" t="s">
        <v>1022</v>
      </c>
      <c r="B106" s="1222">
        <v>500</v>
      </c>
      <c r="C106" s="1221">
        <v>225</v>
      </c>
      <c r="D106" s="1221">
        <v>1825</v>
      </c>
      <c r="E106" s="1221">
        <v>200</v>
      </c>
      <c r="F106" s="1221"/>
      <c r="G106" s="1221"/>
      <c r="H106" s="1221"/>
      <c r="I106" s="1221"/>
      <c r="J106" s="1221"/>
      <c r="K106" s="1221"/>
      <c r="L106" s="1221"/>
      <c r="M106" s="1221"/>
      <c r="N106" s="1229">
        <f t="shared" si="13"/>
        <v>2750</v>
      </c>
    </row>
    <row r="107" spans="1:14" x14ac:dyDescent="0.2">
      <c r="A107" s="1120" t="s">
        <v>1023</v>
      </c>
      <c r="B107" s="1222">
        <v>10</v>
      </c>
      <c r="C107" s="1221">
        <v>19</v>
      </c>
      <c r="D107" s="1221">
        <v>20</v>
      </c>
      <c r="E107" s="1221"/>
      <c r="F107" s="1221"/>
      <c r="G107" s="1221"/>
      <c r="H107" s="1221"/>
      <c r="I107" s="1221"/>
      <c r="J107" s="1221"/>
      <c r="K107" s="1221"/>
      <c r="L107" s="1221"/>
      <c r="M107" s="1221"/>
      <c r="N107" s="1229">
        <f t="shared" si="13"/>
        <v>49</v>
      </c>
    </row>
    <row r="108" spans="1:14" x14ac:dyDescent="0.2">
      <c r="A108" s="1120" t="s">
        <v>1024</v>
      </c>
      <c r="B108" s="1222">
        <v>26870</v>
      </c>
      <c r="C108" s="1221">
        <v>47597</v>
      </c>
      <c r="D108" s="1221">
        <v>55200</v>
      </c>
      <c r="E108" s="1221">
        <v>20000</v>
      </c>
      <c r="F108" s="1221">
        <v>20000</v>
      </c>
      <c r="G108" s="1221">
        <v>20000</v>
      </c>
      <c r="H108" s="1221">
        <v>20000</v>
      </c>
      <c r="I108" s="1221">
        <v>20000</v>
      </c>
      <c r="J108" s="1221">
        <v>20000</v>
      </c>
      <c r="K108" s="1221">
        <v>20000</v>
      </c>
      <c r="L108" s="1221">
        <v>20000</v>
      </c>
      <c r="M108" s="1221">
        <v>20000</v>
      </c>
      <c r="N108" s="1222">
        <f>SUM(B108:M108)</f>
        <v>309667</v>
      </c>
    </row>
    <row r="109" spans="1:14" x14ac:dyDescent="0.2">
      <c r="A109" s="1120" t="s">
        <v>1025</v>
      </c>
      <c r="B109" s="1222">
        <v>9</v>
      </c>
      <c r="C109" s="1221">
        <v>20</v>
      </c>
      <c r="D109" s="1221">
        <v>10</v>
      </c>
      <c r="E109" s="1221"/>
      <c r="F109" s="1221"/>
      <c r="G109" s="1221"/>
      <c r="H109" s="1221"/>
      <c r="I109" s="1221"/>
      <c r="J109" s="1221"/>
      <c r="K109" s="1221"/>
      <c r="L109" s="1221"/>
      <c r="M109" s="1221"/>
      <c r="N109" s="1222">
        <f t="shared" ref="N109:N110" si="14">SUM(B109:M109)</f>
        <v>39</v>
      </c>
    </row>
    <row r="110" spans="1:14" x14ac:dyDescent="0.2">
      <c r="A110" s="1120" t="s">
        <v>1026</v>
      </c>
      <c r="B110" s="1222"/>
      <c r="C110" s="1221">
        <v>3150</v>
      </c>
      <c r="D110" s="1221">
        <v>8100</v>
      </c>
      <c r="E110" s="1221">
        <v>3150</v>
      </c>
      <c r="F110" s="1221"/>
      <c r="G110" s="1221"/>
      <c r="H110" s="1221"/>
      <c r="I110" s="1221"/>
      <c r="J110" s="1221"/>
      <c r="K110" s="1221"/>
      <c r="L110" s="1221"/>
      <c r="M110" s="1221"/>
      <c r="N110" s="1222">
        <f t="shared" si="14"/>
        <v>14400</v>
      </c>
    </row>
    <row r="111" spans="1:14" x14ac:dyDescent="0.2">
      <c r="A111" s="1120" t="s">
        <v>1027</v>
      </c>
      <c r="B111" s="1222"/>
      <c r="C111" s="1221"/>
      <c r="D111" s="1221"/>
      <c r="E111" s="1221"/>
      <c r="F111" s="1221"/>
      <c r="G111" s="1221"/>
      <c r="H111" s="1221"/>
      <c r="I111" s="1221"/>
      <c r="J111" s="1221"/>
      <c r="K111" s="1221"/>
      <c r="L111" s="1221"/>
      <c r="M111" s="1221"/>
      <c r="N111" s="1222">
        <f>SUM(B111:M111)</f>
        <v>0</v>
      </c>
    </row>
    <row r="112" spans="1:14" ht="13.5" thickBot="1" x14ac:dyDescent="0.25">
      <c r="A112" s="1233" t="s">
        <v>1028</v>
      </c>
      <c r="B112" s="1234">
        <f t="shared" ref="B112:N112" si="15">SUM(B102:B111)</f>
        <v>442480.5</v>
      </c>
      <c r="C112" s="1234">
        <f t="shared" si="15"/>
        <v>290580.5</v>
      </c>
      <c r="D112" s="1234">
        <f t="shared" si="15"/>
        <v>316946</v>
      </c>
      <c r="E112" s="1234">
        <f t="shared" si="15"/>
        <v>332098</v>
      </c>
      <c r="F112" s="1234">
        <f t="shared" si="15"/>
        <v>189253</v>
      </c>
      <c r="G112" s="1234">
        <f t="shared" si="15"/>
        <v>188553</v>
      </c>
      <c r="H112" s="1234">
        <f t="shared" si="15"/>
        <v>188553</v>
      </c>
      <c r="I112" s="1234">
        <f t="shared" si="15"/>
        <v>188553</v>
      </c>
      <c r="J112" s="1234">
        <f t="shared" si="15"/>
        <v>188553</v>
      </c>
      <c r="K112" s="1234">
        <f t="shared" si="15"/>
        <v>188553</v>
      </c>
      <c r="L112" s="1234">
        <f t="shared" si="15"/>
        <v>188553</v>
      </c>
      <c r="M112" s="1234">
        <f t="shared" si="15"/>
        <v>188553</v>
      </c>
      <c r="N112" s="1234">
        <f t="shared" si="15"/>
        <v>2891229</v>
      </c>
    </row>
    <row r="113" spans="1:14" x14ac:dyDescent="0.2">
      <c r="A113" s="1228" t="s">
        <v>1029</v>
      </c>
      <c r="B113" s="1235"/>
      <c r="C113" s="1236"/>
      <c r="D113" s="1236"/>
      <c r="E113" s="1236">
        <v>55451</v>
      </c>
      <c r="F113" s="1236"/>
      <c r="G113" s="1236"/>
      <c r="H113" s="1236"/>
      <c r="I113" s="1236"/>
      <c r="J113" s="1236"/>
      <c r="K113" s="1236"/>
      <c r="L113" s="1236"/>
      <c r="M113" s="1236"/>
      <c r="N113" s="1229">
        <f>SUM(B113:M113)</f>
        <v>55451</v>
      </c>
    </row>
    <row r="114" spans="1:14" x14ac:dyDescent="0.2">
      <c r="A114" s="1237" t="s">
        <v>1030</v>
      </c>
      <c r="B114" s="1238">
        <f t="shared" ref="B114:N114" si="16">SUM(B101,B112,B113)</f>
        <v>1569755.5833333333</v>
      </c>
      <c r="C114" s="1238">
        <f t="shared" si="16"/>
        <v>1417855.5833333333</v>
      </c>
      <c r="D114" s="1238">
        <f t="shared" si="16"/>
        <v>1444221.0833333333</v>
      </c>
      <c r="E114" s="1238">
        <f t="shared" si="16"/>
        <v>1514824.0833333333</v>
      </c>
      <c r="F114" s="1238">
        <f t="shared" si="16"/>
        <v>1316528.0833333333</v>
      </c>
      <c r="G114" s="1238">
        <f t="shared" si="16"/>
        <v>1315828.0833333333</v>
      </c>
      <c r="H114" s="1238">
        <f t="shared" si="16"/>
        <v>1315828.0833333333</v>
      </c>
      <c r="I114" s="1238">
        <f t="shared" si="16"/>
        <v>1315828.0833333333</v>
      </c>
      <c r="J114" s="1238">
        <f t="shared" si="16"/>
        <v>1315828.0833333333</v>
      </c>
      <c r="K114" s="1238">
        <f t="shared" si="16"/>
        <v>1315828.0833333333</v>
      </c>
      <c r="L114" s="1238">
        <f t="shared" si="16"/>
        <v>1315828.0833333333</v>
      </c>
      <c r="M114" s="1238">
        <f t="shared" si="16"/>
        <v>1315828.0833333333</v>
      </c>
      <c r="N114" s="1238">
        <f t="shared" si="16"/>
        <v>16473981.000000002</v>
      </c>
    </row>
    <row r="115" spans="1:14" x14ac:dyDescent="0.2">
      <c r="A115" s="1239" t="s">
        <v>1031</v>
      </c>
      <c r="B115" s="1223">
        <v>1332759</v>
      </c>
      <c r="C115" s="1223">
        <v>1476393</v>
      </c>
      <c r="D115" s="1223">
        <v>1301103</v>
      </c>
      <c r="E115" s="1223">
        <v>1348898</v>
      </c>
      <c r="F115" s="1223">
        <v>1675205</v>
      </c>
      <c r="G115" s="1223">
        <v>1350000</v>
      </c>
      <c r="H115" s="1223">
        <v>1350000</v>
      </c>
      <c r="I115" s="1223">
        <v>1350000</v>
      </c>
      <c r="J115" s="1223">
        <v>1350000</v>
      </c>
      <c r="K115" s="1223">
        <v>1350000</v>
      </c>
      <c r="L115" s="1223">
        <v>1350000</v>
      </c>
      <c r="M115" s="1223">
        <v>1350000</v>
      </c>
      <c r="N115" s="1240">
        <f>SUM(B115:M115)</f>
        <v>16584358</v>
      </c>
    </row>
    <row r="116" spans="1:14" ht="13.5" thickBot="1" x14ac:dyDescent="0.25">
      <c r="A116" s="1241" t="s">
        <v>1032</v>
      </c>
      <c r="B116" s="1223">
        <v>15000</v>
      </c>
      <c r="C116" s="1223">
        <v>15000</v>
      </c>
      <c r="D116" s="1223">
        <v>15000</v>
      </c>
      <c r="E116" s="1223">
        <v>15000</v>
      </c>
      <c r="F116" s="1223">
        <v>15000</v>
      </c>
      <c r="G116" s="1223">
        <v>15000</v>
      </c>
      <c r="H116" s="1223">
        <v>15000</v>
      </c>
      <c r="I116" s="1223">
        <v>15000</v>
      </c>
      <c r="J116" s="1223">
        <v>15000</v>
      </c>
      <c r="K116" s="1223">
        <v>15000</v>
      </c>
      <c r="L116" s="1223">
        <v>15000</v>
      </c>
      <c r="M116" s="1223">
        <v>15000</v>
      </c>
      <c r="N116" s="1223">
        <f>SUM(B116:M116)</f>
        <v>180000</v>
      </c>
    </row>
    <row r="117" spans="1:14" ht="13.5" thickBot="1" x14ac:dyDescent="0.25">
      <c r="A117" s="1242" t="s">
        <v>1033</v>
      </c>
      <c r="B117" s="1243">
        <f t="shared" ref="B117:N117" si="17">SUM(B114-B115-B116)</f>
        <v>221996.58333333326</v>
      </c>
      <c r="C117" s="1243">
        <f t="shared" si="17"/>
        <v>-73537.416666666744</v>
      </c>
      <c r="D117" s="1243">
        <f t="shared" si="17"/>
        <v>128118.08333333326</v>
      </c>
      <c r="E117" s="1243">
        <f t="shared" si="17"/>
        <v>150926.08333333326</v>
      </c>
      <c r="F117" s="1243">
        <f t="shared" si="17"/>
        <v>-373676.91666666674</v>
      </c>
      <c r="G117" s="1243">
        <f t="shared" si="17"/>
        <v>-49171.916666666744</v>
      </c>
      <c r="H117" s="1243">
        <f t="shared" si="17"/>
        <v>-49171.916666666744</v>
      </c>
      <c r="I117" s="1243">
        <f t="shared" si="17"/>
        <v>-49171.916666666744</v>
      </c>
      <c r="J117" s="1243">
        <f t="shared" si="17"/>
        <v>-49171.916666666744</v>
      </c>
      <c r="K117" s="1243">
        <f t="shared" si="17"/>
        <v>-49171.916666666744</v>
      </c>
      <c r="L117" s="1243">
        <f t="shared" si="17"/>
        <v>-49171.916666666744</v>
      </c>
      <c r="M117" s="1243">
        <f t="shared" si="17"/>
        <v>-49171.916666666744</v>
      </c>
      <c r="N117" s="1243">
        <f t="shared" si="17"/>
        <v>-290376.99999999814</v>
      </c>
    </row>
    <row r="118" spans="1:14" ht="13.5" thickBot="1" x14ac:dyDescent="0.25">
      <c r="A118" s="1244"/>
      <c r="B118" s="1245"/>
      <c r="C118" s="1245"/>
      <c r="D118" s="1245"/>
      <c r="E118" s="1245"/>
      <c r="F118" s="1245"/>
      <c r="G118" s="1245"/>
      <c r="H118" s="1245"/>
      <c r="I118" s="1245"/>
      <c r="J118" s="1245"/>
      <c r="K118" s="1245"/>
      <c r="L118" s="1245"/>
      <c r="M118" s="1245"/>
      <c r="N118" s="1245"/>
    </row>
    <row r="119" spans="1:14" ht="20.25" x14ac:dyDescent="0.3">
      <c r="A119" s="1794" t="s">
        <v>1034</v>
      </c>
      <c r="B119" s="1794"/>
      <c r="C119" s="1794"/>
      <c r="D119" s="1794"/>
      <c r="E119" s="1794"/>
      <c r="F119" s="1794"/>
      <c r="G119" s="1794"/>
      <c r="H119" s="1794"/>
      <c r="I119" s="1794"/>
      <c r="J119" s="1794"/>
      <c r="K119" s="1794"/>
      <c r="L119" s="1794"/>
      <c r="M119" s="1794"/>
      <c r="N119" s="1794"/>
    </row>
    <row r="120" spans="1:14" x14ac:dyDescent="0.2">
      <c r="A120" s="1119"/>
      <c r="B120" s="1119"/>
      <c r="C120" s="1119"/>
      <c r="D120" s="1119"/>
      <c r="E120" s="1119"/>
      <c r="F120" s="1119"/>
      <c r="G120" s="1119"/>
      <c r="H120" s="1119"/>
      <c r="I120" s="1119"/>
      <c r="J120" s="1119"/>
      <c r="K120" s="1119"/>
      <c r="L120" s="1119"/>
      <c r="M120" s="1119"/>
    </row>
    <row r="121" spans="1:14" x14ac:dyDescent="0.2">
      <c r="A121" s="1120"/>
      <c r="B121" s="1121" t="s">
        <v>863</v>
      </c>
      <c r="C121" s="1121" t="s">
        <v>864</v>
      </c>
      <c r="D121" s="1122" t="s">
        <v>865</v>
      </c>
      <c r="E121" s="1121" t="s">
        <v>866</v>
      </c>
      <c r="F121" s="1121" t="s">
        <v>867</v>
      </c>
      <c r="G121" s="1122" t="s">
        <v>868</v>
      </c>
      <c r="H121" s="1121" t="s">
        <v>857</v>
      </c>
      <c r="I121" s="1121" t="s">
        <v>858</v>
      </c>
      <c r="J121" s="1121" t="s">
        <v>859</v>
      </c>
      <c r="K121" s="1121" t="s">
        <v>860</v>
      </c>
      <c r="L121" s="1121" t="s">
        <v>861</v>
      </c>
      <c r="M121" s="1121" t="s">
        <v>862</v>
      </c>
      <c r="N121" s="1120" t="s">
        <v>137</v>
      </c>
    </row>
    <row r="122" spans="1:14" x14ac:dyDescent="0.2">
      <c r="A122" s="1123" t="s">
        <v>332</v>
      </c>
      <c r="B122" s="1124">
        <v>2565</v>
      </c>
      <c r="C122" s="1124">
        <v>2565</v>
      </c>
      <c r="D122" s="1124">
        <v>2565</v>
      </c>
      <c r="E122" s="1124">
        <v>2565</v>
      </c>
      <c r="F122" s="1124">
        <v>2565</v>
      </c>
      <c r="G122" s="1124">
        <v>2565</v>
      </c>
      <c r="H122" s="1124">
        <v>2565</v>
      </c>
      <c r="I122" s="1124">
        <v>2565</v>
      </c>
      <c r="J122" s="1124">
        <v>2565</v>
      </c>
      <c r="K122" s="1124">
        <v>2565</v>
      </c>
      <c r="L122" s="1124">
        <v>2565</v>
      </c>
      <c r="M122" s="1124">
        <v>2565</v>
      </c>
      <c r="N122" s="1124">
        <f t="shared" ref="N122:N133" si="18">SUM(B122:M122)</f>
        <v>30780</v>
      </c>
    </row>
    <row r="123" spans="1:14" x14ac:dyDescent="0.2">
      <c r="A123" s="1123" t="s">
        <v>893</v>
      </c>
      <c r="B123" s="1124"/>
      <c r="C123" s="1124"/>
      <c r="D123" s="1124"/>
      <c r="E123" s="1124"/>
      <c r="F123" s="1124"/>
      <c r="G123" s="1125"/>
      <c r="H123" s="1124"/>
      <c r="I123" s="1124"/>
      <c r="J123" s="1126"/>
      <c r="K123" s="1124"/>
      <c r="L123" s="1124"/>
      <c r="M123" s="1124"/>
      <c r="N123" s="1124">
        <f t="shared" si="18"/>
        <v>0</v>
      </c>
    </row>
    <row r="124" spans="1:14" x14ac:dyDescent="0.2">
      <c r="A124" s="1123" t="s">
        <v>1035</v>
      </c>
      <c r="B124" s="1124"/>
      <c r="C124" s="1124"/>
      <c r="D124" s="1124"/>
      <c r="E124" s="1124"/>
      <c r="F124" s="1124"/>
      <c r="G124" s="1125"/>
      <c r="H124" s="1124"/>
      <c r="I124" s="1124"/>
      <c r="J124" s="1124"/>
      <c r="K124" s="1124"/>
      <c r="L124" s="1124"/>
      <c r="M124" s="1120"/>
      <c r="N124" s="1124">
        <f t="shared" si="18"/>
        <v>0</v>
      </c>
    </row>
    <row r="125" spans="1:14" x14ac:dyDescent="0.2">
      <c r="A125" s="1123" t="s">
        <v>896</v>
      </c>
      <c r="B125" s="1124">
        <v>50.75</v>
      </c>
      <c r="C125" s="1124">
        <v>121</v>
      </c>
      <c r="D125" s="1124">
        <v>235.75</v>
      </c>
      <c r="E125" s="1124"/>
      <c r="F125" s="1124"/>
      <c r="G125" s="1125"/>
      <c r="H125" s="1124"/>
      <c r="I125" s="1124"/>
      <c r="J125" s="1124"/>
      <c r="K125" s="1124"/>
      <c r="L125" s="1124"/>
      <c r="M125" s="1124"/>
      <c r="N125" s="1124">
        <f t="shared" si="18"/>
        <v>407.5</v>
      </c>
    </row>
    <row r="126" spans="1:14" x14ac:dyDescent="0.2">
      <c r="A126" s="1123" t="s">
        <v>897</v>
      </c>
      <c r="B126" s="1124">
        <v>37</v>
      </c>
      <c r="C126" s="1124">
        <v>37</v>
      </c>
      <c r="D126" s="1124">
        <v>21.5</v>
      </c>
      <c r="E126" s="1124"/>
      <c r="F126" s="1124"/>
      <c r="G126" s="1125"/>
      <c r="H126" s="1124"/>
      <c r="I126" s="1124"/>
      <c r="J126" s="1124"/>
      <c r="K126" s="1124"/>
      <c r="L126" s="1124"/>
      <c r="M126" s="1124"/>
      <c r="N126" s="1124">
        <f t="shared" si="18"/>
        <v>95.5</v>
      </c>
    </row>
    <row r="127" spans="1:14" x14ac:dyDescent="0.2">
      <c r="A127" s="1123" t="s">
        <v>898</v>
      </c>
      <c r="B127" s="1124">
        <v>46.5</v>
      </c>
      <c r="C127" s="1124">
        <v>161</v>
      </c>
      <c r="D127" s="1124">
        <v>42.5</v>
      </c>
      <c r="E127" s="1124"/>
      <c r="F127" s="1124"/>
      <c r="G127" s="1125"/>
      <c r="H127" s="1124"/>
      <c r="I127" s="1124"/>
      <c r="J127" s="1124"/>
      <c r="K127" s="1124"/>
      <c r="L127" s="1124"/>
      <c r="M127" s="1124"/>
      <c r="N127" s="1124">
        <f t="shared" si="18"/>
        <v>250</v>
      </c>
    </row>
    <row r="128" spans="1:14" x14ac:dyDescent="0.2">
      <c r="A128" s="1123" t="s">
        <v>899</v>
      </c>
      <c r="B128" s="1124"/>
      <c r="C128" s="1124"/>
      <c r="D128" s="1124"/>
      <c r="E128" s="1124"/>
      <c r="F128" s="1124"/>
      <c r="G128" s="1125"/>
      <c r="H128" s="1124"/>
      <c r="I128" s="1124"/>
      <c r="J128" s="1124"/>
      <c r="K128" s="1124"/>
      <c r="L128" s="1124"/>
      <c r="M128" s="1124"/>
      <c r="N128" s="1124">
        <f t="shared" si="18"/>
        <v>0</v>
      </c>
    </row>
    <row r="129" spans="1:14" x14ac:dyDescent="0.2">
      <c r="A129" s="1123" t="s">
        <v>900</v>
      </c>
      <c r="B129" s="1124">
        <v>34.25</v>
      </c>
      <c r="C129" s="1124">
        <v>58.5</v>
      </c>
      <c r="D129" s="1124">
        <v>23</v>
      </c>
      <c r="E129" s="1124"/>
      <c r="F129" s="1124"/>
      <c r="G129" s="1125"/>
      <c r="H129" s="1124"/>
      <c r="I129" s="1124"/>
      <c r="J129" s="1124"/>
      <c r="K129" s="1124"/>
      <c r="L129" s="1124"/>
      <c r="M129" s="1124"/>
      <c r="N129" s="1124">
        <f t="shared" si="18"/>
        <v>115.75</v>
      </c>
    </row>
    <row r="130" spans="1:14" x14ac:dyDescent="0.2">
      <c r="A130" s="1123" t="s">
        <v>901</v>
      </c>
      <c r="B130" s="1124"/>
      <c r="C130" s="1124"/>
      <c r="D130" s="1124"/>
      <c r="E130" s="1124"/>
      <c r="F130" s="1124"/>
      <c r="G130" s="1125"/>
      <c r="H130" s="1124"/>
      <c r="I130" s="1124"/>
      <c r="J130" s="1124"/>
      <c r="K130" s="1124"/>
      <c r="L130" s="1124"/>
      <c r="M130" s="1124"/>
      <c r="N130" s="1124">
        <f t="shared" si="18"/>
        <v>0</v>
      </c>
    </row>
    <row r="131" spans="1:14" x14ac:dyDescent="0.2">
      <c r="A131" s="1123" t="s">
        <v>902</v>
      </c>
      <c r="B131" s="1124">
        <v>18</v>
      </c>
      <c r="C131" s="1124">
        <v>114.25</v>
      </c>
      <c r="D131" s="1124"/>
      <c r="E131" s="1124"/>
      <c r="F131" s="1124"/>
      <c r="G131" s="1125"/>
      <c r="H131" s="1124"/>
      <c r="I131" s="1124"/>
      <c r="J131" s="1124"/>
      <c r="K131" s="1124"/>
      <c r="L131" s="1124"/>
      <c r="M131" s="1124"/>
      <c r="N131" s="1124">
        <f t="shared" si="18"/>
        <v>132.25</v>
      </c>
    </row>
    <row r="132" spans="1:14" ht="13.5" thickBot="1" x14ac:dyDescent="0.25">
      <c r="A132" s="1127" t="s">
        <v>903</v>
      </c>
      <c r="B132" s="1128"/>
      <c r="C132" s="1128"/>
      <c r="D132" s="1128"/>
      <c r="E132" s="1128"/>
      <c r="F132" s="1128"/>
      <c r="G132" s="1129"/>
      <c r="H132" s="1128"/>
      <c r="I132" s="1128"/>
      <c r="J132" s="1128"/>
      <c r="K132" s="1128"/>
      <c r="L132" s="1128"/>
      <c r="M132" s="1128"/>
      <c r="N132" s="1130">
        <f t="shared" si="18"/>
        <v>0</v>
      </c>
    </row>
    <row r="133" spans="1:14" ht="13.5" thickBot="1" x14ac:dyDescent="0.25">
      <c r="A133" s="1131" t="s">
        <v>904</v>
      </c>
      <c r="B133" s="1132">
        <f t="shared" ref="B133:M133" si="19">SUM(B122+B123+B124-B125-B126-B127-B129-B130-B131-B132)</f>
        <v>2378.5</v>
      </c>
      <c r="C133" s="1132">
        <f t="shared" si="19"/>
        <v>2073.25</v>
      </c>
      <c r="D133" s="1132">
        <f t="shared" si="19"/>
        <v>2242.25</v>
      </c>
      <c r="E133" s="1132">
        <f t="shared" si="19"/>
        <v>2565</v>
      </c>
      <c r="F133" s="1132">
        <f t="shared" si="19"/>
        <v>2565</v>
      </c>
      <c r="G133" s="1246">
        <f t="shared" si="19"/>
        <v>2565</v>
      </c>
      <c r="H133" s="1132">
        <f t="shared" si="19"/>
        <v>2565</v>
      </c>
      <c r="I133" s="1132">
        <f t="shared" si="19"/>
        <v>2565</v>
      </c>
      <c r="J133" s="1132">
        <f t="shared" si="19"/>
        <v>2565</v>
      </c>
      <c r="K133" s="1132">
        <f t="shared" si="19"/>
        <v>2565</v>
      </c>
      <c r="L133" s="1132">
        <f t="shared" si="19"/>
        <v>2565</v>
      </c>
      <c r="M133" s="1133">
        <f t="shared" si="19"/>
        <v>2565</v>
      </c>
      <c r="N133" s="1134">
        <f t="shared" si="18"/>
        <v>29779</v>
      </c>
    </row>
    <row r="134" spans="1:14" x14ac:dyDescent="0.2">
      <c r="A134" s="1135"/>
      <c r="B134" s="1136"/>
      <c r="C134" s="1136"/>
      <c r="D134" s="1136"/>
      <c r="E134" s="1136"/>
      <c r="F134" s="1136"/>
      <c r="G134" s="1136"/>
      <c r="H134" s="1136"/>
      <c r="I134" s="1136"/>
      <c r="J134" s="1136"/>
      <c r="K134" s="1136"/>
      <c r="L134" s="1136"/>
      <c r="M134" s="1136"/>
      <c r="N134" s="1136"/>
    </row>
    <row r="135" spans="1:14" x14ac:dyDescent="0.2">
      <c r="A135" s="1135"/>
      <c r="B135" s="1136"/>
      <c r="C135" s="1136"/>
      <c r="D135" s="1136"/>
      <c r="E135" s="1136"/>
      <c r="F135" s="1136"/>
      <c r="G135" s="1136"/>
      <c r="H135" s="1136"/>
      <c r="I135" s="1136"/>
      <c r="J135" s="1136"/>
      <c r="K135" s="1136"/>
      <c r="L135" s="1136"/>
      <c r="M135" s="1136"/>
      <c r="N135" s="1137" t="s">
        <v>905</v>
      </c>
    </row>
    <row r="136" spans="1:14" x14ac:dyDescent="0.2">
      <c r="A136" s="1123" t="s">
        <v>906</v>
      </c>
      <c r="B136" s="1124">
        <f t="shared" ref="B136:M136" si="20">SUM(B123*100/B133)</f>
        <v>0</v>
      </c>
      <c r="C136" s="1124">
        <f t="shared" si="20"/>
        <v>0</v>
      </c>
      <c r="D136" s="1124">
        <f t="shared" si="20"/>
        <v>0</v>
      </c>
      <c r="E136" s="1124">
        <f t="shared" si="20"/>
        <v>0</v>
      </c>
      <c r="F136" s="1124">
        <f t="shared" si="20"/>
        <v>0</v>
      </c>
      <c r="G136" s="1124">
        <f t="shared" si="20"/>
        <v>0</v>
      </c>
      <c r="H136" s="1124">
        <f t="shared" si="20"/>
        <v>0</v>
      </c>
      <c r="I136" s="1124">
        <f t="shared" si="20"/>
        <v>0</v>
      </c>
      <c r="J136" s="1124">
        <f t="shared" si="20"/>
        <v>0</v>
      </c>
      <c r="K136" s="1124">
        <f t="shared" si="20"/>
        <v>0</v>
      </c>
      <c r="L136" s="1124">
        <f t="shared" si="20"/>
        <v>0</v>
      </c>
      <c r="M136" s="1124">
        <f t="shared" si="20"/>
        <v>0</v>
      </c>
      <c r="N136" s="1138">
        <f>SUM(B136:M136)/12</f>
        <v>0</v>
      </c>
    </row>
    <row r="137" spans="1:14" x14ac:dyDescent="0.2">
      <c r="A137" s="1135"/>
      <c r="B137" s="1136"/>
      <c r="C137" s="1136"/>
      <c r="D137" s="1136"/>
      <c r="E137" s="1136"/>
      <c r="F137" s="1136"/>
      <c r="G137" s="1136"/>
      <c r="H137" s="1136"/>
      <c r="I137" s="1136"/>
      <c r="J137" s="1136"/>
      <c r="K137" s="1136"/>
      <c r="L137" s="1136"/>
      <c r="M137" s="1136"/>
      <c r="N137" s="1119"/>
    </row>
    <row r="138" spans="1:14" x14ac:dyDescent="0.2">
      <c r="A138" s="1123" t="s">
        <v>907</v>
      </c>
      <c r="B138" s="1124">
        <f t="shared" ref="B138:M138" si="21">SUM(B127*100/B133)</f>
        <v>1.9550136640739961</v>
      </c>
      <c r="C138" s="1124">
        <f t="shared" si="21"/>
        <v>7.7655854334981314</v>
      </c>
      <c r="D138" s="1124">
        <f t="shared" si="21"/>
        <v>1.8954175493366039</v>
      </c>
      <c r="E138" s="1124">
        <f t="shared" si="21"/>
        <v>0</v>
      </c>
      <c r="F138" s="1124">
        <f t="shared" si="21"/>
        <v>0</v>
      </c>
      <c r="G138" s="1124">
        <f t="shared" si="21"/>
        <v>0</v>
      </c>
      <c r="H138" s="1124">
        <f t="shared" si="21"/>
        <v>0</v>
      </c>
      <c r="I138" s="1124">
        <f t="shared" si="21"/>
        <v>0</v>
      </c>
      <c r="J138" s="1124">
        <f t="shared" si="21"/>
        <v>0</v>
      </c>
      <c r="K138" s="1124">
        <f t="shared" si="21"/>
        <v>0</v>
      </c>
      <c r="L138" s="1124">
        <f t="shared" si="21"/>
        <v>0</v>
      </c>
      <c r="M138" s="1124">
        <f t="shared" si="21"/>
        <v>0</v>
      </c>
      <c r="N138" s="1138">
        <f>SUM(B138:M138)/12</f>
        <v>0.96800138724239437</v>
      </c>
    </row>
    <row r="139" spans="1:14" ht="13.5" thickBot="1" x14ac:dyDescent="0.25">
      <c r="A139" s="1139" t="s">
        <v>908</v>
      </c>
      <c r="B139" s="1130">
        <f t="shared" ref="B139:M139" si="22">SUM(B128*100/B133)</f>
        <v>0</v>
      </c>
      <c r="C139" s="1130">
        <f t="shared" si="22"/>
        <v>0</v>
      </c>
      <c r="D139" s="1130">
        <f t="shared" si="22"/>
        <v>0</v>
      </c>
      <c r="E139" s="1130">
        <f t="shared" si="22"/>
        <v>0</v>
      </c>
      <c r="F139" s="1130">
        <f t="shared" si="22"/>
        <v>0</v>
      </c>
      <c r="G139" s="1130">
        <f t="shared" si="22"/>
        <v>0</v>
      </c>
      <c r="H139" s="1130">
        <f t="shared" si="22"/>
        <v>0</v>
      </c>
      <c r="I139" s="1130">
        <f t="shared" si="22"/>
        <v>0</v>
      </c>
      <c r="J139" s="1130">
        <f t="shared" si="22"/>
        <v>0</v>
      </c>
      <c r="K139" s="1130">
        <f t="shared" si="22"/>
        <v>0</v>
      </c>
      <c r="L139" s="1130">
        <f t="shared" si="22"/>
        <v>0</v>
      </c>
      <c r="M139" s="1130">
        <f t="shared" si="22"/>
        <v>0</v>
      </c>
      <c r="N139" s="1140">
        <f>SUM(B139:M139)/12</f>
        <v>0</v>
      </c>
    </row>
    <row r="140" spans="1:14" ht="13.5" thickBot="1" x14ac:dyDescent="0.25">
      <c r="A140" s="1141" t="s">
        <v>909</v>
      </c>
      <c r="B140" s="1142">
        <f t="shared" ref="B140:M140" si="23">SUM(B138:B138)</f>
        <v>1.9550136640739961</v>
      </c>
      <c r="C140" s="1142">
        <f t="shared" si="23"/>
        <v>7.7655854334981314</v>
      </c>
      <c r="D140" s="1142">
        <f t="shared" si="23"/>
        <v>1.8954175493366039</v>
      </c>
      <c r="E140" s="1142">
        <f t="shared" si="23"/>
        <v>0</v>
      </c>
      <c r="F140" s="1142">
        <f t="shared" si="23"/>
        <v>0</v>
      </c>
      <c r="G140" s="1142">
        <f t="shared" si="23"/>
        <v>0</v>
      </c>
      <c r="H140" s="1142">
        <f t="shared" si="23"/>
        <v>0</v>
      </c>
      <c r="I140" s="1142">
        <f t="shared" si="23"/>
        <v>0</v>
      </c>
      <c r="J140" s="1142">
        <f t="shared" si="23"/>
        <v>0</v>
      </c>
      <c r="K140" s="1142">
        <f t="shared" si="23"/>
        <v>0</v>
      </c>
      <c r="L140" s="1142">
        <f t="shared" si="23"/>
        <v>0</v>
      </c>
      <c r="M140" s="1142">
        <f t="shared" si="23"/>
        <v>0</v>
      </c>
      <c r="N140" s="1143">
        <f>SUM(N138:N139)</f>
        <v>0.96800138724239437</v>
      </c>
    </row>
    <row r="141" spans="1:14" x14ac:dyDescent="0.2">
      <c r="A141" s="1135" t="s">
        <v>910</v>
      </c>
      <c r="B141" s="1136"/>
      <c r="C141" s="1136"/>
      <c r="D141" s="1144">
        <f>SUM(B140:D140)/3</f>
        <v>3.8720055489695775</v>
      </c>
      <c r="E141" s="1136"/>
      <c r="F141" s="1136"/>
      <c r="G141" s="1144">
        <f>SUM(E140,F140,G140)/3</f>
        <v>0</v>
      </c>
      <c r="H141" s="1136"/>
      <c r="I141" s="1136"/>
      <c r="J141" s="1144">
        <f>SUM(H140,I140,J140)/3</f>
        <v>0</v>
      </c>
      <c r="K141" s="1136"/>
      <c r="L141" s="1136"/>
      <c r="M141" s="1144">
        <f>SUM(K140,L140,M140)/3</f>
        <v>0</v>
      </c>
      <c r="N141" s="1145">
        <f>SUM(D141:M141)/4</f>
        <v>0.96800138724239437</v>
      </c>
    </row>
    <row r="142" spans="1:14" x14ac:dyDescent="0.2">
      <c r="A142" s="1135" t="s">
        <v>911</v>
      </c>
      <c r="B142" s="1136"/>
      <c r="C142" s="1136"/>
      <c r="D142" s="1146"/>
      <c r="E142" s="1136"/>
      <c r="F142" s="1136"/>
      <c r="G142" s="1146"/>
      <c r="H142" s="1136"/>
      <c r="I142" s="1136"/>
      <c r="J142" s="1146"/>
      <c r="K142" s="1136"/>
      <c r="L142" s="1136"/>
      <c r="M142" s="1146"/>
      <c r="N142" s="1138">
        <f>SUM(D142:G142,J142,M142)/4</f>
        <v>0</v>
      </c>
    </row>
    <row r="143" spans="1:14" x14ac:dyDescent="0.2">
      <c r="A143" s="1135"/>
      <c r="B143" s="1136"/>
      <c r="C143" s="1136"/>
      <c r="D143" s="1136"/>
      <c r="E143" s="1136"/>
      <c r="F143" s="1136"/>
      <c r="G143" s="1136"/>
      <c r="H143" s="1136"/>
      <c r="I143" s="1136"/>
      <c r="J143" s="1136"/>
      <c r="K143" s="1136"/>
      <c r="L143" s="1136"/>
      <c r="M143" s="1136"/>
      <c r="N143" s="1136"/>
    </row>
    <row r="144" spans="1:14" x14ac:dyDescent="0.2">
      <c r="A144" s="1123" t="s">
        <v>912</v>
      </c>
      <c r="B144" s="1124">
        <f t="shared" ref="B144:M144" si="24">B131*100/B133</f>
        <v>0.75677948286735341</v>
      </c>
      <c r="C144" s="1124">
        <f t="shared" si="24"/>
        <v>5.5106716507898224</v>
      </c>
      <c r="D144" s="1124">
        <f t="shared" si="24"/>
        <v>0</v>
      </c>
      <c r="E144" s="1124">
        <f t="shared" si="24"/>
        <v>0</v>
      </c>
      <c r="F144" s="1124">
        <f t="shared" si="24"/>
        <v>0</v>
      </c>
      <c r="G144" s="1124">
        <f t="shared" si="24"/>
        <v>0</v>
      </c>
      <c r="H144" s="1124">
        <f t="shared" si="24"/>
        <v>0</v>
      </c>
      <c r="I144" s="1124">
        <f t="shared" si="24"/>
        <v>0</v>
      </c>
      <c r="J144" s="1124">
        <f t="shared" si="24"/>
        <v>0</v>
      </c>
      <c r="K144" s="1124">
        <f t="shared" si="24"/>
        <v>0</v>
      </c>
      <c r="L144" s="1124">
        <f t="shared" si="24"/>
        <v>0</v>
      </c>
      <c r="M144" s="1124">
        <f t="shared" si="24"/>
        <v>0</v>
      </c>
      <c r="N144" s="1138">
        <f>SUM(B144:M144)/12</f>
        <v>0.52228759447143125</v>
      </c>
    </row>
    <row r="145" spans="1:14" x14ac:dyDescent="0.2">
      <c r="A145" s="1123" t="s">
        <v>913</v>
      </c>
      <c r="B145" s="1124">
        <f t="shared" ref="B145:M145" si="25">B129*100/B133</f>
        <v>1.4399831826781586</v>
      </c>
      <c r="C145" s="1124">
        <f t="shared" si="25"/>
        <v>2.8216568190039792</v>
      </c>
      <c r="D145" s="1124">
        <f t="shared" si="25"/>
        <v>1.0257553796409855</v>
      </c>
      <c r="E145" s="1124">
        <f t="shared" si="25"/>
        <v>0</v>
      </c>
      <c r="F145" s="1124">
        <f t="shared" si="25"/>
        <v>0</v>
      </c>
      <c r="G145" s="1124">
        <f t="shared" si="25"/>
        <v>0</v>
      </c>
      <c r="H145" s="1124">
        <f t="shared" si="25"/>
        <v>0</v>
      </c>
      <c r="I145" s="1124">
        <f t="shared" si="25"/>
        <v>0</v>
      </c>
      <c r="J145" s="1124">
        <f t="shared" si="25"/>
        <v>0</v>
      </c>
      <c r="K145" s="1124">
        <f t="shared" si="25"/>
        <v>0</v>
      </c>
      <c r="L145" s="1124">
        <f t="shared" si="25"/>
        <v>0</v>
      </c>
      <c r="M145" s="1124">
        <f t="shared" si="25"/>
        <v>0</v>
      </c>
      <c r="N145" s="1138">
        <f>SUM(B145:M145)/12</f>
        <v>0.44061628177692697</v>
      </c>
    </row>
    <row r="146" spans="1:14" ht="13.5" thickBot="1" x14ac:dyDescent="0.25">
      <c r="A146" s="1123" t="s">
        <v>914</v>
      </c>
      <c r="B146" s="1124">
        <f t="shared" ref="B146:M146" si="26">B125*100/B133</f>
        <v>2.1336977086398989</v>
      </c>
      <c r="C146" s="1124">
        <f t="shared" si="26"/>
        <v>5.836247437597974</v>
      </c>
      <c r="D146" s="1124">
        <f t="shared" si="26"/>
        <v>10.513992641320103</v>
      </c>
      <c r="E146" s="1124">
        <f t="shared" si="26"/>
        <v>0</v>
      </c>
      <c r="F146" s="1124">
        <f t="shared" si="26"/>
        <v>0</v>
      </c>
      <c r="G146" s="1124">
        <f t="shared" si="26"/>
        <v>0</v>
      </c>
      <c r="H146" s="1124">
        <f t="shared" si="26"/>
        <v>0</v>
      </c>
      <c r="I146" s="1124">
        <f t="shared" si="26"/>
        <v>0</v>
      </c>
      <c r="J146" s="1124">
        <f t="shared" si="26"/>
        <v>0</v>
      </c>
      <c r="K146" s="1124">
        <f t="shared" si="26"/>
        <v>0</v>
      </c>
      <c r="L146" s="1124">
        <f t="shared" si="26"/>
        <v>0</v>
      </c>
      <c r="M146" s="1124">
        <f t="shared" si="26"/>
        <v>0</v>
      </c>
      <c r="N146" s="1138">
        <f>SUM(B146:M146)/12</f>
        <v>1.5403281489631648</v>
      </c>
    </row>
    <row r="147" spans="1:14" ht="13.5" thickBot="1" x14ac:dyDescent="0.25">
      <c r="A147" s="1147" t="s">
        <v>915</v>
      </c>
      <c r="B147" s="1148">
        <f t="shared" ref="B147:M147" si="27">SUM(B122-B133)*100/B133</f>
        <v>7.8410763085978559</v>
      </c>
      <c r="C147" s="1148">
        <f t="shared" si="27"/>
        <v>23.718798987097554</v>
      </c>
      <c r="D147" s="1148">
        <f t="shared" si="27"/>
        <v>14.394023859962092</v>
      </c>
      <c r="E147" s="1148">
        <f t="shared" si="27"/>
        <v>0</v>
      </c>
      <c r="F147" s="1148">
        <f t="shared" si="27"/>
        <v>0</v>
      </c>
      <c r="G147" s="1148">
        <f t="shared" si="27"/>
        <v>0</v>
      </c>
      <c r="H147" s="1148">
        <f t="shared" si="27"/>
        <v>0</v>
      </c>
      <c r="I147" s="1148">
        <f t="shared" si="27"/>
        <v>0</v>
      </c>
      <c r="J147" s="1148">
        <f t="shared" si="27"/>
        <v>0</v>
      </c>
      <c r="K147" s="1148">
        <f t="shared" si="27"/>
        <v>0</v>
      </c>
      <c r="L147" s="1148">
        <f t="shared" si="27"/>
        <v>0</v>
      </c>
      <c r="M147" s="1148">
        <f t="shared" si="27"/>
        <v>0</v>
      </c>
      <c r="N147" s="1149">
        <f>SUM(B147:M147)/12</f>
        <v>3.8294915963047917</v>
      </c>
    </row>
    <row r="148" spans="1:14" x14ac:dyDescent="0.2">
      <c r="A148" s="1135"/>
      <c r="B148" s="1136"/>
      <c r="C148" s="1136"/>
      <c r="D148" s="1136"/>
      <c r="E148" s="1136"/>
      <c r="F148" s="1136"/>
      <c r="G148" s="1136"/>
      <c r="H148" s="1136"/>
      <c r="I148" s="1136"/>
      <c r="J148" s="1136"/>
      <c r="K148" s="1136"/>
      <c r="L148" s="1136"/>
      <c r="M148" s="1136"/>
      <c r="N148" s="1119"/>
    </row>
    <row r="149" spans="1:14" x14ac:dyDescent="0.2">
      <c r="A149" s="1150" t="s">
        <v>916</v>
      </c>
      <c r="B149" s="1136"/>
      <c r="C149" s="1136"/>
      <c r="D149" s="1136"/>
      <c r="E149" s="1136"/>
      <c r="F149" s="1136"/>
      <c r="G149" s="1136"/>
      <c r="H149" s="1136"/>
      <c r="I149" s="1136"/>
      <c r="J149" s="1136"/>
      <c r="K149" s="1136"/>
      <c r="L149" s="1136"/>
      <c r="M149" s="1136"/>
      <c r="N149" s="1119"/>
    </row>
    <row r="150" spans="1:14" x14ac:dyDescent="0.2">
      <c r="A150" s="1123" t="s">
        <v>917</v>
      </c>
      <c r="B150" s="1151">
        <v>16</v>
      </c>
      <c r="C150" s="1151">
        <v>16</v>
      </c>
      <c r="D150" s="1151">
        <v>16</v>
      </c>
      <c r="E150" s="1151">
        <v>16</v>
      </c>
      <c r="F150" s="1151">
        <v>16</v>
      </c>
      <c r="G150" s="1151">
        <v>16</v>
      </c>
      <c r="H150" s="1151">
        <v>16</v>
      </c>
      <c r="I150" s="1151">
        <f t="shared" ref="I150:N150" si="28">H153</f>
        <v>16</v>
      </c>
      <c r="J150" s="1151">
        <f t="shared" si="28"/>
        <v>16</v>
      </c>
      <c r="K150" s="1151">
        <f t="shared" si="28"/>
        <v>16</v>
      </c>
      <c r="L150" s="1151">
        <f t="shared" si="28"/>
        <v>16</v>
      </c>
      <c r="M150" s="1151">
        <f t="shared" si="28"/>
        <v>16</v>
      </c>
      <c r="N150" s="1151">
        <f t="shared" si="28"/>
        <v>16</v>
      </c>
    </row>
    <row r="151" spans="1:14" x14ac:dyDescent="0.2">
      <c r="A151" s="1123" t="s">
        <v>918</v>
      </c>
      <c r="B151" s="1151"/>
      <c r="C151" s="1151"/>
      <c r="D151" s="1151"/>
      <c r="E151" s="1151"/>
      <c r="F151" s="1151"/>
      <c r="G151" s="1151"/>
      <c r="H151" s="1151"/>
      <c r="I151" s="1151"/>
      <c r="J151" s="1151"/>
      <c r="K151" s="1151"/>
      <c r="L151" s="1151"/>
      <c r="M151" s="1151"/>
      <c r="N151" s="1151">
        <f>SUM(B151:M151)/12</f>
        <v>0</v>
      </c>
    </row>
    <row r="152" spans="1:14" x14ac:dyDescent="0.2">
      <c r="A152" s="1123" t="s">
        <v>919</v>
      </c>
      <c r="B152" s="1151"/>
      <c r="C152" s="1151"/>
      <c r="D152" s="1151"/>
      <c r="E152" s="1151"/>
      <c r="F152" s="1151"/>
      <c r="G152" s="1151"/>
      <c r="H152" s="1151"/>
      <c r="I152" s="1151"/>
      <c r="J152" s="1151"/>
      <c r="K152" s="1151"/>
      <c r="L152" s="1151"/>
      <c r="M152" s="1151"/>
      <c r="N152" s="1151">
        <f>SUM(B151:M151)/12</f>
        <v>0</v>
      </c>
    </row>
    <row r="153" spans="1:14" x14ac:dyDescent="0.2">
      <c r="A153" s="1123" t="s">
        <v>916</v>
      </c>
      <c r="B153" s="1151">
        <f t="shared" ref="B153:M153" si="29">SUM(B150+B151-B152)</f>
        <v>16</v>
      </c>
      <c r="C153" s="1151">
        <f t="shared" si="29"/>
        <v>16</v>
      </c>
      <c r="D153" s="1151">
        <f t="shared" si="29"/>
        <v>16</v>
      </c>
      <c r="E153" s="1151">
        <f t="shared" si="29"/>
        <v>16</v>
      </c>
      <c r="F153" s="1151">
        <f t="shared" si="29"/>
        <v>16</v>
      </c>
      <c r="G153" s="1151">
        <f t="shared" si="29"/>
        <v>16</v>
      </c>
      <c r="H153" s="1151">
        <f t="shared" si="29"/>
        <v>16</v>
      </c>
      <c r="I153" s="1151">
        <f t="shared" si="29"/>
        <v>16</v>
      </c>
      <c r="J153" s="1151">
        <f t="shared" si="29"/>
        <v>16</v>
      </c>
      <c r="K153" s="1151">
        <f t="shared" si="29"/>
        <v>16</v>
      </c>
      <c r="L153" s="1151">
        <f t="shared" si="29"/>
        <v>16</v>
      </c>
      <c r="M153" s="1151">
        <f t="shared" si="29"/>
        <v>16</v>
      </c>
      <c r="N153" s="1151">
        <f>SUM(B152:M152)/12</f>
        <v>0</v>
      </c>
    </row>
    <row r="154" spans="1:14" x14ac:dyDescent="0.2">
      <c r="A154" s="1123" t="s">
        <v>920</v>
      </c>
      <c r="B154" s="1152">
        <f t="shared" ref="B154:M154" si="30">SUM(B153*100)/B150-100</f>
        <v>0</v>
      </c>
      <c r="C154" s="1152">
        <f t="shared" si="30"/>
        <v>0</v>
      </c>
      <c r="D154" s="1152">
        <f t="shared" si="30"/>
        <v>0</v>
      </c>
      <c r="E154" s="1152">
        <f t="shared" si="30"/>
        <v>0</v>
      </c>
      <c r="F154" s="1152">
        <f t="shared" si="30"/>
        <v>0</v>
      </c>
      <c r="G154" s="1152">
        <f t="shared" si="30"/>
        <v>0</v>
      </c>
      <c r="H154" s="1152">
        <f t="shared" si="30"/>
        <v>0</v>
      </c>
      <c r="I154" s="1152">
        <f t="shared" si="30"/>
        <v>0</v>
      </c>
      <c r="J154" s="1152">
        <f t="shared" si="30"/>
        <v>0</v>
      </c>
      <c r="K154" s="1152">
        <f t="shared" si="30"/>
        <v>0</v>
      </c>
      <c r="L154" s="1152">
        <f t="shared" si="30"/>
        <v>0</v>
      </c>
      <c r="M154" s="1152">
        <f t="shared" si="30"/>
        <v>0</v>
      </c>
      <c r="N154" s="1151"/>
    </row>
    <row r="155" spans="1:14" x14ac:dyDescent="0.2">
      <c r="A155" s="1135" t="s">
        <v>921</v>
      </c>
      <c r="B155" s="1153"/>
      <c r="C155" s="1153"/>
      <c r="D155" s="1154">
        <f>SUM(B154:D154/3)</f>
        <v>0</v>
      </c>
      <c r="E155" s="1153"/>
      <c r="F155" s="1153"/>
      <c r="G155" s="1154">
        <f>SUM(E154:G154)/3</f>
        <v>0</v>
      </c>
      <c r="H155" s="1153"/>
      <c r="I155" s="1153"/>
      <c r="J155" s="1154">
        <f>SUM(H154:J154)/3</f>
        <v>0</v>
      </c>
      <c r="K155" s="1153"/>
      <c r="L155" s="1153"/>
      <c r="M155" s="1154">
        <f>SUM(K154:M154)/3</f>
        <v>0</v>
      </c>
      <c r="N155" s="1153"/>
    </row>
    <row r="156" spans="1:14" x14ac:dyDescent="0.2">
      <c r="A156" s="1135"/>
      <c r="B156" s="1136"/>
      <c r="C156" s="1136"/>
      <c r="D156" s="1136"/>
      <c r="E156" s="1136"/>
      <c r="F156" s="1136"/>
      <c r="G156" s="1136"/>
      <c r="H156" s="1136"/>
      <c r="I156" s="1136"/>
      <c r="J156" s="1136"/>
      <c r="K156" s="1136"/>
      <c r="L156" s="1136"/>
      <c r="M156" s="1136"/>
      <c r="N156" s="1119"/>
    </row>
    <row r="157" spans="1:14" ht="15.75" x14ac:dyDescent="0.25">
      <c r="A157" s="1150"/>
      <c r="B157" s="1218"/>
      <c r="C157" s="1218"/>
      <c r="D157" s="1218"/>
      <c r="E157" s="1218"/>
      <c r="F157" s="1218"/>
      <c r="G157" s="1247"/>
      <c r="H157" s="1218"/>
      <c r="I157" s="1218"/>
      <c r="J157" s="1218"/>
      <c r="K157" s="1218"/>
      <c r="L157" s="1218"/>
      <c r="M157" s="1218"/>
      <c r="N157" s="1119"/>
    </row>
    <row r="158" spans="1:14" x14ac:dyDescent="0.2">
      <c r="A158" s="1220" t="s">
        <v>1014</v>
      </c>
      <c r="B158" s="1124" t="s">
        <v>863</v>
      </c>
      <c r="C158" s="1124" t="s">
        <v>864</v>
      </c>
      <c r="D158" s="1124" t="s">
        <v>865</v>
      </c>
      <c r="E158" s="1124" t="s">
        <v>866</v>
      </c>
      <c r="F158" s="1124" t="s">
        <v>867</v>
      </c>
      <c r="G158" s="1124" t="s">
        <v>868</v>
      </c>
      <c r="H158" s="1124" t="s">
        <v>857</v>
      </c>
      <c r="I158" s="1124" t="s">
        <v>858</v>
      </c>
      <c r="J158" s="1124" t="s">
        <v>859</v>
      </c>
      <c r="K158" s="1124" t="s">
        <v>860</v>
      </c>
      <c r="L158" s="1124" t="s">
        <v>861</v>
      </c>
      <c r="M158" s="1124" t="s">
        <v>862</v>
      </c>
      <c r="N158" s="1120" t="s">
        <v>137</v>
      </c>
    </row>
    <row r="159" spans="1:14" x14ac:dyDescent="0.2">
      <c r="A159" s="1123" t="s">
        <v>1036</v>
      </c>
      <c r="B159" s="1221">
        <v>81500</v>
      </c>
      <c r="C159" s="1221">
        <v>81500</v>
      </c>
      <c r="D159" s="1221">
        <v>81500</v>
      </c>
      <c r="E159" s="1221">
        <v>81500</v>
      </c>
      <c r="F159" s="1221">
        <v>81500</v>
      </c>
      <c r="G159" s="1221">
        <v>81500</v>
      </c>
      <c r="H159" s="1221">
        <v>81500</v>
      </c>
      <c r="I159" s="1221">
        <v>81500</v>
      </c>
      <c r="J159" s="1221">
        <v>81500</v>
      </c>
      <c r="K159" s="1221">
        <v>81500</v>
      </c>
      <c r="L159" s="1221">
        <v>81500</v>
      </c>
      <c r="M159" s="1221">
        <v>81500</v>
      </c>
      <c r="N159" s="1221">
        <f>SUM(B159:M159)</f>
        <v>978000</v>
      </c>
    </row>
    <row r="160" spans="1:14" x14ac:dyDescent="0.2">
      <c r="A160" s="1123" t="s">
        <v>1037</v>
      </c>
      <c r="B160" s="1221">
        <v>3820</v>
      </c>
      <c r="C160" s="1221">
        <v>0</v>
      </c>
      <c r="D160" s="1221">
        <v>0</v>
      </c>
      <c r="E160" s="1221">
        <v>0</v>
      </c>
      <c r="F160" s="1221">
        <v>0</v>
      </c>
      <c r="G160" s="1221">
        <v>0</v>
      </c>
      <c r="H160" s="1221">
        <v>0</v>
      </c>
      <c r="I160" s="1221">
        <v>0</v>
      </c>
      <c r="J160" s="1221">
        <v>0</v>
      </c>
      <c r="K160" s="1221">
        <v>0</v>
      </c>
      <c r="L160" s="1221">
        <v>0</v>
      </c>
      <c r="M160" s="1221">
        <v>0</v>
      </c>
      <c r="N160" s="1221">
        <f>SUM(B160:M160)</f>
        <v>3820</v>
      </c>
    </row>
    <row r="161" spans="1:15" ht="13.5" thickBot="1" x14ac:dyDescent="0.25">
      <c r="A161" s="1248" t="s">
        <v>1038</v>
      </c>
      <c r="B161" s="1249">
        <v>87000</v>
      </c>
      <c r="C161" s="1249">
        <v>87000</v>
      </c>
      <c r="D161" s="1249">
        <v>87000</v>
      </c>
      <c r="E161" s="1249">
        <v>87000</v>
      </c>
      <c r="F161" s="1249">
        <v>87000</v>
      </c>
      <c r="G161" s="1249">
        <v>87000</v>
      </c>
      <c r="H161" s="1249">
        <v>87000</v>
      </c>
      <c r="I161" s="1249">
        <v>87000</v>
      </c>
      <c r="J161" s="1249">
        <v>87000</v>
      </c>
      <c r="K161" s="1249">
        <v>87000</v>
      </c>
      <c r="L161" s="1249">
        <v>87000</v>
      </c>
      <c r="M161" s="1249">
        <v>87000</v>
      </c>
      <c r="N161" s="1221">
        <f>SUM(B161:M161)</f>
        <v>1044000</v>
      </c>
    </row>
    <row r="162" spans="1:15" ht="13.5" thickBot="1" x14ac:dyDescent="0.25">
      <c r="A162" s="1225" t="s">
        <v>1039</v>
      </c>
      <c r="B162" s="1226">
        <f t="shared" ref="B162:N162" si="31">SUM(B159:B161)</f>
        <v>172320</v>
      </c>
      <c r="C162" s="1226">
        <f t="shared" si="31"/>
        <v>168500</v>
      </c>
      <c r="D162" s="1226">
        <f t="shared" si="31"/>
        <v>168500</v>
      </c>
      <c r="E162" s="1226">
        <f t="shared" si="31"/>
        <v>168500</v>
      </c>
      <c r="F162" s="1226">
        <f t="shared" si="31"/>
        <v>168500</v>
      </c>
      <c r="G162" s="1226">
        <f t="shared" si="31"/>
        <v>168500</v>
      </c>
      <c r="H162" s="1226">
        <f t="shared" si="31"/>
        <v>168500</v>
      </c>
      <c r="I162" s="1226">
        <f t="shared" si="31"/>
        <v>168500</v>
      </c>
      <c r="J162" s="1226">
        <f t="shared" si="31"/>
        <v>168500</v>
      </c>
      <c r="K162" s="1226">
        <f t="shared" si="31"/>
        <v>168500</v>
      </c>
      <c r="L162" s="1226">
        <f t="shared" si="31"/>
        <v>168500</v>
      </c>
      <c r="M162" s="1226">
        <f t="shared" si="31"/>
        <v>168500</v>
      </c>
      <c r="N162" s="1226">
        <f t="shared" si="31"/>
        <v>2025820</v>
      </c>
    </row>
    <row r="163" spans="1:15" x14ac:dyDescent="0.2">
      <c r="A163" s="1120" t="s">
        <v>1040</v>
      </c>
      <c r="B163" s="1221">
        <v>10812</v>
      </c>
      <c r="C163" s="1221">
        <v>5075</v>
      </c>
      <c r="D163" s="1221">
        <v>9100</v>
      </c>
      <c r="E163" s="1221">
        <v>11225</v>
      </c>
      <c r="F163" s="1221"/>
      <c r="G163" s="1250"/>
      <c r="H163" s="1221"/>
      <c r="I163" s="1221"/>
      <c r="J163" s="1221"/>
      <c r="K163" s="1221"/>
      <c r="L163" s="1221"/>
      <c r="M163" s="1221"/>
      <c r="N163" s="1221">
        <f>SUM(B163:M163)</f>
        <v>36212</v>
      </c>
    </row>
    <row r="164" spans="1:15" x14ac:dyDescent="0.2">
      <c r="A164" s="1120"/>
      <c r="B164" s="1221"/>
      <c r="C164" s="1221"/>
      <c r="D164" s="1221"/>
      <c r="E164" s="1221"/>
      <c r="F164" s="1221"/>
      <c r="G164" s="1250"/>
      <c r="H164" s="1221"/>
      <c r="I164" s="1221"/>
      <c r="J164" s="1221"/>
      <c r="K164" s="1221"/>
      <c r="L164" s="1221"/>
      <c r="M164" s="1221"/>
      <c r="N164" s="1221">
        <f>SUM(B164:M164)</f>
        <v>0</v>
      </c>
    </row>
    <row r="165" spans="1:15" x14ac:dyDescent="0.2">
      <c r="A165" s="1120" t="s">
        <v>1041</v>
      </c>
      <c r="B165" s="1221">
        <v>9820</v>
      </c>
      <c r="C165" s="1221">
        <v>7040</v>
      </c>
      <c r="D165" s="1221">
        <v>7900</v>
      </c>
      <c r="E165" s="1221"/>
      <c r="F165" s="1221"/>
      <c r="G165" s="1250"/>
      <c r="H165" s="1221"/>
      <c r="I165" s="1221"/>
      <c r="J165" s="1221"/>
      <c r="K165" s="1221"/>
      <c r="L165" s="1221"/>
      <c r="M165" s="1221"/>
      <c r="N165" s="1221">
        <f>SUM(B165:M165)</f>
        <v>24760</v>
      </c>
    </row>
    <row r="166" spans="1:15" x14ac:dyDescent="0.2">
      <c r="A166" s="1120" t="s">
        <v>1021</v>
      </c>
      <c r="B166" s="1221">
        <v>337925</v>
      </c>
      <c r="C166" s="1221">
        <v>47730.5</v>
      </c>
      <c r="D166" s="1221">
        <v>181660.63</v>
      </c>
      <c r="E166" s="1221"/>
      <c r="F166" s="1221"/>
      <c r="G166" s="1221"/>
      <c r="H166" s="1221"/>
      <c r="I166" s="1221"/>
      <c r="J166" s="1221"/>
      <c r="K166" s="1221"/>
      <c r="L166" s="1221"/>
      <c r="M166" s="1223"/>
      <c r="N166" s="1221">
        <f>SUM(B166:M166)</f>
        <v>567316.13</v>
      </c>
    </row>
    <row r="167" spans="1:15" ht="13.5" thickBot="1" x14ac:dyDescent="0.25">
      <c r="A167" s="1251" t="s">
        <v>1042</v>
      </c>
      <c r="B167" s="1249">
        <v>38799</v>
      </c>
      <c r="C167" s="1249">
        <v>4290</v>
      </c>
      <c r="D167" s="1249">
        <v>13806.75</v>
      </c>
      <c r="E167" s="1249"/>
      <c r="F167" s="1249"/>
      <c r="G167" s="1249"/>
      <c r="H167" s="1249"/>
      <c r="I167" s="1249"/>
      <c r="J167" s="1249"/>
      <c r="K167" s="1249"/>
      <c r="L167" s="1249"/>
      <c r="M167" s="1221"/>
      <c r="N167" s="1221">
        <f>SUM(B167:M167)</f>
        <v>56895.75</v>
      </c>
    </row>
    <row r="168" spans="1:15" ht="13.5" thickBot="1" x14ac:dyDescent="0.25">
      <c r="A168" s="1252" t="s">
        <v>1028</v>
      </c>
      <c r="B168" s="1253">
        <f t="shared" ref="B168:N168" si="32">SUM(B163:B167)</f>
        <v>397356</v>
      </c>
      <c r="C168" s="1253">
        <f t="shared" si="32"/>
        <v>64135.5</v>
      </c>
      <c r="D168" s="1253">
        <f t="shared" si="32"/>
        <v>212467.38</v>
      </c>
      <c r="E168" s="1253">
        <f t="shared" si="32"/>
        <v>11225</v>
      </c>
      <c r="F168" s="1253">
        <f t="shared" si="32"/>
        <v>0</v>
      </c>
      <c r="G168" s="1253">
        <f t="shared" si="32"/>
        <v>0</v>
      </c>
      <c r="H168" s="1253">
        <f t="shared" si="32"/>
        <v>0</v>
      </c>
      <c r="I168" s="1253">
        <f t="shared" si="32"/>
        <v>0</v>
      </c>
      <c r="J168" s="1253">
        <f t="shared" si="32"/>
        <v>0</v>
      </c>
      <c r="K168" s="1253">
        <f t="shared" si="32"/>
        <v>0</v>
      </c>
      <c r="L168" s="1253">
        <f t="shared" si="32"/>
        <v>0</v>
      </c>
      <c r="M168" s="1254">
        <f t="shared" si="32"/>
        <v>0</v>
      </c>
      <c r="N168" s="1253">
        <f t="shared" si="32"/>
        <v>685183.88</v>
      </c>
    </row>
    <row r="169" spans="1:15" x14ac:dyDescent="0.2">
      <c r="A169" s="1120" t="s">
        <v>1029</v>
      </c>
      <c r="B169" s="1223">
        <v>0</v>
      </c>
      <c r="C169" s="1223">
        <v>0</v>
      </c>
      <c r="D169" s="1223">
        <v>0</v>
      </c>
      <c r="E169" s="1223">
        <v>0</v>
      </c>
      <c r="F169" s="1223">
        <v>0</v>
      </c>
      <c r="G169" s="1223">
        <v>0</v>
      </c>
      <c r="H169" s="1223">
        <v>0</v>
      </c>
      <c r="I169" s="1223">
        <v>0</v>
      </c>
      <c r="J169" s="1223">
        <v>0</v>
      </c>
      <c r="K169" s="1223">
        <v>0</v>
      </c>
      <c r="L169" s="1223">
        <v>0</v>
      </c>
      <c r="M169" s="1249">
        <v>0</v>
      </c>
      <c r="N169" s="1223">
        <f>SUM(B169:M169)</f>
        <v>0</v>
      </c>
      <c r="O169" s="1183"/>
    </row>
    <row r="170" spans="1:15" x14ac:dyDescent="0.2">
      <c r="A170" s="1255" t="s">
        <v>1030</v>
      </c>
      <c r="B170" s="1256">
        <f t="shared" ref="B170:N170" si="33">SUM(B162,B168,B169)</f>
        <v>569676</v>
      </c>
      <c r="C170" s="1256">
        <f t="shared" si="33"/>
        <v>232635.5</v>
      </c>
      <c r="D170" s="1256">
        <f t="shared" si="33"/>
        <v>380967.38</v>
      </c>
      <c r="E170" s="1256">
        <f t="shared" si="33"/>
        <v>179725</v>
      </c>
      <c r="F170" s="1256">
        <f t="shared" si="33"/>
        <v>168500</v>
      </c>
      <c r="G170" s="1256">
        <f t="shared" si="33"/>
        <v>168500</v>
      </c>
      <c r="H170" s="1256">
        <f t="shared" si="33"/>
        <v>168500</v>
      </c>
      <c r="I170" s="1256">
        <f t="shared" si="33"/>
        <v>168500</v>
      </c>
      <c r="J170" s="1256">
        <f t="shared" si="33"/>
        <v>168500</v>
      </c>
      <c r="K170" s="1256">
        <f t="shared" si="33"/>
        <v>168500</v>
      </c>
      <c r="L170" s="1256">
        <f t="shared" si="33"/>
        <v>168500</v>
      </c>
      <c r="M170" s="1256">
        <f t="shared" si="33"/>
        <v>168500</v>
      </c>
      <c r="N170" s="1256">
        <f t="shared" si="33"/>
        <v>2711003.88</v>
      </c>
    </row>
    <row r="171" spans="1:15" x14ac:dyDescent="0.2">
      <c r="A171" s="1228" t="s">
        <v>1031</v>
      </c>
      <c r="B171" s="1257">
        <v>587857</v>
      </c>
      <c r="C171" s="1257">
        <v>529956</v>
      </c>
      <c r="D171" s="1257">
        <v>554281</v>
      </c>
      <c r="E171" s="1257">
        <v>514388</v>
      </c>
      <c r="F171" s="1257"/>
      <c r="G171" s="1257"/>
      <c r="H171" s="1257"/>
      <c r="I171" s="1257"/>
      <c r="J171" s="1257"/>
      <c r="K171" s="1257"/>
      <c r="L171" s="1257"/>
      <c r="M171" s="1257"/>
      <c r="N171" s="1258">
        <f>SUM(B171:M171)</f>
        <v>2186482</v>
      </c>
    </row>
    <row r="172" spans="1:15" x14ac:dyDescent="0.2">
      <c r="A172" s="1259" t="s">
        <v>1033</v>
      </c>
      <c r="B172" s="1260">
        <f t="shared" ref="B172:N172" si="34">SUM(B170-B171)</f>
        <v>-18181</v>
      </c>
      <c r="C172" s="1260">
        <f t="shared" si="34"/>
        <v>-297320.5</v>
      </c>
      <c r="D172" s="1260">
        <f t="shared" si="34"/>
        <v>-173313.62</v>
      </c>
      <c r="E172" s="1260">
        <f t="shared" si="34"/>
        <v>-334663</v>
      </c>
      <c r="F172" s="1260">
        <f t="shared" si="34"/>
        <v>168500</v>
      </c>
      <c r="G172" s="1260">
        <f t="shared" si="34"/>
        <v>168500</v>
      </c>
      <c r="H172" s="1260">
        <f t="shared" si="34"/>
        <v>168500</v>
      </c>
      <c r="I172" s="1260">
        <f t="shared" si="34"/>
        <v>168500</v>
      </c>
      <c r="J172" s="1260">
        <f t="shared" si="34"/>
        <v>168500</v>
      </c>
      <c r="K172" s="1260">
        <f t="shared" si="34"/>
        <v>168500</v>
      </c>
      <c r="L172" s="1260">
        <f t="shared" si="34"/>
        <v>168500</v>
      </c>
      <c r="M172" s="1260">
        <f t="shared" si="34"/>
        <v>168500</v>
      </c>
      <c r="N172" s="1260">
        <f t="shared" si="34"/>
        <v>524521.87999999989</v>
      </c>
    </row>
    <row r="173" spans="1:15" ht="13.5" thickBot="1" x14ac:dyDescent="0.25">
      <c r="A173" s="1261">
        <v>206552</v>
      </c>
      <c r="B173" s="1261"/>
      <c r="C173" s="1261"/>
      <c r="D173" s="1261"/>
      <c r="E173" s="1261"/>
      <c r="F173" s="1261"/>
      <c r="G173" s="1261"/>
      <c r="H173" s="1261"/>
      <c r="I173" s="1261"/>
      <c r="J173" s="1261"/>
      <c r="K173" s="1261"/>
      <c r="L173" s="1261"/>
      <c r="M173" s="1261"/>
      <c r="N173" s="1261"/>
    </row>
    <row r="174" spans="1:15" ht="13.5" thickBot="1" x14ac:dyDescent="0.25"/>
    <row r="175" spans="1:15" ht="20.25" x14ac:dyDescent="0.3">
      <c r="A175" s="1795" t="s">
        <v>1043</v>
      </c>
      <c r="B175" s="1795"/>
      <c r="C175" s="1795"/>
      <c r="D175" s="1795"/>
      <c r="E175" s="1795"/>
      <c r="F175" s="1795"/>
      <c r="G175" s="1795"/>
      <c r="H175" s="1795"/>
      <c r="I175" s="1795"/>
      <c r="J175" s="1795"/>
      <c r="K175" s="1795"/>
      <c r="L175" s="1795"/>
      <c r="M175" s="1795"/>
      <c r="N175" s="1795"/>
    </row>
    <row r="176" spans="1:15" x14ac:dyDescent="0.2">
      <c r="A176" s="1119"/>
      <c r="B176" s="1119"/>
      <c r="C176" s="1119"/>
      <c r="D176" s="1119"/>
      <c r="E176" s="1119"/>
      <c r="F176" s="1119"/>
      <c r="G176" s="1119"/>
      <c r="H176" s="1119"/>
      <c r="I176" s="1119"/>
      <c r="J176" s="1119"/>
      <c r="K176" s="1119"/>
      <c r="L176" s="1119"/>
      <c r="M176" s="1119"/>
    </row>
    <row r="177" spans="1:14" x14ac:dyDescent="0.2">
      <c r="A177" s="1120"/>
      <c r="B177" s="1121" t="s">
        <v>863</v>
      </c>
      <c r="C177" s="1121" t="s">
        <v>864</v>
      </c>
      <c r="D177" s="1122" t="s">
        <v>865</v>
      </c>
      <c r="E177" s="1121" t="s">
        <v>866</v>
      </c>
      <c r="F177" s="1121" t="s">
        <v>867</v>
      </c>
      <c r="G177" s="1122" t="s">
        <v>868</v>
      </c>
      <c r="H177" s="1121" t="s">
        <v>857</v>
      </c>
      <c r="I177" s="1121" t="s">
        <v>858</v>
      </c>
      <c r="J177" s="1121" t="s">
        <v>859</v>
      </c>
      <c r="K177" s="1121" t="s">
        <v>860</v>
      </c>
      <c r="L177" s="1121" t="s">
        <v>861</v>
      </c>
      <c r="M177" s="1121" t="s">
        <v>862</v>
      </c>
      <c r="N177" s="1120" t="s">
        <v>137</v>
      </c>
    </row>
    <row r="178" spans="1:14" x14ac:dyDescent="0.2">
      <c r="A178" s="1123" t="s">
        <v>332</v>
      </c>
      <c r="B178" s="1124">
        <v>1924</v>
      </c>
      <c r="C178" s="1124">
        <v>1924</v>
      </c>
      <c r="D178" s="1124">
        <v>1924</v>
      </c>
      <c r="E178" s="1124">
        <v>1924</v>
      </c>
      <c r="F178" s="1124">
        <v>1924</v>
      </c>
      <c r="G178" s="1124">
        <v>1924</v>
      </c>
      <c r="H178" s="1124">
        <v>1924</v>
      </c>
      <c r="I178" s="1124">
        <v>1924</v>
      </c>
      <c r="J178" s="1124">
        <v>1924</v>
      </c>
      <c r="K178" s="1124">
        <v>1924</v>
      </c>
      <c r="L178" s="1124">
        <v>1924</v>
      </c>
      <c r="M178" s="1124">
        <v>1924</v>
      </c>
      <c r="N178" s="1124">
        <f t="shared" ref="N178:N189" si="35">SUM(B178:M178)</f>
        <v>23088</v>
      </c>
    </row>
    <row r="179" spans="1:14" x14ac:dyDescent="0.2">
      <c r="A179" s="1123" t="s">
        <v>893</v>
      </c>
      <c r="B179" s="1124"/>
      <c r="C179" s="1124"/>
      <c r="D179" s="1124"/>
      <c r="E179" s="1124"/>
      <c r="F179" s="1124"/>
      <c r="G179" s="1125"/>
      <c r="H179" s="1124"/>
      <c r="I179" s="1124"/>
      <c r="J179" s="1126"/>
      <c r="K179" s="1124"/>
      <c r="L179" s="1124"/>
      <c r="M179" s="1124"/>
      <c r="N179" s="1124">
        <f t="shared" si="35"/>
        <v>0</v>
      </c>
    </row>
    <row r="180" spans="1:14" x14ac:dyDescent="0.2">
      <c r="A180" s="1123" t="s">
        <v>894</v>
      </c>
      <c r="B180" s="1124">
        <v>163.5</v>
      </c>
      <c r="C180" s="1124"/>
      <c r="D180" s="1124"/>
      <c r="E180" s="1124"/>
      <c r="F180" s="1124"/>
      <c r="G180" s="1125"/>
      <c r="H180" s="1124"/>
      <c r="I180" s="1124"/>
      <c r="J180" s="1124"/>
      <c r="K180" s="1124"/>
      <c r="L180" s="1124"/>
      <c r="M180" s="1120"/>
      <c r="N180" s="1124">
        <f t="shared" si="35"/>
        <v>163.5</v>
      </c>
    </row>
    <row r="181" spans="1:14" x14ac:dyDescent="0.2">
      <c r="A181" s="1123" t="s">
        <v>896</v>
      </c>
      <c r="B181" s="1124">
        <v>140</v>
      </c>
      <c r="C181" s="1124">
        <v>216.25</v>
      </c>
      <c r="D181" s="1124">
        <v>94.25</v>
      </c>
      <c r="E181" s="1124"/>
      <c r="F181" s="1124"/>
      <c r="G181" s="1125"/>
      <c r="H181" s="1124"/>
      <c r="I181" s="1124"/>
      <c r="J181" s="1124"/>
      <c r="K181" s="1124"/>
      <c r="L181" s="1124"/>
      <c r="M181" s="1124"/>
      <c r="N181" s="1124">
        <f t="shared" si="35"/>
        <v>450.5</v>
      </c>
    </row>
    <row r="182" spans="1:14" x14ac:dyDescent="0.2">
      <c r="A182" s="1123" t="s">
        <v>897</v>
      </c>
      <c r="B182" s="1124"/>
      <c r="C182" s="1124">
        <v>37</v>
      </c>
      <c r="D182" s="1124"/>
      <c r="E182" s="1124"/>
      <c r="F182" s="1124"/>
      <c r="G182" s="1125"/>
      <c r="H182" s="1124"/>
      <c r="I182" s="1124"/>
      <c r="J182" s="1124"/>
      <c r="K182" s="1124"/>
      <c r="L182" s="1124"/>
      <c r="M182" s="1124"/>
      <c r="N182" s="1124">
        <f t="shared" si="35"/>
        <v>37</v>
      </c>
    </row>
    <row r="183" spans="1:14" x14ac:dyDescent="0.2">
      <c r="A183" s="1123" t="s">
        <v>898</v>
      </c>
      <c r="B183" s="1124">
        <v>89.5</v>
      </c>
      <c r="C183" s="1124">
        <v>96.25</v>
      </c>
      <c r="D183" s="1124">
        <v>111</v>
      </c>
      <c r="E183" s="1124"/>
      <c r="F183" s="1124"/>
      <c r="G183" s="1125"/>
      <c r="H183" s="1124"/>
      <c r="I183" s="1124"/>
      <c r="J183" s="1124"/>
      <c r="K183" s="1124"/>
      <c r="L183" s="1124"/>
      <c r="M183" s="1124"/>
      <c r="N183" s="1124">
        <f t="shared" si="35"/>
        <v>296.75</v>
      </c>
    </row>
    <row r="184" spans="1:14" x14ac:dyDescent="0.2">
      <c r="A184" s="1123" t="s">
        <v>899</v>
      </c>
      <c r="B184" s="1124"/>
      <c r="C184" s="1124">
        <v>7</v>
      </c>
      <c r="D184" s="1124"/>
      <c r="E184" s="1124"/>
      <c r="F184" s="1124"/>
      <c r="G184" s="1125"/>
      <c r="H184" s="1124"/>
      <c r="I184" s="1124"/>
      <c r="J184" s="1124"/>
      <c r="K184" s="1124"/>
      <c r="L184" s="1124"/>
      <c r="M184" s="1124"/>
      <c r="N184" s="1124">
        <f t="shared" si="35"/>
        <v>7</v>
      </c>
    </row>
    <row r="185" spans="1:14" x14ac:dyDescent="0.2">
      <c r="A185" s="1123" t="s">
        <v>900</v>
      </c>
      <c r="B185" s="1124">
        <v>7.75</v>
      </c>
      <c r="C185" s="1124">
        <v>37</v>
      </c>
      <c r="D185" s="1124"/>
      <c r="E185" s="1124"/>
      <c r="F185" s="1124"/>
      <c r="G185" s="1125"/>
      <c r="H185" s="1124"/>
      <c r="I185" s="1124"/>
      <c r="J185" s="1124"/>
      <c r="K185" s="1124"/>
      <c r="L185" s="1124"/>
      <c r="M185" s="1124"/>
      <c r="N185" s="1124">
        <f t="shared" si="35"/>
        <v>44.75</v>
      </c>
    </row>
    <row r="186" spans="1:14" x14ac:dyDescent="0.2">
      <c r="A186" s="1123" t="s">
        <v>901</v>
      </c>
      <c r="B186" s="1124"/>
      <c r="C186" s="1124">
        <v>74</v>
      </c>
      <c r="D186" s="1124"/>
      <c r="E186" s="1124"/>
      <c r="F186" s="1124"/>
      <c r="G186" s="1125"/>
      <c r="H186" s="1124"/>
      <c r="I186" s="1124"/>
      <c r="J186" s="1124"/>
      <c r="K186" s="1124"/>
      <c r="L186" s="1124"/>
      <c r="M186" s="1124"/>
      <c r="N186" s="1124">
        <f t="shared" si="35"/>
        <v>74</v>
      </c>
    </row>
    <row r="187" spans="1:14" x14ac:dyDescent="0.2">
      <c r="A187" s="1123" t="s">
        <v>902</v>
      </c>
      <c r="B187" s="1124"/>
      <c r="C187" s="1124">
        <v>11.75</v>
      </c>
      <c r="D187" s="1124"/>
      <c r="E187" s="1124"/>
      <c r="F187" s="1124"/>
      <c r="G187" s="1125"/>
      <c r="H187" s="1124"/>
      <c r="I187" s="1124"/>
      <c r="J187" s="1124"/>
      <c r="K187" s="1124"/>
      <c r="L187" s="1124"/>
      <c r="M187" s="1124"/>
      <c r="N187" s="1124">
        <f t="shared" si="35"/>
        <v>11.75</v>
      </c>
    </row>
    <row r="188" spans="1:14" ht="13.5" thickBot="1" x14ac:dyDescent="0.25">
      <c r="A188" s="1127" t="s">
        <v>903</v>
      </c>
      <c r="B188" s="1128"/>
      <c r="C188" s="1128"/>
      <c r="D188" s="1128"/>
      <c r="E188" s="1128"/>
      <c r="F188" s="1128"/>
      <c r="G188" s="1129"/>
      <c r="H188" s="1128"/>
      <c r="I188" s="1128"/>
      <c r="J188" s="1128"/>
      <c r="K188" s="1128"/>
      <c r="L188" s="1128"/>
      <c r="M188" s="1128"/>
      <c r="N188" s="1130">
        <f t="shared" si="35"/>
        <v>0</v>
      </c>
    </row>
    <row r="189" spans="1:14" ht="13.5" thickBot="1" x14ac:dyDescent="0.25">
      <c r="A189" s="1131" t="s">
        <v>904</v>
      </c>
      <c r="B189" s="1132">
        <f t="shared" ref="B189:M189" si="36">SUM(B178+B179+B180-B181-B182-B183-B185-B186-B187-B188)</f>
        <v>1850.25</v>
      </c>
      <c r="C189" s="1132">
        <f t="shared" si="36"/>
        <v>1451.75</v>
      </c>
      <c r="D189" s="1132">
        <f t="shared" si="36"/>
        <v>1718.75</v>
      </c>
      <c r="E189" s="1132">
        <f t="shared" si="36"/>
        <v>1924</v>
      </c>
      <c r="F189" s="1132">
        <f t="shared" si="36"/>
        <v>1924</v>
      </c>
      <c r="G189" s="1246">
        <f t="shared" si="36"/>
        <v>1924</v>
      </c>
      <c r="H189" s="1132">
        <f t="shared" si="36"/>
        <v>1924</v>
      </c>
      <c r="I189" s="1132">
        <f t="shared" si="36"/>
        <v>1924</v>
      </c>
      <c r="J189" s="1132">
        <f t="shared" si="36"/>
        <v>1924</v>
      </c>
      <c r="K189" s="1132">
        <f t="shared" si="36"/>
        <v>1924</v>
      </c>
      <c r="L189" s="1132">
        <f t="shared" si="36"/>
        <v>1924</v>
      </c>
      <c r="M189" s="1133">
        <f t="shared" si="36"/>
        <v>1924</v>
      </c>
      <c r="N189" s="1134">
        <f t="shared" si="35"/>
        <v>22336.75</v>
      </c>
    </row>
    <row r="190" spans="1:14" x14ac:dyDescent="0.2">
      <c r="A190" s="1135"/>
      <c r="B190" s="1136"/>
      <c r="C190" s="1136"/>
      <c r="D190" s="1136"/>
      <c r="E190" s="1136"/>
      <c r="F190" s="1136"/>
      <c r="G190" s="1136"/>
      <c r="H190" s="1136"/>
      <c r="I190" s="1136"/>
      <c r="J190" s="1136"/>
      <c r="K190" s="1136"/>
      <c r="L190" s="1136"/>
      <c r="M190" s="1136"/>
      <c r="N190" s="1136"/>
    </row>
    <row r="191" spans="1:14" x14ac:dyDescent="0.2">
      <c r="A191" s="1135"/>
      <c r="B191" s="1136"/>
      <c r="C191" s="1136"/>
      <c r="D191" s="1136"/>
      <c r="E191" s="1136"/>
      <c r="F191" s="1136"/>
      <c r="G191" s="1136"/>
      <c r="H191" s="1136"/>
      <c r="I191" s="1136"/>
      <c r="J191" s="1136"/>
      <c r="K191" s="1136"/>
      <c r="L191" s="1136"/>
      <c r="M191" s="1136"/>
      <c r="N191" s="1137" t="s">
        <v>905</v>
      </c>
    </row>
    <row r="192" spans="1:14" x14ac:dyDescent="0.2">
      <c r="A192" s="1123" t="s">
        <v>906</v>
      </c>
      <c r="B192" s="1124">
        <f t="shared" ref="B192:M192" si="37">SUM(B179*100/B189)</f>
        <v>0</v>
      </c>
      <c r="C192" s="1124">
        <f t="shared" si="37"/>
        <v>0</v>
      </c>
      <c r="D192" s="1124">
        <f t="shared" si="37"/>
        <v>0</v>
      </c>
      <c r="E192" s="1124">
        <f t="shared" si="37"/>
        <v>0</v>
      </c>
      <c r="F192" s="1124">
        <f t="shared" si="37"/>
        <v>0</v>
      </c>
      <c r="G192" s="1124">
        <f t="shared" si="37"/>
        <v>0</v>
      </c>
      <c r="H192" s="1124">
        <f t="shared" si="37"/>
        <v>0</v>
      </c>
      <c r="I192" s="1124">
        <f t="shared" si="37"/>
        <v>0</v>
      </c>
      <c r="J192" s="1124">
        <f t="shared" si="37"/>
        <v>0</v>
      </c>
      <c r="K192" s="1124">
        <f t="shared" si="37"/>
        <v>0</v>
      </c>
      <c r="L192" s="1124">
        <f t="shared" si="37"/>
        <v>0</v>
      </c>
      <c r="M192" s="1124">
        <f t="shared" si="37"/>
        <v>0</v>
      </c>
      <c r="N192" s="1138">
        <f>SUM(B192:M192)/12</f>
        <v>0</v>
      </c>
    </row>
    <row r="193" spans="1:14" x14ac:dyDescent="0.2">
      <c r="A193" s="1135"/>
      <c r="B193" s="1136"/>
      <c r="C193" s="1136"/>
      <c r="D193" s="1136"/>
      <c r="E193" s="1136"/>
      <c r="F193" s="1136"/>
      <c r="G193" s="1136"/>
      <c r="H193" s="1136"/>
      <c r="I193" s="1136"/>
      <c r="J193" s="1136"/>
      <c r="K193" s="1136"/>
      <c r="L193" s="1136"/>
      <c r="M193" s="1136"/>
      <c r="N193" s="1119"/>
    </row>
    <row r="194" spans="1:14" x14ac:dyDescent="0.2">
      <c r="A194" s="1123" t="s">
        <v>907</v>
      </c>
      <c r="B194" s="1124">
        <f t="shared" ref="B194:M194" si="38">SUM(B183*100/B189)</f>
        <v>4.8371841643021209</v>
      </c>
      <c r="C194" s="1124">
        <f t="shared" si="38"/>
        <v>6.6299293955570864</v>
      </c>
      <c r="D194" s="1124">
        <f t="shared" si="38"/>
        <v>6.458181818181818</v>
      </c>
      <c r="E194" s="1124">
        <f t="shared" si="38"/>
        <v>0</v>
      </c>
      <c r="F194" s="1124">
        <f t="shared" si="38"/>
        <v>0</v>
      </c>
      <c r="G194" s="1124">
        <f t="shared" si="38"/>
        <v>0</v>
      </c>
      <c r="H194" s="1124">
        <f t="shared" si="38"/>
        <v>0</v>
      </c>
      <c r="I194" s="1124">
        <f t="shared" si="38"/>
        <v>0</v>
      </c>
      <c r="J194" s="1124">
        <f t="shared" si="38"/>
        <v>0</v>
      </c>
      <c r="K194" s="1124">
        <f t="shared" si="38"/>
        <v>0</v>
      </c>
      <c r="L194" s="1124">
        <f t="shared" si="38"/>
        <v>0</v>
      </c>
      <c r="M194" s="1124">
        <f t="shared" si="38"/>
        <v>0</v>
      </c>
      <c r="N194" s="1138">
        <f>SUM(B194:M194)/12</f>
        <v>1.4937746148367521</v>
      </c>
    </row>
    <row r="195" spans="1:14" ht="13.5" thickBot="1" x14ac:dyDescent="0.25">
      <c r="A195" s="1139" t="s">
        <v>908</v>
      </c>
      <c r="B195" s="1130">
        <f t="shared" ref="B195:M195" si="39">SUM(B184*100/B189)</f>
        <v>0</v>
      </c>
      <c r="C195" s="1130">
        <f t="shared" si="39"/>
        <v>0.48217668331324265</v>
      </c>
      <c r="D195" s="1130">
        <f t="shared" si="39"/>
        <v>0</v>
      </c>
      <c r="E195" s="1130">
        <f t="shared" si="39"/>
        <v>0</v>
      </c>
      <c r="F195" s="1130">
        <f t="shared" si="39"/>
        <v>0</v>
      </c>
      <c r="G195" s="1130">
        <f t="shared" si="39"/>
        <v>0</v>
      </c>
      <c r="H195" s="1130">
        <f t="shared" si="39"/>
        <v>0</v>
      </c>
      <c r="I195" s="1130">
        <f t="shared" si="39"/>
        <v>0</v>
      </c>
      <c r="J195" s="1130">
        <f t="shared" si="39"/>
        <v>0</v>
      </c>
      <c r="K195" s="1130">
        <f t="shared" si="39"/>
        <v>0</v>
      </c>
      <c r="L195" s="1130">
        <f t="shared" si="39"/>
        <v>0</v>
      </c>
      <c r="M195" s="1130">
        <f t="shared" si="39"/>
        <v>0</v>
      </c>
      <c r="N195" s="1138">
        <f>SUM(B195:M195)/12</f>
        <v>4.0181390276103554E-2</v>
      </c>
    </row>
    <row r="196" spans="1:14" ht="13.5" thickBot="1" x14ac:dyDescent="0.25">
      <c r="A196" s="1141" t="s">
        <v>909</v>
      </c>
      <c r="B196" s="1142">
        <f t="shared" ref="B196:M196" si="40">SUM(B194:B194)</f>
        <v>4.8371841643021209</v>
      </c>
      <c r="C196" s="1142">
        <f t="shared" si="40"/>
        <v>6.6299293955570864</v>
      </c>
      <c r="D196" s="1142">
        <f t="shared" si="40"/>
        <v>6.458181818181818</v>
      </c>
      <c r="E196" s="1142">
        <f t="shared" si="40"/>
        <v>0</v>
      </c>
      <c r="F196" s="1142">
        <f t="shared" si="40"/>
        <v>0</v>
      </c>
      <c r="G196" s="1142">
        <f t="shared" si="40"/>
        <v>0</v>
      </c>
      <c r="H196" s="1142">
        <f t="shared" si="40"/>
        <v>0</v>
      </c>
      <c r="I196" s="1142">
        <f t="shared" si="40"/>
        <v>0</v>
      </c>
      <c r="J196" s="1142">
        <f t="shared" si="40"/>
        <v>0</v>
      </c>
      <c r="K196" s="1142">
        <f t="shared" si="40"/>
        <v>0</v>
      </c>
      <c r="L196" s="1142">
        <f t="shared" si="40"/>
        <v>0</v>
      </c>
      <c r="M196" s="1142">
        <f t="shared" si="40"/>
        <v>0</v>
      </c>
      <c r="N196" s="1143">
        <f>SUM(N194:N195)</f>
        <v>1.5339560051128556</v>
      </c>
    </row>
    <row r="197" spans="1:14" x14ac:dyDescent="0.2">
      <c r="A197" s="1135" t="s">
        <v>910</v>
      </c>
      <c r="B197" s="1136"/>
      <c r="C197" s="1136"/>
      <c r="D197" s="1144">
        <f>SUM(B196:D196)/3</f>
        <v>5.9750984593470085</v>
      </c>
      <c r="E197" s="1136"/>
      <c r="F197" s="1136"/>
      <c r="G197" s="1144">
        <f>SUM(E196,F196,G196)/3</f>
        <v>0</v>
      </c>
      <c r="H197" s="1136"/>
      <c r="I197" s="1136"/>
      <c r="J197" s="1144">
        <f>SUM(H196,I196,J196)/3</f>
        <v>0</v>
      </c>
      <c r="K197" s="1136"/>
      <c r="L197" s="1136"/>
      <c r="M197" s="1144">
        <f>SUM(K196,L196,M196)/3</f>
        <v>0</v>
      </c>
      <c r="N197" s="1145">
        <f>SUM(D197:M197)/4</f>
        <v>1.4937746148367521</v>
      </c>
    </row>
    <row r="198" spans="1:14" x14ac:dyDescent="0.2">
      <c r="A198" s="1135" t="s">
        <v>911</v>
      </c>
      <c r="B198" s="1136"/>
      <c r="C198" s="1136"/>
      <c r="D198" s="1146"/>
      <c r="E198" s="1136"/>
      <c r="F198" s="1136"/>
      <c r="G198" s="1146"/>
      <c r="H198" s="1136"/>
      <c r="I198" s="1136"/>
      <c r="J198" s="1146"/>
      <c r="K198" s="1136"/>
      <c r="L198" s="1136"/>
      <c r="M198" s="1146"/>
      <c r="N198" s="1138">
        <f>SUM(D198:G198,J198,M198)/4</f>
        <v>0</v>
      </c>
    </row>
    <row r="199" spans="1:14" x14ac:dyDescent="0.2">
      <c r="A199" s="1135"/>
      <c r="B199" s="1136"/>
      <c r="C199" s="1136"/>
      <c r="D199" s="1136"/>
      <c r="E199" s="1136"/>
      <c r="F199" s="1136"/>
      <c r="G199" s="1136"/>
      <c r="H199" s="1136"/>
      <c r="I199" s="1136"/>
      <c r="J199" s="1136"/>
      <c r="K199" s="1136"/>
      <c r="L199" s="1136"/>
      <c r="M199" s="1136"/>
      <c r="N199" s="1136"/>
    </row>
    <row r="200" spans="1:14" x14ac:dyDescent="0.2">
      <c r="A200" s="1123" t="s">
        <v>912</v>
      </c>
      <c r="B200" s="1124">
        <f t="shared" ref="B200:M200" si="41">B187*100/B189</f>
        <v>0</v>
      </c>
      <c r="C200" s="1124">
        <f t="shared" si="41"/>
        <v>0.80936800413294296</v>
      </c>
      <c r="D200" s="1124">
        <f t="shared" si="41"/>
        <v>0</v>
      </c>
      <c r="E200" s="1124">
        <f t="shared" si="41"/>
        <v>0</v>
      </c>
      <c r="F200" s="1124">
        <f t="shared" si="41"/>
        <v>0</v>
      </c>
      <c r="G200" s="1124">
        <f t="shared" si="41"/>
        <v>0</v>
      </c>
      <c r="H200" s="1124">
        <f t="shared" si="41"/>
        <v>0</v>
      </c>
      <c r="I200" s="1124">
        <f t="shared" si="41"/>
        <v>0</v>
      </c>
      <c r="J200" s="1124">
        <f t="shared" si="41"/>
        <v>0</v>
      </c>
      <c r="K200" s="1124">
        <f t="shared" si="41"/>
        <v>0</v>
      </c>
      <c r="L200" s="1124">
        <f t="shared" si="41"/>
        <v>0</v>
      </c>
      <c r="M200" s="1124">
        <f t="shared" si="41"/>
        <v>0</v>
      </c>
      <c r="N200" s="1138">
        <f>SUM(B200:M200)/12</f>
        <v>6.7447333677745247E-2</v>
      </c>
    </row>
    <row r="201" spans="1:14" x14ac:dyDescent="0.2">
      <c r="A201" s="1123" t="s">
        <v>913</v>
      </c>
      <c r="B201" s="1124">
        <f t="shared" ref="B201:M201" si="42">B185*100/B189</f>
        <v>0.41886231590325634</v>
      </c>
      <c r="C201" s="1124">
        <f t="shared" si="42"/>
        <v>2.5486481832271397</v>
      </c>
      <c r="D201" s="1124">
        <f t="shared" si="42"/>
        <v>0</v>
      </c>
      <c r="E201" s="1124">
        <f t="shared" si="42"/>
        <v>0</v>
      </c>
      <c r="F201" s="1124">
        <f t="shared" si="42"/>
        <v>0</v>
      </c>
      <c r="G201" s="1124">
        <f t="shared" si="42"/>
        <v>0</v>
      </c>
      <c r="H201" s="1124">
        <f t="shared" si="42"/>
        <v>0</v>
      </c>
      <c r="I201" s="1124">
        <f t="shared" si="42"/>
        <v>0</v>
      </c>
      <c r="J201" s="1124">
        <f t="shared" si="42"/>
        <v>0</v>
      </c>
      <c r="K201" s="1124">
        <f t="shared" si="42"/>
        <v>0</v>
      </c>
      <c r="L201" s="1124">
        <f t="shared" si="42"/>
        <v>0</v>
      </c>
      <c r="M201" s="1124">
        <f t="shared" si="42"/>
        <v>0</v>
      </c>
      <c r="N201" s="1138">
        <f>SUM(B201:M201)/12</f>
        <v>0.24729254159419967</v>
      </c>
    </row>
    <row r="202" spans="1:14" ht="13.5" thickBot="1" x14ac:dyDescent="0.25">
      <c r="A202" s="1123" t="s">
        <v>914</v>
      </c>
      <c r="B202" s="1124">
        <f t="shared" ref="B202:M202" si="43">B181*100/B189</f>
        <v>7.5665450614781786</v>
      </c>
      <c r="C202" s="1124">
        <f t="shared" si="43"/>
        <v>14.895815395212674</v>
      </c>
      <c r="D202" s="1124">
        <f t="shared" si="43"/>
        <v>5.4836363636363634</v>
      </c>
      <c r="E202" s="1124">
        <f t="shared" si="43"/>
        <v>0</v>
      </c>
      <c r="F202" s="1124">
        <f t="shared" si="43"/>
        <v>0</v>
      </c>
      <c r="G202" s="1124">
        <f t="shared" si="43"/>
        <v>0</v>
      </c>
      <c r="H202" s="1124">
        <f t="shared" si="43"/>
        <v>0</v>
      </c>
      <c r="I202" s="1124">
        <f t="shared" si="43"/>
        <v>0</v>
      </c>
      <c r="J202" s="1124">
        <f t="shared" si="43"/>
        <v>0</v>
      </c>
      <c r="K202" s="1124">
        <f t="shared" si="43"/>
        <v>0</v>
      </c>
      <c r="L202" s="1124">
        <f t="shared" si="43"/>
        <v>0</v>
      </c>
      <c r="M202" s="1124">
        <f t="shared" si="43"/>
        <v>0</v>
      </c>
      <c r="N202" s="1140">
        <f>SUM(B202:M202)/12</f>
        <v>2.3288330683606016</v>
      </c>
    </row>
    <row r="203" spans="1:14" ht="13.5" thickBot="1" x14ac:dyDescent="0.25">
      <c r="A203" s="1147" t="s">
        <v>915</v>
      </c>
      <c r="B203" s="1148">
        <f t="shared" ref="B203:M203" si="44">SUM(B178-B189)*100/B189</f>
        <v>3.9859478448858261</v>
      </c>
      <c r="C203" s="1148">
        <f t="shared" si="44"/>
        <v>32.529705527811259</v>
      </c>
      <c r="D203" s="1148">
        <f t="shared" si="44"/>
        <v>11.941818181818181</v>
      </c>
      <c r="E203" s="1148">
        <f t="shared" si="44"/>
        <v>0</v>
      </c>
      <c r="F203" s="1148">
        <f t="shared" si="44"/>
        <v>0</v>
      </c>
      <c r="G203" s="1148">
        <f t="shared" si="44"/>
        <v>0</v>
      </c>
      <c r="H203" s="1148">
        <f t="shared" si="44"/>
        <v>0</v>
      </c>
      <c r="I203" s="1148">
        <f t="shared" si="44"/>
        <v>0</v>
      </c>
      <c r="J203" s="1148">
        <f t="shared" si="44"/>
        <v>0</v>
      </c>
      <c r="K203" s="1148">
        <f t="shared" si="44"/>
        <v>0</v>
      </c>
      <c r="L203" s="1148">
        <f t="shared" si="44"/>
        <v>0</v>
      </c>
      <c r="M203" s="1262">
        <f t="shared" si="44"/>
        <v>0</v>
      </c>
      <c r="N203" s="1263">
        <f>SUM(B203:M203)/12</f>
        <v>4.0381226295429391</v>
      </c>
    </row>
    <row r="204" spans="1:14" x14ac:dyDescent="0.2">
      <c r="A204" s="1135"/>
      <c r="B204" s="1136"/>
      <c r="C204" s="1136"/>
      <c r="D204" s="1136"/>
      <c r="E204" s="1136"/>
      <c r="F204" s="1136"/>
      <c r="G204" s="1136"/>
      <c r="H204" s="1136"/>
      <c r="I204" s="1136"/>
      <c r="J204" s="1136"/>
      <c r="K204" s="1136"/>
      <c r="L204" s="1136"/>
      <c r="M204" s="1136"/>
      <c r="N204" s="1119"/>
    </row>
    <row r="205" spans="1:14" x14ac:dyDescent="0.2">
      <c r="A205" s="1150" t="s">
        <v>916</v>
      </c>
      <c r="B205" s="1136"/>
      <c r="C205" s="1136"/>
      <c r="D205" s="1136"/>
      <c r="E205" s="1136"/>
      <c r="F205" s="1136"/>
      <c r="G205" s="1136"/>
      <c r="H205" s="1136"/>
      <c r="I205" s="1136"/>
      <c r="J205" s="1136"/>
      <c r="K205" s="1136"/>
      <c r="L205" s="1136"/>
      <c r="M205" s="1136"/>
      <c r="N205" s="1119"/>
    </row>
    <row r="206" spans="1:14" x14ac:dyDescent="0.2">
      <c r="A206" s="1123" t="s">
        <v>917</v>
      </c>
      <c r="B206" s="1151">
        <v>12</v>
      </c>
      <c r="C206" s="1151">
        <v>12</v>
      </c>
      <c r="D206" s="1151">
        <v>12</v>
      </c>
      <c r="E206" s="1151">
        <v>12</v>
      </c>
      <c r="F206" s="1151">
        <f t="shared" ref="F206:N206" si="45">E209</f>
        <v>12</v>
      </c>
      <c r="G206" s="1151">
        <f t="shared" si="45"/>
        <v>12</v>
      </c>
      <c r="H206" s="1151">
        <f t="shared" si="45"/>
        <v>12</v>
      </c>
      <c r="I206" s="1151">
        <f t="shared" si="45"/>
        <v>12</v>
      </c>
      <c r="J206" s="1151">
        <f t="shared" si="45"/>
        <v>12</v>
      </c>
      <c r="K206" s="1151">
        <f t="shared" si="45"/>
        <v>12</v>
      </c>
      <c r="L206" s="1151">
        <f t="shared" si="45"/>
        <v>12</v>
      </c>
      <c r="M206" s="1151">
        <f t="shared" si="45"/>
        <v>12</v>
      </c>
      <c r="N206" s="1151">
        <f t="shared" si="45"/>
        <v>12</v>
      </c>
    </row>
    <row r="207" spans="1:14" x14ac:dyDescent="0.2">
      <c r="A207" s="1123" t="s">
        <v>918</v>
      </c>
      <c r="B207" s="1151"/>
      <c r="C207" s="1151"/>
      <c r="D207" s="1151"/>
      <c r="E207" s="1151"/>
      <c r="F207" s="1151"/>
      <c r="G207" s="1151"/>
      <c r="H207" s="1151"/>
      <c r="I207" s="1151"/>
      <c r="J207" s="1151"/>
      <c r="K207" s="1151"/>
      <c r="L207" s="1151"/>
      <c r="M207" s="1151"/>
      <c r="N207" s="1151">
        <f>SUM(B207:M207)/12</f>
        <v>0</v>
      </c>
    </row>
    <row r="208" spans="1:14" x14ac:dyDescent="0.2">
      <c r="A208" s="1123" t="s">
        <v>919</v>
      </c>
      <c r="B208" s="1151"/>
      <c r="C208" s="1151"/>
      <c r="D208" s="1151"/>
      <c r="E208" s="1151"/>
      <c r="F208" s="1151"/>
      <c r="G208" s="1151"/>
      <c r="H208" s="1151"/>
      <c r="I208" s="1151"/>
      <c r="J208" s="1151"/>
      <c r="K208" s="1151"/>
      <c r="L208" s="1151"/>
      <c r="M208" s="1151"/>
      <c r="N208" s="1151">
        <f>SUM(B207:M207)/12</f>
        <v>0</v>
      </c>
    </row>
    <row r="209" spans="1:14" x14ac:dyDescent="0.2">
      <c r="A209" s="1123" t="s">
        <v>916</v>
      </c>
      <c r="B209" s="1151">
        <f t="shared" ref="B209:M209" si="46">SUM(B206+B207-B208)</f>
        <v>12</v>
      </c>
      <c r="C209" s="1151">
        <f t="shared" si="46"/>
        <v>12</v>
      </c>
      <c r="D209" s="1151">
        <f t="shared" si="46"/>
        <v>12</v>
      </c>
      <c r="E209" s="1151">
        <f t="shared" si="46"/>
        <v>12</v>
      </c>
      <c r="F209" s="1151">
        <f t="shared" si="46"/>
        <v>12</v>
      </c>
      <c r="G209" s="1151">
        <f t="shared" si="46"/>
        <v>12</v>
      </c>
      <c r="H209" s="1151">
        <f t="shared" si="46"/>
        <v>12</v>
      </c>
      <c r="I209" s="1151">
        <f t="shared" si="46"/>
        <v>12</v>
      </c>
      <c r="J209" s="1151">
        <f t="shared" si="46"/>
        <v>12</v>
      </c>
      <c r="K209" s="1151">
        <f t="shared" si="46"/>
        <v>12</v>
      </c>
      <c r="L209" s="1151">
        <f t="shared" si="46"/>
        <v>12</v>
      </c>
      <c r="M209" s="1151">
        <f t="shared" si="46"/>
        <v>12</v>
      </c>
      <c r="N209" s="1151">
        <f>SUM(B208:M208)/12</f>
        <v>0</v>
      </c>
    </row>
    <row r="210" spans="1:14" x14ac:dyDescent="0.2">
      <c r="A210" s="1123" t="s">
        <v>920</v>
      </c>
      <c r="B210" s="1152">
        <f t="shared" ref="B210:M210" si="47">SUM(B209*100)/B206-100</f>
        <v>0</v>
      </c>
      <c r="C210" s="1152">
        <f t="shared" si="47"/>
        <v>0</v>
      </c>
      <c r="D210" s="1152">
        <f t="shared" si="47"/>
        <v>0</v>
      </c>
      <c r="E210" s="1152">
        <f t="shared" si="47"/>
        <v>0</v>
      </c>
      <c r="F210" s="1152">
        <f t="shared" si="47"/>
        <v>0</v>
      </c>
      <c r="G210" s="1152">
        <f t="shared" si="47"/>
        <v>0</v>
      </c>
      <c r="H210" s="1152">
        <f t="shared" si="47"/>
        <v>0</v>
      </c>
      <c r="I210" s="1152">
        <f t="shared" si="47"/>
        <v>0</v>
      </c>
      <c r="J210" s="1152">
        <f t="shared" si="47"/>
        <v>0</v>
      </c>
      <c r="K210" s="1152">
        <f t="shared" si="47"/>
        <v>0</v>
      </c>
      <c r="L210" s="1152">
        <f t="shared" si="47"/>
        <v>0</v>
      </c>
      <c r="M210" s="1152">
        <f t="shared" si="47"/>
        <v>0</v>
      </c>
      <c r="N210" s="1151"/>
    </row>
    <row r="211" spans="1:14" x14ac:dyDescent="0.2">
      <c r="A211" s="1135" t="s">
        <v>921</v>
      </c>
      <c r="B211" s="1153"/>
      <c r="C211" s="1153"/>
      <c r="D211" s="1154">
        <f>SUM(B210:D210/3)</f>
        <v>0</v>
      </c>
      <c r="E211" s="1153"/>
      <c r="F211" s="1153"/>
      <c r="G211" s="1154">
        <f>SUM(E210:G210)/3</f>
        <v>0</v>
      </c>
      <c r="H211" s="1153"/>
      <c r="I211" s="1153"/>
      <c r="J211" s="1154">
        <f>SUM(H210:J210)/3</f>
        <v>0</v>
      </c>
      <c r="K211" s="1153"/>
      <c r="L211" s="1153"/>
      <c r="M211" s="1154">
        <f>SUM(K210:M210)/3</f>
        <v>0</v>
      </c>
      <c r="N211" s="1153"/>
    </row>
    <row r="212" spans="1:14" ht="13.5" thickBot="1" x14ac:dyDescent="0.25">
      <c r="A212" s="1264"/>
      <c r="B212" s="1265"/>
      <c r="C212" s="1265"/>
      <c r="D212" s="1265"/>
      <c r="E212" s="1265"/>
      <c r="F212" s="1265"/>
      <c r="G212" s="1265"/>
      <c r="H212" s="1265"/>
      <c r="I212" s="1265"/>
      <c r="J212" s="1265"/>
      <c r="K212" s="1265"/>
      <c r="L212" s="1265"/>
      <c r="M212" s="1265"/>
      <c r="N212" s="1266"/>
    </row>
    <row r="213" spans="1:14" ht="15.75" x14ac:dyDescent="0.25">
      <c r="A213" s="1267" t="s">
        <v>1044</v>
      </c>
      <c r="B213" s="1267"/>
      <c r="C213" s="1267"/>
      <c r="D213" s="1267"/>
      <c r="E213" s="1267"/>
      <c r="F213" s="1267"/>
      <c r="G213" s="1267"/>
      <c r="H213" s="1267"/>
      <c r="I213" s="1267"/>
      <c r="J213" s="1267"/>
      <c r="K213" s="1267"/>
      <c r="L213" s="1267"/>
      <c r="M213" s="1267"/>
      <c r="N213" s="1267"/>
    </row>
    <row r="214" spans="1:14" ht="15.75" x14ac:dyDescent="0.25">
      <c r="E214" s="1174"/>
      <c r="M214" s="1136"/>
      <c r="N214" s="1119"/>
    </row>
    <row r="215" spans="1:14" x14ac:dyDescent="0.2">
      <c r="A215" s="1268" t="s">
        <v>1045</v>
      </c>
      <c r="B215" s="1269"/>
      <c r="C215" s="1270"/>
      <c r="D215" s="1184" t="s">
        <v>939</v>
      </c>
      <c r="I215" s="1175" t="s">
        <v>1046</v>
      </c>
      <c r="J215" s="1269"/>
      <c r="K215" s="1269"/>
      <c r="L215" s="1269"/>
      <c r="M215" s="1179"/>
      <c r="N215" s="1678"/>
    </row>
    <row r="216" spans="1:14" x14ac:dyDescent="0.2">
      <c r="A216" s="1271" t="s">
        <v>1047</v>
      </c>
      <c r="B216" s="1272"/>
      <c r="C216" s="1273"/>
      <c r="D216" s="1182">
        <v>270553</v>
      </c>
      <c r="E216" s="1183"/>
      <c r="I216" s="1754"/>
      <c r="J216" s="1754" t="s">
        <v>945</v>
      </c>
      <c r="K216" s="1772"/>
      <c r="L216" s="1162" t="s">
        <v>1048</v>
      </c>
      <c r="M216" s="1772" t="s">
        <v>946</v>
      </c>
      <c r="N216" s="1279"/>
    </row>
    <row r="217" spans="1:14" x14ac:dyDescent="0.2">
      <c r="A217" s="1271" t="s">
        <v>1049</v>
      </c>
      <c r="B217" s="1272"/>
      <c r="C217" s="1181"/>
      <c r="D217" s="1182">
        <v>374793</v>
      </c>
      <c r="E217" s="1183"/>
      <c r="I217" s="1178" t="s">
        <v>1050</v>
      </c>
      <c r="J217" s="1195"/>
      <c r="K217" s="1181"/>
      <c r="L217" s="1184"/>
      <c r="M217" s="1677">
        <v>409854</v>
      </c>
      <c r="N217" s="1678"/>
    </row>
    <row r="218" spans="1:14" x14ac:dyDescent="0.2">
      <c r="A218" s="1271" t="s">
        <v>1051</v>
      </c>
      <c r="B218" s="1272"/>
      <c r="C218" s="1181"/>
      <c r="D218" s="1182">
        <v>324584</v>
      </c>
      <c r="E218" s="1183"/>
      <c r="I218" s="1178"/>
      <c r="J218" s="1195"/>
      <c r="K218" s="1181"/>
      <c r="L218" s="1184"/>
      <c r="M218" s="1676"/>
      <c r="N218" s="1678"/>
    </row>
    <row r="219" spans="1:14" ht="13.5" thickBot="1" x14ac:dyDescent="0.25">
      <c r="A219" s="1271" t="s">
        <v>1052</v>
      </c>
      <c r="B219" s="1176"/>
      <c r="C219" s="1181" t="s">
        <v>1053</v>
      </c>
      <c r="D219" s="1182">
        <v>0</v>
      </c>
      <c r="E219" s="1183"/>
      <c r="I219" s="1201" t="s">
        <v>1054</v>
      </c>
      <c r="J219" s="1202" t="s">
        <v>1055</v>
      </c>
      <c r="K219" s="1206"/>
      <c r="L219" s="1204"/>
      <c r="M219" s="1773">
        <f>'[1]Øvrige Kontrakter 2012'!$K$42</f>
        <v>3533300</v>
      </c>
      <c r="N219" s="1774"/>
    </row>
    <row r="220" spans="1:14" ht="13.5" thickBot="1" x14ac:dyDescent="0.25">
      <c r="A220" s="1271" t="s">
        <v>1056</v>
      </c>
      <c r="B220" s="1176"/>
      <c r="C220" s="1181"/>
      <c r="D220" s="1182">
        <v>387378</v>
      </c>
      <c r="E220" s="1183"/>
      <c r="I220" s="1274" t="s">
        <v>154</v>
      </c>
      <c r="J220" s="1275"/>
      <c r="K220" s="1276"/>
      <c r="L220" s="1277"/>
      <c r="M220" s="1775">
        <f>SUM(M217:M219)</f>
        <v>3943154</v>
      </c>
      <c r="N220" s="1678"/>
    </row>
    <row r="221" spans="1:14" x14ac:dyDescent="0.2">
      <c r="A221" s="1271" t="s">
        <v>1057</v>
      </c>
      <c r="B221" s="1176"/>
      <c r="C221" s="1181"/>
      <c r="D221" s="1182">
        <v>366442</v>
      </c>
      <c r="E221" s="1183"/>
      <c r="I221" s="1178" t="s">
        <v>153</v>
      </c>
      <c r="J221" s="1176"/>
      <c r="K221" s="1176"/>
      <c r="L221" s="1278"/>
      <c r="M221" s="1776">
        <f>M220/12</f>
        <v>328596.16666666669</v>
      </c>
      <c r="N221" s="1678"/>
    </row>
    <row r="222" spans="1:14" x14ac:dyDescent="0.2">
      <c r="A222" s="1178" t="s">
        <v>990</v>
      </c>
      <c r="B222" s="1176"/>
      <c r="C222" s="1181"/>
      <c r="D222" s="1182">
        <v>265650</v>
      </c>
      <c r="E222" s="1183"/>
      <c r="G222" s="1136"/>
      <c r="H222" s="1136"/>
      <c r="I222" s="1136"/>
      <c r="J222" s="1136"/>
      <c r="K222" s="1136"/>
      <c r="L222" s="1212"/>
      <c r="M222" s="1136"/>
      <c r="N222" s="1119"/>
    </row>
    <row r="223" spans="1:14" ht="13.5" thickBot="1" x14ac:dyDescent="0.25">
      <c r="A223" s="1279" t="s">
        <v>1058</v>
      </c>
      <c r="C223" s="1280"/>
      <c r="D223" s="1182">
        <v>26460</v>
      </c>
      <c r="E223" s="1183"/>
      <c r="G223" s="1136"/>
      <c r="H223" s="1136"/>
      <c r="I223" s="1136"/>
      <c r="J223" s="1136"/>
      <c r="K223" s="1136"/>
      <c r="L223" s="1212"/>
      <c r="M223" s="1136"/>
      <c r="N223" s="1119"/>
    </row>
    <row r="224" spans="1:14" ht="13.5" thickBot="1" x14ac:dyDescent="0.25">
      <c r="A224" s="1186" t="s">
        <v>154</v>
      </c>
      <c r="B224" s="1188"/>
      <c r="C224" s="1281"/>
      <c r="D224" s="1756">
        <f>SUM(D216:D223)</f>
        <v>2015860</v>
      </c>
      <c r="E224" s="1183"/>
      <c r="G224" s="1136"/>
      <c r="H224" s="1136"/>
      <c r="I224" s="1136"/>
      <c r="J224" s="1136"/>
      <c r="K224" s="1136"/>
      <c r="L224" s="1777"/>
      <c r="M224" s="1136"/>
      <c r="N224" s="1119"/>
    </row>
    <row r="225" spans="1:14" x14ac:dyDescent="0.2">
      <c r="A225" s="1282" t="s">
        <v>153</v>
      </c>
      <c r="B225" s="1283"/>
      <c r="C225" s="1284"/>
      <c r="D225" s="1285">
        <f>D224/12</f>
        <v>167988.33333333334</v>
      </c>
      <c r="E225" s="1183"/>
      <c r="G225" s="1136"/>
      <c r="H225" s="1136"/>
      <c r="I225" s="1136"/>
      <c r="J225" s="1136"/>
      <c r="K225" s="1136"/>
      <c r="L225" s="1777"/>
      <c r="M225" s="1136"/>
      <c r="N225" s="1119"/>
    </row>
    <row r="226" spans="1:14" x14ac:dyDescent="0.2">
      <c r="C226" s="1286"/>
      <c r="E226" s="1183"/>
      <c r="G226" s="1136"/>
      <c r="H226" s="1136"/>
      <c r="I226" s="1136"/>
      <c r="J226" s="1136"/>
      <c r="K226" s="1136"/>
      <c r="L226" s="1777"/>
      <c r="M226" s="1136"/>
      <c r="N226" s="1119"/>
    </row>
    <row r="227" spans="1:14" x14ac:dyDescent="0.2">
      <c r="C227" s="1286"/>
      <c r="E227" s="1183"/>
      <c r="G227" s="1136"/>
      <c r="H227" s="1136"/>
      <c r="I227" s="1136"/>
      <c r="J227" s="1136"/>
      <c r="K227" s="1136"/>
      <c r="L227" s="1777"/>
      <c r="M227" s="1136"/>
      <c r="N227" s="1119"/>
    </row>
    <row r="228" spans="1:14" x14ac:dyDescent="0.2">
      <c r="C228" s="1286"/>
      <c r="E228" s="1183"/>
      <c r="G228" s="1136"/>
      <c r="H228" s="1136"/>
      <c r="I228" s="1136"/>
      <c r="J228" s="1136"/>
      <c r="K228" s="1136"/>
      <c r="L228" s="1777"/>
      <c r="M228" s="1136"/>
      <c r="N228" s="1119"/>
    </row>
    <row r="229" spans="1:14" x14ac:dyDescent="0.2">
      <c r="C229" s="1286"/>
      <c r="E229" s="1183"/>
      <c r="G229" s="1136"/>
      <c r="H229" s="1136"/>
      <c r="I229" s="1136"/>
      <c r="J229" s="1136"/>
      <c r="K229" s="1136"/>
      <c r="L229" s="1777"/>
      <c r="M229" s="1136"/>
      <c r="N229" s="1119"/>
    </row>
    <row r="230" spans="1:14" x14ac:dyDescent="0.2">
      <c r="A230" s="1150" t="s">
        <v>1014</v>
      </c>
      <c r="B230" s="1136"/>
      <c r="C230" s="1136"/>
      <c r="D230" s="1136"/>
      <c r="E230" s="1136"/>
      <c r="F230" s="1136"/>
      <c r="G230" s="1136"/>
      <c r="H230" s="1136"/>
      <c r="I230" s="1136"/>
      <c r="J230" s="1136"/>
      <c r="K230" s="1136"/>
      <c r="L230" s="1136"/>
      <c r="M230" s="1136"/>
      <c r="N230" s="1119"/>
    </row>
    <row r="231" spans="1:14" x14ac:dyDescent="0.2">
      <c r="A231" s="1220"/>
      <c r="B231" s="1124" t="s">
        <v>863</v>
      </c>
      <c r="C231" s="1124" t="s">
        <v>864</v>
      </c>
      <c r="D231" s="1124" t="s">
        <v>865</v>
      </c>
      <c r="E231" s="1124" t="s">
        <v>866</v>
      </c>
      <c r="F231" s="1124" t="s">
        <v>867</v>
      </c>
      <c r="G231" s="1124" t="s">
        <v>868</v>
      </c>
      <c r="H231" s="1124" t="s">
        <v>857</v>
      </c>
      <c r="I231" s="1124" t="s">
        <v>858</v>
      </c>
      <c r="J231" s="1124" t="s">
        <v>859</v>
      </c>
      <c r="K231" s="1124" t="s">
        <v>860</v>
      </c>
      <c r="L231" s="1124" t="s">
        <v>861</v>
      </c>
      <c r="M231" s="1124" t="s">
        <v>862</v>
      </c>
      <c r="N231" s="1120"/>
    </row>
    <row r="232" spans="1:14" x14ac:dyDescent="0.2">
      <c r="A232" s="1123" t="s">
        <v>1015</v>
      </c>
      <c r="B232" s="1221">
        <f t="shared" ref="B232:M232" si="48">$D$225</f>
        <v>167988.33333333334</v>
      </c>
      <c r="C232" s="1221">
        <f t="shared" si="48"/>
        <v>167988.33333333334</v>
      </c>
      <c r="D232" s="1221">
        <f t="shared" si="48"/>
        <v>167988.33333333334</v>
      </c>
      <c r="E232" s="1221">
        <f t="shared" si="48"/>
        <v>167988.33333333334</v>
      </c>
      <c r="F232" s="1221">
        <f t="shared" si="48"/>
        <v>167988.33333333334</v>
      </c>
      <c r="G232" s="1221">
        <f t="shared" si="48"/>
        <v>167988.33333333334</v>
      </c>
      <c r="H232" s="1221">
        <f t="shared" si="48"/>
        <v>167988.33333333334</v>
      </c>
      <c r="I232" s="1221">
        <f t="shared" si="48"/>
        <v>167988.33333333334</v>
      </c>
      <c r="J232" s="1221">
        <f t="shared" si="48"/>
        <v>167988.33333333334</v>
      </c>
      <c r="K232" s="1221">
        <f t="shared" si="48"/>
        <v>167988.33333333334</v>
      </c>
      <c r="L232" s="1221">
        <f t="shared" si="48"/>
        <v>167988.33333333334</v>
      </c>
      <c r="M232" s="1221">
        <f t="shared" si="48"/>
        <v>167988.33333333334</v>
      </c>
      <c r="N232" s="1224">
        <f>SUM(B232:M232)</f>
        <v>2015859.9999999998</v>
      </c>
    </row>
    <row r="233" spans="1:14" ht="13.5" thickBot="1" x14ac:dyDescent="0.25">
      <c r="A233" s="1139" t="s">
        <v>1016</v>
      </c>
      <c r="B233" s="1223">
        <f t="shared" ref="B233:M233" si="49">$M$221</f>
        <v>328596.16666666669</v>
      </c>
      <c r="C233" s="1223">
        <f t="shared" si="49"/>
        <v>328596.16666666669</v>
      </c>
      <c r="D233" s="1223">
        <f t="shared" si="49"/>
        <v>328596.16666666669</v>
      </c>
      <c r="E233" s="1223">
        <f t="shared" si="49"/>
        <v>328596.16666666669</v>
      </c>
      <c r="F233" s="1223">
        <f t="shared" si="49"/>
        <v>328596.16666666669</v>
      </c>
      <c r="G233" s="1223">
        <f t="shared" si="49"/>
        <v>328596.16666666669</v>
      </c>
      <c r="H233" s="1223">
        <f t="shared" si="49"/>
        <v>328596.16666666669</v>
      </c>
      <c r="I233" s="1223">
        <f t="shared" si="49"/>
        <v>328596.16666666669</v>
      </c>
      <c r="J233" s="1223">
        <f t="shared" si="49"/>
        <v>328596.16666666669</v>
      </c>
      <c r="K233" s="1223">
        <f t="shared" si="49"/>
        <v>328596.16666666669</v>
      </c>
      <c r="L233" s="1223">
        <f t="shared" si="49"/>
        <v>328596.16666666669</v>
      </c>
      <c r="M233" s="1223">
        <f t="shared" si="49"/>
        <v>328596.16666666669</v>
      </c>
      <c r="N233" s="1224">
        <f>SUM(B233:M233)</f>
        <v>3943153.9999999995</v>
      </c>
    </row>
    <row r="234" spans="1:14" ht="13.5" thickBot="1" x14ac:dyDescent="0.25">
      <c r="A234" s="1225" t="s">
        <v>1059</v>
      </c>
      <c r="B234" s="1287">
        <f t="shared" ref="B234:M234" si="50">SUM(B232,B233)</f>
        <v>496584.5</v>
      </c>
      <c r="C234" s="1287">
        <f t="shared" si="50"/>
        <v>496584.5</v>
      </c>
      <c r="D234" s="1287">
        <f t="shared" si="50"/>
        <v>496584.5</v>
      </c>
      <c r="E234" s="1287">
        <f t="shared" si="50"/>
        <v>496584.5</v>
      </c>
      <c r="F234" s="1287">
        <f t="shared" si="50"/>
        <v>496584.5</v>
      </c>
      <c r="G234" s="1287">
        <f t="shared" si="50"/>
        <v>496584.5</v>
      </c>
      <c r="H234" s="1287">
        <f t="shared" si="50"/>
        <v>496584.5</v>
      </c>
      <c r="I234" s="1287">
        <f t="shared" si="50"/>
        <v>496584.5</v>
      </c>
      <c r="J234" s="1287">
        <f t="shared" si="50"/>
        <v>496584.5</v>
      </c>
      <c r="K234" s="1287">
        <f t="shared" si="50"/>
        <v>496584.5</v>
      </c>
      <c r="L234" s="1287">
        <f t="shared" si="50"/>
        <v>496584.5</v>
      </c>
      <c r="M234" s="1287">
        <f t="shared" si="50"/>
        <v>496584.5</v>
      </c>
      <c r="N234" s="1288">
        <f>SUM(B232:M233)</f>
        <v>5959014.0000000009</v>
      </c>
    </row>
    <row r="235" spans="1:14" x14ac:dyDescent="0.2">
      <c r="A235" s="1228" t="s">
        <v>1060</v>
      </c>
      <c r="B235" s="1229">
        <v>241299</v>
      </c>
      <c r="C235" s="1229">
        <v>283588</v>
      </c>
      <c r="D235" s="1229">
        <v>267782</v>
      </c>
      <c r="E235" s="1229">
        <v>174168.9</v>
      </c>
      <c r="F235" s="1229"/>
      <c r="G235" s="1230"/>
      <c r="H235" s="1229"/>
      <c r="I235" s="1229"/>
      <c r="J235" s="1229"/>
      <c r="K235" s="1229"/>
      <c r="L235" s="1229"/>
      <c r="M235" s="1229"/>
      <c r="N235" s="1236">
        <f t="shared" ref="N235:N249" si="51">SUM(B235:M235)</f>
        <v>966837.9</v>
      </c>
    </row>
    <row r="236" spans="1:14" x14ac:dyDescent="0.2">
      <c r="A236" s="1120" t="s">
        <v>1061</v>
      </c>
      <c r="B236" s="1222">
        <v>875</v>
      </c>
      <c r="C236" s="1222">
        <v>175</v>
      </c>
      <c r="D236" s="1222">
        <v>3600</v>
      </c>
      <c r="E236" s="1222">
        <v>1250</v>
      </c>
      <c r="F236" s="1222"/>
      <c r="G236" s="1231"/>
      <c r="H236" s="1222"/>
      <c r="I236" s="1222"/>
      <c r="J236" s="1222"/>
      <c r="K236" s="1222"/>
      <c r="L236" s="1222"/>
      <c r="M236" s="1222"/>
      <c r="N236" s="1236">
        <f t="shared" si="51"/>
        <v>5900</v>
      </c>
    </row>
    <row r="237" spans="1:14" x14ac:dyDescent="0.2">
      <c r="A237" s="1241" t="s">
        <v>1021</v>
      </c>
      <c r="B237" s="1222">
        <v>24375</v>
      </c>
      <c r="C237" s="1222"/>
      <c r="D237" s="1222">
        <v>4650</v>
      </c>
      <c r="E237" s="1222"/>
      <c r="F237" s="1222"/>
      <c r="G237" s="1231"/>
      <c r="H237" s="1222"/>
      <c r="I237" s="1222"/>
      <c r="J237" s="1222"/>
      <c r="K237" s="1222"/>
      <c r="L237" s="1222"/>
      <c r="M237" s="1222"/>
      <c r="N237" s="1236">
        <f t="shared" si="51"/>
        <v>29025</v>
      </c>
    </row>
    <row r="238" spans="1:14" ht="13.5" thickBot="1" x14ac:dyDescent="0.25">
      <c r="A238" s="1251" t="s">
        <v>1062</v>
      </c>
      <c r="B238" s="1236"/>
      <c r="C238" s="1236"/>
      <c r="D238" s="1236">
        <v>29400</v>
      </c>
      <c r="E238" s="1236"/>
      <c r="F238" s="1236"/>
      <c r="G238" s="1693"/>
      <c r="H238" s="1236"/>
      <c r="I238" s="1236"/>
      <c r="J238" s="1236"/>
      <c r="K238" s="1236"/>
      <c r="L238" s="1236"/>
      <c r="M238" s="1236"/>
      <c r="N238" s="1694">
        <f>SUM(B238:M238)</f>
        <v>29400</v>
      </c>
    </row>
    <row r="239" spans="1:14" ht="13.5" thickBot="1" x14ac:dyDescent="0.25">
      <c r="A239" s="1252" t="s">
        <v>1030</v>
      </c>
      <c r="B239" s="1253">
        <f t="shared" ref="B239:M239" si="52">SUM(B235:B237)</f>
        <v>266549</v>
      </c>
      <c r="C239" s="1253">
        <f t="shared" si="52"/>
        <v>283763</v>
      </c>
      <c r="D239" s="1253">
        <f>SUM(D235:D238)</f>
        <v>305432</v>
      </c>
      <c r="E239" s="1253">
        <f t="shared" si="52"/>
        <v>175418.9</v>
      </c>
      <c r="F239" s="1253">
        <f t="shared" si="52"/>
        <v>0</v>
      </c>
      <c r="G239" s="1253">
        <f t="shared" si="52"/>
        <v>0</v>
      </c>
      <c r="H239" s="1253">
        <f t="shared" si="52"/>
        <v>0</v>
      </c>
      <c r="I239" s="1253">
        <f t="shared" si="52"/>
        <v>0</v>
      </c>
      <c r="J239" s="1253">
        <f t="shared" si="52"/>
        <v>0</v>
      </c>
      <c r="K239" s="1253">
        <f t="shared" si="52"/>
        <v>0</v>
      </c>
      <c r="L239" s="1253">
        <f t="shared" si="52"/>
        <v>0</v>
      </c>
      <c r="M239" s="1253">
        <f t="shared" si="52"/>
        <v>0</v>
      </c>
      <c r="N239" s="1289">
        <f t="shared" si="51"/>
        <v>1031162.9</v>
      </c>
    </row>
    <row r="240" spans="1:14" x14ac:dyDescent="0.2">
      <c r="A240" s="1120" t="s">
        <v>1029</v>
      </c>
      <c r="B240" s="1224"/>
      <c r="C240" s="1224"/>
      <c r="D240" s="1224"/>
      <c r="E240" s="1224"/>
      <c r="F240" s="1224"/>
      <c r="G240" s="1290"/>
      <c r="H240" s="1224"/>
      <c r="I240" s="1224"/>
      <c r="J240" s="1224"/>
      <c r="K240" s="1224"/>
      <c r="L240" s="1224"/>
      <c r="M240" s="1224"/>
      <c r="N240" s="1224">
        <f t="shared" si="51"/>
        <v>0</v>
      </c>
    </row>
    <row r="241" spans="1:14" x14ac:dyDescent="0.2">
      <c r="A241" s="1255" t="s">
        <v>1030</v>
      </c>
      <c r="B241" s="1291">
        <f t="shared" ref="B241:M241" si="53">SUM(B234,B239,B240)</f>
        <v>763133.5</v>
      </c>
      <c r="C241" s="1291">
        <f t="shared" si="53"/>
        <v>780347.5</v>
      </c>
      <c r="D241" s="1291">
        <f t="shared" si="53"/>
        <v>802016.5</v>
      </c>
      <c r="E241" s="1291">
        <f t="shared" si="53"/>
        <v>672003.4</v>
      </c>
      <c r="F241" s="1291">
        <f t="shared" si="53"/>
        <v>496584.5</v>
      </c>
      <c r="G241" s="1291">
        <f t="shared" si="53"/>
        <v>496584.5</v>
      </c>
      <c r="H241" s="1291">
        <f t="shared" si="53"/>
        <v>496584.5</v>
      </c>
      <c r="I241" s="1291">
        <f t="shared" si="53"/>
        <v>496584.5</v>
      </c>
      <c r="J241" s="1291">
        <f t="shared" si="53"/>
        <v>496584.5</v>
      </c>
      <c r="K241" s="1291">
        <f t="shared" si="53"/>
        <v>496584.5</v>
      </c>
      <c r="L241" s="1291">
        <f t="shared" si="53"/>
        <v>496584.5</v>
      </c>
      <c r="M241" s="1291">
        <f t="shared" si="53"/>
        <v>496584.5</v>
      </c>
      <c r="N241" s="1291">
        <f t="shared" si="51"/>
        <v>6990176.9000000004</v>
      </c>
    </row>
    <row r="242" spans="1:14" x14ac:dyDescent="0.2">
      <c r="A242" s="1292" t="s">
        <v>1063</v>
      </c>
      <c r="B242" s="1223">
        <v>333625</v>
      </c>
      <c r="C242" s="1223">
        <v>329280</v>
      </c>
      <c r="D242" s="1223">
        <v>324721</v>
      </c>
      <c r="E242" s="1223">
        <v>387187</v>
      </c>
      <c r="F242" s="1223">
        <v>409153</v>
      </c>
      <c r="G242" s="1223">
        <v>330000</v>
      </c>
      <c r="H242" s="1223">
        <v>330000</v>
      </c>
      <c r="I242" s="1223">
        <v>330000</v>
      </c>
      <c r="J242" s="1223">
        <v>330000</v>
      </c>
      <c r="K242" s="1223">
        <v>330000</v>
      </c>
      <c r="L242" s="1223">
        <v>330000</v>
      </c>
      <c r="M242" s="1223">
        <v>330000</v>
      </c>
      <c r="N242" s="1223">
        <f t="shared" si="51"/>
        <v>4093966</v>
      </c>
    </row>
    <row r="243" spans="1:14" x14ac:dyDescent="0.2">
      <c r="A243" s="1120" t="s">
        <v>1064</v>
      </c>
      <c r="B243" s="1223">
        <v>4038</v>
      </c>
      <c r="C243" s="1223">
        <v>7255</v>
      </c>
      <c r="D243" s="1223">
        <v>5239</v>
      </c>
      <c r="E243" s="1223">
        <v>7089</v>
      </c>
      <c r="F243" s="1223"/>
      <c r="G243" s="1223"/>
      <c r="H243" s="1223"/>
      <c r="I243" s="1223"/>
      <c r="J243" s="1223"/>
      <c r="K243" s="1223"/>
      <c r="L243" s="1223"/>
      <c r="M243" s="1223"/>
      <c r="N243" s="1223">
        <f t="shared" si="51"/>
        <v>23621</v>
      </c>
    </row>
    <row r="244" spans="1:14" x14ac:dyDescent="0.2">
      <c r="A244" s="1120" t="s">
        <v>1065</v>
      </c>
      <c r="B244" s="1223">
        <v>53852</v>
      </c>
      <c r="C244" s="1223"/>
      <c r="D244" s="1223"/>
      <c r="E244" s="1223">
        <v>27214</v>
      </c>
      <c r="F244" s="1223"/>
      <c r="G244" s="1223"/>
      <c r="H244" s="1223">
        <v>27214</v>
      </c>
      <c r="I244" s="1223"/>
      <c r="J244" s="1223"/>
      <c r="K244" s="1223">
        <v>27214</v>
      </c>
      <c r="L244" s="1223"/>
      <c r="M244" s="1223"/>
      <c r="N244" s="1223">
        <f t="shared" si="51"/>
        <v>135494</v>
      </c>
    </row>
    <row r="245" spans="1:14" x14ac:dyDescent="0.2">
      <c r="A245" s="1120" t="s">
        <v>1066</v>
      </c>
      <c r="B245" s="1223">
        <v>2429</v>
      </c>
      <c r="C245" s="1223">
        <v>2429</v>
      </c>
      <c r="D245" s="1223">
        <v>2429</v>
      </c>
      <c r="E245" s="1223">
        <v>2429</v>
      </c>
      <c r="F245" s="1223">
        <v>2429</v>
      </c>
      <c r="G245" s="1223">
        <v>2429</v>
      </c>
      <c r="H245" s="1223">
        <v>2429</v>
      </c>
      <c r="I245" s="1223">
        <v>2429</v>
      </c>
      <c r="J245" s="1223">
        <v>2429</v>
      </c>
      <c r="K245" s="1223">
        <v>2429</v>
      </c>
      <c r="L245" s="1223">
        <v>2429</v>
      </c>
      <c r="M245" s="1223">
        <v>2429</v>
      </c>
      <c r="N245" s="1223">
        <f t="shared" si="51"/>
        <v>29148</v>
      </c>
    </row>
    <row r="246" spans="1:14" x14ac:dyDescent="0.2">
      <c r="A246" s="1120" t="s">
        <v>1067</v>
      </c>
      <c r="B246" s="1223">
        <v>15000</v>
      </c>
      <c r="C246" s="1223">
        <v>15000</v>
      </c>
      <c r="D246" s="1223">
        <v>15000</v>
      </c>
      <c r="E246" s="1223">
        <v>15000</v>
      </c>
      <c r="F246" s="1223">
        <v>15000</v>
      </c>
      <c r="G246" s="1223">
        <v>15000</v>
      </c>
      <c r="H246" s="1223">
        <v>15000</v>
      </c>
      <c r="I246" s="1223">
        <v>15000</v>
      </c>
      <c r="J246" s="1223">
        <v>15000</v>
      </c>
      <c r="K246" s="1223">
        <v>15000</v>
      </c>
      <c r="L246" s="1223">
        <v>15000</v>
      </c>
      <c r="M246" s="1223">
        <v>15000</v>
      </c>
      <c r="N246" s="1223">
        <f t="shared" si="51"/>
        <v>180000</v>
      </c>
    </row>
    <row r="247" spans="1:14" x14ac:dyDescent="0.2">
      <c r="A247" s="1120" t="s">
        <v>1068</v>
      </c>
      <c r="B247" s="1223">
        <v>5680</v>
      </c>
      <c r="C247" s="1223">
        <v>5680</v>
      </c>
      <c r="D247" s="1223">
        <v>5680</v>
      </c>
      <c r="E247" s="1223">
        <v>5680</v>
      </c>
      <c r="F247" s="1223">
        <v>5680</v>
      </c>
      <c r="G247" s="1223">
        <v>5680</v>
      </c>
      <c r="H247" s="1223">
        <v>5680</v>
      </c>
      <c r="I247" s="1223">
        <v>5680</v>
      </c>
      <c r="J247" s="1223">
        <v>5680</v>
      </c>
      <c r="K247" s="1223">
        <v>5680</v>
      </c>
      <c r="L247" s="1223">
        <v>5680</v>
      </c>
      <c r="M247" s="1223">
        <v>5680</v>
      </c>
      <c r="N247" s="1223">
        <f t="shared" si="51"/>
        <v>68160</v>
      </c>
    </row>
    <row r="248" spans="1:14" x14ac:dyDescent="0.2">
      <c r="A248" s="1120" t="s">
        <v>1069</v>
      </c>
      <c r="B248" s="1221">
        <v>229965</v>
      </c>
      <c r="C248" s="1221">
        <v>268945</v>
      </c>
      <c r="D248" s="1221">
        <v>255187</v>
      </c>
      <c r="E248" s="1221">
        <v>166648</v>
      </c>
      <c r="F248" s="1221"/>
      <c r="G248" s="1221"/>
      <c r="H248" s="1221"/>
      <c r="I248" s="1221"/>
      <c r="J248" s="1221"/>
      <c r="K248" s="1221"/>
      <c r="L248" s="1221"/>
      <c r="M248" s="1221"/>
      <c r="N248" s="1223">
        <f t="shared" si="51"/>
        <v>920745</v>
      </c>
    </row>
    <row r="249" spans="1:14" x14ac:dyDescent="0.2">
      <c r="A249" s="1259" t="s">
        <v>1033</v>
      </c>
      <c r="B249" s="1260">
        <f>SUM(B241-B242-B243-B244-B245-B246-B247-B248)</f>
        <v>118544.5</v>
      </c>
      <c r="C249" s="1260">
        <f t="shared" ref="C249:M249" si="54">SUM(C241-C242-C243-C244-C245-C246-C247-C248)</f>
        <v>151758.5</v>
      </c>
      <c r="D249" s="1260">
        <f t="shared" si="54"/>
        <v>193760.5</v>
      </c>
      <c r="E249" s="1260">
        <f t="shared" si="54"/>
        <v>60756.400000000023</v>
      </c>
      <c r="F249" s="1260">
        <f t="shared" si="54"/>
        <v>64322.5</v>
      </c>
      <c r="G249" s="1260">
        <f t="shared" si="54"/>
        <v>143475.5</v>
      </c>
      <c r="H249" s="1260">
        <f t="shared" si="54"/>
        <v>116261.5</v>
      </c>
      <c r="I249" s="1260">
        <f t="shared" si="54"/>
        <v>143475.5</v>
      </c>
      <c r="J249" s="1260">
        <f t="shared" si="54"/>
        <v>143475.5</v>
      </c>
      <c r="K249" s="1260">
        <f t="shared" si="54"/>
        <v>116261.5</v>
      </c>
      <c r="L249" s="1260">
        <f t="shared" si="54"/>
        <v>143475.5</v>
      </c>
      <c r="M249" s="1260">
        <f t="shared" si="54"/>
        <v>143475.5</v>
      </c>
      <c r="N249" s="1223">
        <f t="shared" si="51"/>
        <v>1539042.9</v>
      </c>
    </row>
    <row r="250" spans="1:14" ht="13.5" thickBot="1" x14ac:dyDescent="0.25">
      <c r="A250" s="1293"/>
      <c r="B250" s="1294"/>
      <c r="C250" s="1294"/>
      <c r="D250" s="1294"/>
      <c r="E250" s="1294"/>
      <c r="F250" s="1294"/>
      <c r="G250" s="1294"/>
      <c r="H250" s="1294"/>
      <c r="I250" s="1294"/>
      <c r="J250" s="1294"/>
      <c r="K250" s="1294"/>
      <c r="L250" s="1294"/>
      <c r="M250" s="1294"/>
      <c r="N250" s="1294"/>
    </row>
    <row r="251" spans="1:14" ht="13.5" thickBot="1" x14ac:dyDescent="0.25">
      <c r="A251" s="1173"/>
      <c r="B251" s="1173"/>
      <c r="C251" s="1173"/>
      <c r="D251" s="1173"/>
      <c r="E251" s="1173"/>
      <c r="F251" s="1173"/>
      <c r="G251" s="1173"/>
      <c r="H251" s="1173"/>
      <c r="I251" s="1173"/>
      <c r="J251" s="1173"/>
      <c r="K251" s="1173"/>
      <c r="L251" s="1173"/>
      <c r="M251" s="1173"/>
      <c r="N251" s="1173"/>
    </row>
    <row r="252" spans="1:14" ht="20.25" x14ac:dyDescent="0.3">
      <c r="A252" s="1787" t="s">
        <v>1070</v>
      </c>
      <c r="B252" s="1787"/>
      <c r="C252" s="1787"/>
      <c r="D252" s="1787"/>
      <c r="E252" s="1787"/>
      <c r="F252" s="1787"/>
      <c r="G252" s="1787"/>
      <c r="H252" s="1787"/>
      <c r="I252" s="1787"/>
      <c r="J252" s="1787"/>
      <c r="K252" s="1787"/>
      <c r="L252" s="1787"/>
      <c r="M252" s="1787"/>
      <c r="N252" s="1787"/>
    </row>
    <row r="253" spans="1:14" x14ac:dyDescent="0.2">
      <c r="A253" s="1119"/>
      <c r="B253" s="1119"/>
      <c r="C253" s="1119"/>
      <c r="D253" s="1119"/>
      <c r="E253" s="1119"/>
      <c r="F253" s="1119"/>
      <c r="G253" s="1119"/>
      <c r="H253" s="1119"/>
      <c r="I253" s="1119"/>
      <c r="J253" s="1119"/>
      <c r="K253" s="1119"/>
      <c r="L253" s="1119"/>
      <c r="M253" s="1119"/>
    </row>
    <row r="254" spans="1:14" x14ac:dyDescent="0.2">
      <c r="A254" s="1120"/>
      <c r="B254" s="1121" t="s">
        <v>863</v>
      </c>
      <c r="C254" s="1121" t="s">
        <v>864</v>
      </c>
      <c r="D254" s="1122" t="s">
        <v>865</v>
      </c>
      <c r="E254" s="1121" t="s">
        <v>866</v>
      </c>
      <c r="F254" s="1121" t="s">
        <v>867</v>
      </c>
      <c r="G254" s="1122" t="s">
        <v>868</v>
      </c>
      <c r="H254" s="1121" t="s">
        <v>857</v>
      </c>
      <c r="I254" s="1121" t="s">
        <v>858</v>
      </c>
      <c r="J254" s="1121" t="s">
        <v>859</v>
      </c>
      <c r="K254" s="1121" t="s">
        <v>860</v>
      </c>
      <c r="L254" s="1121" t="s">
        <v>861</v>
      </c>
      <c r="M254" s="1121" t="s">
        <v>862</v>
      </c>
      <c r="N254" s="1120" t="s">
        <v>137</v>
      </c>
    </row>
    <row r="255" spans="1:14" x14ac:dyDescent="0.2">
      <c r="A255" s="1123" t="s">
        <v>332</v>
      </c>
      <c r="B255" s="1124">
        <v>2083</v>
      </c>
      <c r="C255" s="1124">
        <v>2083</v>
      </c>
      <c r="D255" s="1124">
        <v>2083</v>
      </c>
      <c r="E255" s="1124">
        <v>2083</v>
      </c>
      <c r="F255" s="1124">
        <v>2083</v>
      </c>
      <c r="G255" s="1124">
        <v>2083</v>
      </c>
      <c r="H255" s="1124">
        <v>2083</v>
      </c>
      <c r="I255" s="1124">
        <v>2083</v>
      </c>
      <c r="J255" s="1124">
        <v>2083</v>
      </c>
      <c r="K255" s="1124">
        <v>2083</v>
      </c>
      <c r="L255" s="1124">
        <v>2083</v>
      </c>
      <c r="M255" s="1124">
        <v>2083</v>
      </c>
      <c r="N255" s="1124">
        <f t="shared" ref="N255:N266" si="55">SUM(B255:M255)</f>
        <v>24996</v>
      </c>
    </row>
    <row r="256" spans="1:14" x14ac:dyDescent="0.2">
      <c r="A256" s="1123" t="s">
        <v>893</v>
      </c>
      <c r="B256" s="1124"/>
      <c r="C256" s="1124"/>
      <c r="D256" s="1124"/>
      <c r="E256" s="1124"/>
      <c r="F256" s="1124"/>
      <c r="G256" s="1125"/>
      <c r="H256" s="1124"/>
      <c r="I256" s="1124"/>
      <c r="J256" s="1126"/>
      <c r="K256" s="1124"/>
      <c r="L256" s="1124"/>
      <c r="M256" s="1124"/>
      <c r="N256" s="1124">
        <f t="shared" si="55"/>
        <v>0</v>
      </c>
    </row>
    <row r="257" spans="1:14" x14ac:dyDescent="0.2">
      <c r="A257" s="1123" t="s">
        <v>894</v>
      </c>
      <c r="B257" s="1124"/>
      <c r="C257" s="1124"/>
      <c r="D257" s="1124"/>
      <c r="E257" s="1124"/>
      <c r="F257" s="1124"/>
      <c r="G257" s="1125"/>
      <c r="H257" s="1124"/>
      <c r="I257" s="1124"/>
      <c r="J257" s="1124"/>
      <c r="K257" s="1124"/>
      <c r="L257" s="1124"/>
      <c r="M257" s="1120"/>
      <c r="N257" s="1124">
        <f t="shared" si="55"/>
        <v>0</v>
      </c>
    </row>
    <row r="258" spans="1:14" x14ac:dyDescent="0.2">
      <c r="A258" s="1123" t="s">
        <v>896</v>
      </c>
      <c r="B258" s="1124">
        <v>81.75</v>
      </c>
      <c r="C258" s="1124">
        <v>109.25</v>
      </c>
      <c r="D258" s="1124">
        <v>142.75</v>
      </c>
      <c r="E258" s="1124"/>
      <c r="F258" s="1124"/>
      <c r="G258" s="1125"/>
      <c r="H258" s="1124"/>
      <c r="I258" s="1124"/>
      <c r="J258" s="1124"/>
      <c r="K258" s="1124"/>
      <c r="L258" s="1124"/>
      <c r="M258" s="1124"/>
      <c r="N258" s="1124">
        <f t="shared" si="55"/>
        <v>333.75</v>
      </c>
    </row>
    <row r="259" spans="1:14" x14ac:dyDescent="0.2">
      <c r="A259" s="1123" t="s">
        <v>897</v>
      </c>
      <c r="B259" s="1124">
        <v>7.75</v>
      </c>
      <c r="C259" s="1124">
        <v>50.75</v>
      </c>
      <c r="D259" s="1124">
        <v>93.75</v>
      </c>
      <c r="E259" s="1124"/>
      <c r="F259" s="1124"/>
      <c r="G259" s="1125"/>
      <c r="H259" s="1124"/>
      <c r="I259" s="1124"/>
      <c r="J259" s="1124"/>
      <c r="K259" s="1124"/>
      <c r="L259" s="1124"/>
      <c r="M259" s="1124"/>
      <c r="N259" s="1124">
        <f t="shared" si="55"/>
        <v>152.25</v>
      </c>
    </row>
    <row r="260" spans="1:14" x14ac:dyDescent="0.2">
      <c r="A260" s="1123" t="s">
        <v>898</v>
      </c>
      <c r="B260" s="1124">
        <v>145.5</v>
      </c>
      <c r="C260" s="1124">
        <v>23.25</v>
      </c>
      <c r="D260" s="1124">
        <v>50.75</v>
      </c>
      <c r="E260" s="1124"/>
      <c r="F260" s="1124"/>
      <c r="G260" s="1125"/>
      <c r="H260" s="1124"/>
      <c r="I260" s="1124"/>
      <c r="J260" s="1124"/>
      <c r="K260" s="1124"/>
      <c r="L260" s="1124"/>
      <c r="M260" s="1124"/>
      <c r="N260" s="1124">
        <f t="shared" si="55"/>
        <v>219.5</v>
      </c>
    </row>
    <row r="261" spans="1:14" x14ac:dyDescent="0.2">
      <c r="A261" s="1123" t="s">
        <v>899</v>
      </c>
      <c r="B261" s="1124"/>
      <c r="C261" s="1124">
        <v>15.5</v>
      </c>
      <c r="D261" s="1124"/>
      <c r="E261" s="1124"/>
      <c r="F261" s="1124"/>
      <c r="G261" s="1125"/>
      <c r="H261" s="1124"/>
      <c r="I261" s="1124"/>
      <c r="J261" s="1124"/>
      <c r="K261" s="1124"/>
      <c r="L261" s="1124"/>
      <c r="M261" s="1124"/>
      <c r="N261" s="1124">
        <f t="shared" si="55"/>
        <v>15.5</v>
      </c>
    </row>
    <row r="262" spans="1:14" x14ac:dyDescent="0.2">
      <c r="A262" s="1123" t="s">
        <v>900</v>
      </c>
      <c r="B262" s="1124">
        <v>21.5</v>
      </c>
      <c r="C262" s="1124">
        <v>27.5</v>
      </c>
      <c r="D262" s="1124"/>
      <c r="E262" s="1124"/>
      <c r="F262" s="1124"/>
      <c r="G262" s="1125"/>
      <c r="H262" s="1124"/>
      <c r="I262" s="1124"/>
      <c r="J262" s="1124"/>
      <c r="K262" s="1124"/>
      <c r="L262" s="1124"/>
      <c r="M262" s="1124"/>
      <c r="N262" s="1124">
        <f t="shared" si="55"/>
        <v>49</v>
      </c>
    </row>
    <row r="263" spans="1:14" x14ac:dyDescent="0.2">
      <c r="A263" s="1123" t="s">
        <v>901</v>
      </c>
      <c r="B263" s="1124"/>
      <c r="C263" s="1124"/>
      <c r="D263" s="1124"/>
      <c r="E263" s="1124"/>
      <c r="F263" s="1124"/>
      <c r="G263" s="1125"/>
      <c r="H263" s="1124"/>
      <c r="I263" s="1124"/>
      <c r="J263" s="1124"/>
      <c r="K263" s="1124"/>
      <c r="L263" s="1124"/>
      <c r="M263" s="1124"/>
      <c r="N263" s="1124">
        <f t="shared" si="55"/>
        <v>0</v>
      </c>
    </row>
    <row r="264" spans="1:14" x14ac:dyDescent="0.2">
      <c r="A264" s="1123" t="s">
        <v>902</v>
      </c>
      <c r="B264" s="1124">
        <v>6</v>
      </c>
      <c r="C264" s="1124">
        <v>23.25</v>
      </c>
      <c r="D264" s="1124"/>
      <c r="E264" s="1124"/>
      <c r="F264" s="1124"/>
      <c r="G264" s="1125"/>
      <c r="H264" s="1124"/>
      <c r="I264" s="1124"/>
      <c r="J264" s="1124"/>
      <c r="K264" s="1124"/>
      <c r="L264" s="1124"/>
      <c r="M264" s="1124"/>
      <c r="N264" s="1124">
        <f t="shared" si="55"/>
        <v>29.25</v>
      </c>
    </row>
    <row r="265" spans="1:14" ht="13.5" thickBot="1" x14ac:dyDescent="0.25">
      <c r="A265" s="1127" t="s">
        <v>903</v>
      </c>
      <c r="B265" s="1128">
        <v>7.75</v>
      </c>
      <c r="C265" s="1128"/>
      <c r="D265" s="1128"/>
      <c r="E265" s="1128"/>
      <c r="F265" s="1128"/>
      <c r="G265" s="1129"/>
      <c r="H265" s="1128"/>
      <c r="I265" s="1128"/>
      <c r="J265" s="1128"/>
      <c r="K265" s="1128"/>
      <c r="L265" s="1128"/>
      <c r="M265" s="1128"/>
      <c r="N265" s="1130">
        <f t="shared" si="55"/>
        <v>7.75</v>
      </c>
    </row>
    <row r="266" spans="1:14" ht="13.5" thickBot="1" x14ac:dyDescent="0.25">
      <c r="A266" s="1131" t="s">
        <v>904</v>
      </c>
      <c r="B266" s="1132">
        <f t="shared" ref="B266:M266" si="56">SUM(B255+B256+B257-B258-B259-B260-B262-B263-B264-B265)</f>
        <v>1812.75</v>
      </c>
      <c r="C266" s="1132">
        <f t="shared" si="56"/>
        <v>1849</v>
      </c>
      <c r="D266" s="1132">
        <f t="shared" si="56"/>
        <v>1795.75</v>
      </c>
      <c r="E266" s="1132">
        <f t="shared" si="56"/>
        <v>2083</v>
      </c>
      <c r="F266" s="1132">
        <f t="shared" si="56"/>
        <v>2083</v>
      </c>
      <c r="G266" s="1246">
        <f t="shared" si="56"/>
        <v>2083</v>
      </c>
      <c r="H266" s="1132">
        <f t="shared" si="56"/>
        <v>2083</v>
      </c>
      <c r="I266" s="1132">
        <f t="shared" si="56"/>
        <v>2083</v>
      </c>
      <c r="J266" s="1132">
        <f t="shared" si="56"/>
        <v>2083</v>
      </c>
      <c r="K266" s="1132">
        <f t="shared" si="56"/>
        <v>2083</v>
      </c>
      <c r="L266" s="1132">
        <f t="shared" si="56"/>
        <v>2083</v>
      </c>
      <c r="M266" s="1133">
        <f t="shared" si="56"/>
        <v>2083</v>
      </c>
      <c r="N266" s="1134">
        <f t="shared" si="55"/>
        <v>24204.5</v>
      </c>
    </row>
    <row r="267" spans="1:14" x14ac:dyDescent="0.2">
      <c r="A267" s="1135"/>
      <c r="B267" s="1136"/>
      <c r="C267" s="1136"/>
      <c r="D267" s="1136"/>
      <c r="E267" s="1136"/>
      <c r="F267" s="1136"/>
      <c r="G267" s="1136"/>
      <c r="H267" s="1136"/>
      <c r="I267" s="1136"/>
      <c r="J267" s="1136"/>
      <c r="K267" s="1136"/>
      <c r="L267" s="1136"/>
      <c r="M267" s="1136"/>
      <c r="N267" s="1136"/>
    </row>
    <row r="268" spans="1:14" x14ac:dyDescent="0.2">
      <c r="A268" s="1135"/>
      <c r="B268" s="1136"/>
      <c r="C268" s="1136"/>
      <c r="D268" s="1136"/>
      <c r="E268" s="1136"/>
      <c r="F268" s="1136"/>
      <c r="G268" s="1136"/>
      <c r="H268" s="1136"/>
      <c r="I268" s="1136"/>
      <c r="J268" s="1136"/>
      <c r="K268" s="1136"/>
      <c r="L268" s="1136"/>
      <c r="M268" s="1136"/>
      <c r="N268" s="1137" t="s">
        <v>905</v>
      </c>
    </row>
    <row r="269" spans="1:14" x14ac:dyDescent="0.2">
      <c r="A269" s="1123" t="s">
        <v>906</v>
      </c>
      <c r="B269" s="1124">
        <f t="shared" ref="B269:M269" si="57">SUM(B256*100/B266)</f>
        <v>0</v>
      </c>
      <c r="C269" s="1124">
        <f t="shared" si="57"/>
        <v>0</v>
      </c>
      <c r="D269" s="1124">
        <f t="shared" si="57"/>
        <v>0</v>
      </c>
      <c r="E269" s="1124">
        <f t="shared" si="57"/>
        <v>0</v>
      </c>
      <c r="F269" s="1124">
        <f t="shared" si="57"/>
        <v>0</v>
      </c>
      <c r="G269" s="1124">
        <f t="shared" si="57"/>
        <v>0</v>
      </c>
      <c r="H269" s="1124">
        <f t="shared" si="57"/>
        <v>0</v>
      </c>
      <c r="I269" s="1124">
        <f t="shared" si="57"/>
        <v>0</v>
      </c>
      <c r="J269" s="1124">
        <f t="shared" si="57"/>
        <v>0</v>
      </c>
      <c r="K269" s="1124">
        <f t="shared" si="57"/>
        <v>0</v>
      </c>
      <c r="L269" s="1124">
        <f t="shared" si="57"/>
        <v>0</v>
      </c>
      <c r="M269" s="1124">
        <f t="shared" si="57"/>
        <v>0</v>
      </c>
      <c r="N269" s="1138">
        <f>SUM(B269:M269)/12</f>
        <v>0</v>
      </c>
    </row>
    <row r="270" spans="1:14" x14ac:dyDescent="0.2">
      <c r="A270" s="1135"/>
      <c r="B270" s="1136"/>
      <c r="C270" s="1136"/>
      <c r="D270" s="1136"/>
      <c r="E270" s="1136"/>
      <c r="F270" s="1136"/>
      <c r="G270" s="1136"/>
      <c r="H270" s="1136"/>
      <c r="I270" s="1136"/>
      <c r="J270" s="1136"/>
      <c r="K270" s="1136"/>
      <c r="L270" s="1136"/>
      <c r="M270" s="1136"/>
      <c r="N270" s="1119"/>
    </row>
    <row r="271" spans="1:14" x14ac:dyDescent="0.2">
      <c r="A271" s="1123" t="s">
        <v>907</v>
      </c>
      <c r="B271" s="1124">
        <f t="shared" ref="B271:M271" si="58">SUM(B260*100/B266)</f>
        <v>8.0264791063301608</v>
      </c>
      <c r="C271" s="1124">
        <f t="shared" si="58"/>
        <v>1.25743645213629</v>
      </c>
      <c r="D271" s="1124">
        <f t="shared" si="58"/>
        <v>2.8261172212167618</v>
      </c>
      <c r="E271" s="1124">
        <f t="shared" si="58"/>
        <v>0</v>
      </c>
      <c r="F271" s="1124">
        <f t="shared" si="58"/>
        <v>0</v>
      </c>
      <c r="G271" s="1124">
        <f t="shared" si="58"/>
        <v>0</v>
      </c>
      <c r="H271" s="1124">
        <f t="shared" si="58"/>
        <v>0</v>
      </c>
      <c r="I271" s="1124">
        <f t="shared" si="58"/>
        <v>0</v>
      </c>
      <c r="J271" s="1124">
        <f t="shared" si="58"/>
        <v>0</v>
      </c>
      <c r="K271" s="1124">
        <f t="shared" si="58"/>
        <v>0</v>
      </c>
      <c r="L271" s="1124">
        <f t="shared" si="58"/>
        <v>0</v>
      </c>
      <c r="M271" s="1124">
        <f t="shared" si="58"/>
        <v>0</v>
      </c>
      <c r="N271" s="1138">
        <f>SUM(B271:M271)/12</f>
        <v>1.0091693983069343</v>
      </c>
    </row>
    <row r="272" spans="1:14" ht="13.5" thickBot="1" x14ac:dyDescent="0.25">
      <c r="A272" s="1139" t="s">
        <v>908</v>
      </c>
      <c r="B272" s="1130">
        <f t="shared" ref="B272:M272" si="59">SUM(B261*100/B266)</f>
        <v>0</v>
      </c>
      <c r="C272" s="1130">
        <f t="shared" si="59"/>
        <v>0.8382909680908599</v>
      </c>
      <c r="D272" s="1130">
        <f t="shared" si="59"/>
        <v>0</v>
      </c>
      <c r="E272" s="1130">
        <f t="shared" si="59"/>
        <v>0</v>
      </c>
      <c r="F272" s="1130">
        <f t="shared" si="59"/>
        <v>0</v>
      </c>
      <c r="G272" s="1130">
        <f t="shared" si="59"/>
        <v>0</v>
      </c>
      <c r="H272" s="1130">
        <f t="shared" si="59"/>
        <v>0</v>
      </c>
      <c r="I272" s="1130">
        <f t="shared" si="59"/>
        <v>0</v>
      </c>
      <c r="J272" s="1130">
        <f t="shared" si="59"/>
        <v>0</v>
      </c>
      <c r="K272" s="1130">
        <f t="shared" si="59"/>
        <v>0</v>
      </c>
      <c r="L272" s="1130">
        <f t="shared" si="59"/>
        <v>0</v>
      </c>
      <c r="M272" s="1130">
        <f t="shared" si="59"/>
        <v>0</v>
      </c>
      <c r="N272" s="1140">
        <f>SUM(B272:M272)/12</f>
        <v>6.985758067423832E-2</v>
      </c>
    </row>
    <row r="273" spans="1:14" ht="13.5" thickBot="1" x14ac:dyDescent="0.25">
      <c r="A273" s="1141" t="s">
        <v>909</v>
      </c>
      <c r="B273" s="1142">
        <f t="shared" ref="B273:M273" si="60">SUM(B271:B271)</f>
        <v>8.0264791063301608</v>
      </c>
      <c r="C273" s="1142">
        <f t="shared" si="60"/>
        <v>1.25743645213629</v>
      </c>
      <c r="D273" s="1142">
        <f t="shared" si="60"/>
        <v>2.8261172212167618</v>
      </c>
      <c r="E273" s="1142">
        <f t="shared" si="60"/>
        <v>0</v>
      </c>
      <c r="F273" s="1142">
        <f t="shared" si="60"/>
        <v>0</v>
      </c>
      <c r="G273" s="1142">
        <f t="shared" si="60"/>
        <v>0</v>
      </c>
      <c r="H273" s="1142">
        <f t="shared" si="60"/>
        <v>0</v>
      </c>
      <c r="I273" s="1142">
        <f t="shared" si="60"/>
        <v>0</v>
      </c>
      <c r="J273" s="1142">
        <f t="shared" si="60"/>
        <v>0</v>
      </c>
      <c r="K273" s="1142">
        <f t="shared" si="60"/>
        <v>0</v>
      </c>
      <c r="L273" s="1142">
        <f t="shared" si="60"/>
        <v>0</v>
      </c>
      <c r="M273" s="1142">
        <f t="shared" si="60"/>
        <v>0</v>
      </c>
      <c r="N273" s="1143">
        <f>SUM(N271:N272)</f>
        <v>1.0790269789811726</v>
      </c>
    </row>
    <row r="274" spans="1:14" x14ac:dyDescent="0.2">
      <c r="A274" s="1135" t="s">
        <v>910</v>
      </c>
      <c r="B274" s="1136"/>
      <c r="C274" s="1136"/>
      <c r="D274" s="1144">
        <f>SUM(B273:D273)/4</f>
        <v>3.0275081949208031</v>
      </c>
      <c r="E274" s="1136"/>
      <c r="F274" s="1136"/>
      <c r="G274" s="1144">
        <f>SUM(E273,F273,G273)/4</f>
        <v>0</v>
      </c>
      <c r="H274" s="1136"/>
      <c r="I274" s="1136"/>
      <c r="J274" s="1144">
        <f>SUM(H273,I273,J273)/3</f>
        <v>0</v>
      </c>
      <c r="K274" s="1136"/>
      <c r="L274" s="1136"/>
      <c r="M274" s="1144">
        <f>SUM(K273,L273,M273)/3</f>
        <v>0</v>
      </c>
      <c r="N274" s="1145">
        <f>SUM(D274:M274)/4</f>
        <v>0.75687704873020079</v>
      </c>
    </row>
    <row r="275" spans="1:14" x14ac:dyDescent="0.2">
      <c r="A275" s="1135" t="s">
        <v>911</v>
      </c>
      <c r="B275" s="1136"/>
      <c r="C275" s="1136"/>
      <c r="D275" s="1146"/>
      <c r="E275" s="1136"/>
      <c r="F275" s="1136"/>
      <c r="G275" s="1146"/>
      <c r="H275" s="1136"/>
      <c r="I275" s="1136"/>
      <c r="J275" s="1146"/>
      <c r="K275" s="1136"/>
      <c r="L275" s="1136"/>
      <c r="M275" s="1146"/>
      <c r="N275" s="1138">
        <f>SUM(D275:G275,J275,M275)/4</f>
        <v>0</v>
      </c>
    </row>
    <row r="276" spans="1:14" x14ac:dyDescent="0.2">
      <c r="A276" s="1135"/>
      <c r="B276" s="1136"/>
      <c r="C276" s="1136"/>
      <c r="D276" s="1136"/>
      <c r="E276" s="1136"/>
      <c r="F276" s="1136"/>
      <c r="G276" s="1136"/>
      <c r="H276" s="1136"/>
      <c r="I276" s="1136"/>
      <c r="J276" s="1136"/>
      <c r="K276" s="1136"/>
      <c r="L276" s="1136"/>
      <c r="M276" s="1136"/>
      <c r="N276" s="1136"/>
    </row>
    <row r="277" spans="1:14" x14ac:dyDescent="0.2">
      <c r="A277" s="1123" t="s">
        <v>912</v>
      </c>
      <c r="B277" s="1124">
        <f t="shared" ref="B277:M277" si="61">B264*100/B266</f>
        <v>0.33098882912701694</v>
      </c>
      <c r="C277" s="1124">
        <f t="shared" si="61"/>
        <v>1.25743645213629</v>
      </c>
      <c r="D277" s="1124">
        <f t="shared" si="61"/>
        <v>0</v>
      </c>
      <c r="E277" s="1124">
        <f t="shared" si="61"/>
        <v>0</v>
      </c>
      <c r="F277" s="1124">
        <f t="shared" si="61"/>
        <v>0</v>
      </c>
      <c r="G277" s="1124">
        <f t="shared" si="61"/>
        <v>0</v>
      </c>
      <c r="H277" s="1124">
        <f t="shared" si="61"/>
        <v>0</v>
      </c>
      <c r="I277" s="1124">
        <f t="shared" si="61"/>
        <v>0</v>
      </c>
      <c r="J277" s="1124">
        <f t="shared" si="61"/>
        <v>0</v>
      </c>
      <c r="K277" s="1124">
        <f t="shared" si="61"/>
        <v>0</v>
      </c>
      <c r="L277" s="1124">
        <f t="shared" si="61"/>
        <v>0</v>
      </c>
      <c r="M277" s="1124">
        <f t="shared" si="61"/>
        <v>0</v>
      </c>
      <c r="N277" s="1138">
        <f>SUM(B277:M277)/12</f>
        <v>0.13236877343860889</v>
      </c>
    </row>
    <row r="278" spans="1:14" x14ac:dyDescent="0.2">
      <c r="A278" s="1123" t="s">
        <v>913</v>
      </c>
      <c r="B278" s="1124">
        <f t="shared" ref="B278:M278" si="62">B262*100/B266</f>
        <v>1.1860433043718108</v>
      </c>
      <c r="C278" s="1124">
        <f t="shared" si="62"/>
        <v>1.4872904272579772</v>
      </c>
      <c r="D278" s="1124">
        <f t="shared" si="62"/>
        <v>0</v>
      </c>
      <c r="E278" s="1124">
        <f t="shared" si="62"/>
        <v>0</v>
      </c>
      <c r="F278" s="1124">
        <f t="shared" si="62"/>
        <v>0</v>
      </c>
      <c r="G278" s="1124">
        <f t="shared" si="62"/>
        <v>0</v>
      </c>
      <c r="H278" s="1124">
        <f t="shared" si="62"/>
        <v>0</v>
      </c>
      <c r="I278" s="1124">
        <f t="shared" si="62"/>
        <v>0</v>
      </c>
      <c r="J278" s="1124">
        <f t="shared" si="62"/>
        <v>0</v>
      </c>
      <c r="K278" s="1124">
        <f t="shared" si="62"/>
        <v>0</v>
      </c>
      <c r="L278" s="1124">
        <f t="shared" si="62"/>
        <v>0</v>
      </c>
      <c r="M278" s="1124">
        <f t="shared" si="62"/>
        <v>0</v>
      </c>
      <c r="N278" s="1138">
        <f>SUM(B278:M278)/12</f>
        <v>0.22277781096914903</v>
      </c>
    </row>
    <row r="279" spans="1:14" ht="13.5" thickBot="1" x14ac:dyDescent="0.25">
      <c r="A279" s="1123" t="s">
        <v>914</v>
      </c>
      <c r="B279" s="1124">
        <f t="shared" ref="B279:M279" si="63">B258*100/B266</f>
        <v>4.5097227968556064</v>
      </c>
      <c r="C279" s="1124">
        <f t="shared" si="63"/>
        <v>5.9085992428339642</v>
      </c>
      <c r="D279" s="1124">
        <f t="shared" si="63"/>
        <v>7.9493247946540446</v>
      </c>
      <c r="E279" s="1124">
        <f t="shared" si="63"/>
        <v>0</v>
      </c>
      <c r="F279" s="1124">
        <f t="shared" si="63"/>
        <v>0</v>
      </c>
      <c r="G279" s="1124">
        <f t="shared" si="63"/>
        <v>0</v>
      </c>
      <c r="H279" s="1124">
        <f t="shared" si="63"/>
        <v>0</v>
      </c>
      <c r="I279" s="1124">
        <f t="shared" si="63"/>
        <v>0</v>
      </c>
      <c r="J279" s="1124">
        <f t="shared" si="63"/>
        <v>0</v>
      </c>
      <c r="K279" s="1124">
        <f t="shared" si="63"/>
        <v>0</v>
      </c>
      <c r="L279" s="1124">
        <f t="shared" si="63"/>
        <v>0</v>
      </c>
      <c r="M279" s="1124">
        <f t="shared" si="63"/>
        <v>0</v>
      </c>
      <c r="N279" s="1138">
        <f>SUM(B279:M279)/12</f>
        <v>1.5306372361953013</v>
      </c>
    </row>
    <row r="280" spans="1:14" ht="13.5" thickBot="1" x14ac:dyDescent="0.25">
      <c r="A280" s="1147" t="s">
        <v>915</v>
      </c>
      <c r="B280" s="1148">
        <f t="shared" ref="B280:M280" si="64">SUM(B255-B266)*100/B266</f>
        <v>14.908288511929388</v>
      </c>
      <c r="C280" s="1148">
        <f t="shared" si="64"/>
        <v>12.655489453758788</v>
      </c>
      <c r="D280" s="1148">
        <f t="shared" si="64"/>
        <v>15.99610190728108</v>
      </c>
      <c r="E280" s="1148">
        <f t="shared" si="64"/>
        <v>0</v>
      </c>
      <c r="F280" s="1148">
        <f t="shared" si="64"/>
        <v>0</v>
      </c>
      <c r="G280" s="1148">
        <f t="shared" si="64"/>
        <v>0</v>
      </c>
      <c r="H280" s="1148">
        <f t="shared" si="64"/>
        <v>0</v>
      </c>
      <c r="I280" s="1148">
        <f t="shared" si="64"/>
        <v>0</v>
      </c>
      <c r="J280" s="1148">
        <f t="shared" si="64"/>
        <v>0</v>
      </c>
      <c r="K280" s="1148">
        <f t="shared" si="64"/>
        <v>0</v>
      </c>
      <c r="L280" s="1148">
        <f t="shared" si="64"/>
        <v>0</v>
      </c>
      <c r="M280" s="1148">
        <f t="shared" si="64"/>
        <v>0</v>
      </c>
      <c r="N280" s="1149">
        <f>SUM(B280:M280)/12</f>
        <v>3.6299899894141046</v>
      </c>
    </row>
    <row r="281" spans="1:14" x14ac:dyDescent="0.2">
      <c r="A281" s="1135"/>
      <c r="B281" s="1136"/>
      <c r="C281" s="1136"/>
      <c r="D281" s="1136"/>
      <c r="E281" s="1136"/>
      <c r="F281" s="1136"/>
      <c r="G281" s="1136"/>
      <c r="H281" s="1136"/>
      <c r="I281" s="1136"/>
      <c r="J281" s="1136"/>
      <c r="K281" s="1136"/>
      <c r="L281" s="1136"/>
      <c r="M281" s="1136"/>
      <c r="N281" s="1119"/>
    </row>
    <row r="282" spans="1:14" x14ac:dyDescent="0.2">
      <c r="A282" s="1150" t="s">
        <v>916</v>
      </c>
      <c r="B282" s="1136"/>
      <c r="C282" s="1136"/>
      <c r="D282" s="1136"/>
      <c r="E282" s="1136"/>
      <c r="F282" s="1136"/>
      <c r="G282" s="1136"/>
      <c r="H282" s="1136"/>
      <c r="I282" s="1136"/>
      <c r="J282" s="1136"/>
      <c r="K282" s="1136"/>
      <c r="L282" s="1136"/>
      <c r="M282" s="1136"/>
      <c r="N282" s="1119"/>
    </row>
    <row r="283" spans="1:14" x14ac:dyDescent="0.2">
      <c r="A283" s="1123" t="s">
        <v>917</v>
      </c>
      <c r="B283" s="1151">
        <v>13</v>
      </c>
      <c r="C283" s="1151">
        <v>13</v>
      </c>
      <c r="D283" s="1151">
        <v>13</v>
      </c>
      <c r="E283" s="1151">
        <v>13</v>
      </c>
      <c r="F283" s="1151">
        <v>13</v>
      </c>
      <c r="G283" s="1151">
        <v>13</v>
      </c>
      <c r="H283" s="1151">
        <v>13</v>
      </c>
      <c r="I283" s="1151">
        <v>13</v>
      </c>
      <c r="J283" s="1151">
        <f>I286</f>
        <v>13</v>
      </c>
      <c r="K283" s="1151">
        <f>J286</f>
        <v>13</v>
      </c>
      <c r="L283" s="1151">
        <f>K286</f>
        <v>13</v>
      </c>
      <c r="M283" s="1151">
        <f>L286</f>
        <v>13</v>
      </c>
      <c r="N283" s="1151">
        <f>M286</f>
        <v>13</v>
      </c>
    </row>
    <row r="284" spans="1:14" x14ac:dyDescent="0.2">
      <c r="A284" s="1123" t="s">
        <v>918</v>
      </c>
      <c r="B284" s="1151"/>
      <c r="C284" s="1151"/>
      <c r="D284" s="1151"/>
      <c r="E284" s="1151"/>
      <c r="F284" s="1151"/>
      <c r="G284" s="1151"/>
      <c r="H284" s="1151"/>
      <c r="I284" s="1151"/>
      <c r="J284" s="1151"/>
      <c r="K284" s="1151"/>
      <c r="L284" s="1151"/>
      <c r="M284" s="1151"/>
      <c r="N284" s="1151">
        <f>SUM(B284:M284)/12</f>
        <v>0</v>
      </c>
    </row>
    <row r="285" spans="1:14" x14ac:dyDescent="0.2">
      <c r="A285" s="1123" t="s">
        <v>919</v>
      </c>
      <c r="B285" s="1151"/>
      <c r="C285" s="1151"/>
      <c r="D285" s="1151"/>
      <c r="E285" s="1151"/>
      <c r="F285" s="1151"/>
      <c r="G285" s="1151"/>
      <c r="H285" s="1151"/>
      <c r="I285" s="1151"/>
      <c r="J285" s="1151"/>
      <c r="K285" s="1151"/>
      <c r="L285" s="1151"/>
      <c r="M285" s="1151"/>
      <c r="N285" s="1151">
        <f>SUM(B284:M284)/12</f>
        <v>0</v>
      </c>
    </row>
    <row r="286" spans="1:14" x14ac:dyDescent="0.2">
      <c r="A286" s="1123" t="s">
        <v>916</v>
      </c>
      <c r="B286" s="1151">
        <f t="shared" ref="B286:M286" si="65">SUM(B283+B284-B285)</f>
        <v>13</v>
      </c>
      <c r="C286" s="1151">
        <f t="shared" si="65"/>
        <v>13</v>
      </c>
      <c r="D286" s="1151">
        <f t="shared" si="65"/>
        <v>13</v>
      </c>
      <c r="E286" s="1151">
        <f t="shared" si="65"/>
        <v>13</v>
      </c>
      <c r="F286" s="1151">
        <f t="shared" si="65"/>
        <v>13</v>
      </c>
      <c r="G286" s="1151">
        <f t="shared" si="65"/>
        <v>13</v>
      </c>
      <c r="H286" s="1151">
        <f t="shared" si="65"/>
        <v>13</v>
      </c>
      <c r="I286" s="1151">
        <f t="shared" si="65"/>
        <v>13</v>
      </c>
      <c r="J286" s="1151">
        <f t="shared" si="65"/>
        <v>13</v>
      </c>
      <c r="K286" s="1151">
        <f t="shared" si="65"/>
        <v>13</v>
      </c>
      <c r="L286" s="1151">
        <f t="shared" si="65"/>
        <v>13</v>
      </c>
      <c r="M286" s="1151">
        <f t="shared" si="65"/>
        <v>13</v>
      </c>
      <c r="N286" s="1151">
        <f>SUM(B285:M285)/12</f>
        <v>0</v>
      </c>
    </row>
    <row r="287" spans="1:14" x14ac:dyDescent="0.2">
      <c r="A287" s="1123" t="s">
        <v>920</v>
      </c>
      <c r="B287" s="1152">
        <f t="shared" ref="B287:M287" si="66">SUM(B286*100)/B283-100</f>
        <v>0</v>
      </c>
      <c r="C287" s="1152">
        <f t="shared" si="66"/>
        <v>0</v>
      </c>
      <c r="D287" s="1152">
        <f t="shared" si="66"/>
        <v>0</v>
      </c>
      <c r="E287" s="1152">
        <f t="shared" si="66"/>
        <v>0</v>
      </c>
      <c r="F287" s="1152">
        <f t="shared" si="66"/>
        <v>0</v>
      </c>
      <c r="G287" s="1152">
        <f t="shared" si="66"/>
        <v>0</v>
      </c>
      <c r="H287" s="1152">
        <f t="shared" si="66"/>
        <v>0</v>
      </c>
      <c r="I287" s="1152">
        <f t="shared" si="66"/>
        <v>0</v>
      </c>
      <c r="J287" s="1152">
        <f t="shared" si="66"/>
        <v>0</v>
      </c>
      <c r="K287" s="1152">
        <f t="shared" si="66"/>
        <v>0</v>
      </c>
      <c r="L287" s="1152">
        <f t="shared" si="66"/>
        <v>0</v>
      </c>
      <c r="M287" s="1152">
        <f t="shared" si="66"/>
        <v>0</v>
      </c>
      <c r="N287" s="1151"/>
    </row>
    <row r="288" spans="1:14" x14ac:dyDescent="0.2">
      <c r="A288" s="1135" t="s">
        <v>921</v>
      </c>
      <c r="B288" s="1153"/>
      <c r="C288" s="1153"/>
      <c r="D288" s="1154">
        <f>SUM(B287:D287/3)</f>
        <v>0</v>
      </c>
      <c r="E288" s="1153"/>
      <c r="F288" s="1153"/>
      <c r="G288" s="1154">
        <f>SUM(E287:G287)/3</f>
        <v>0</v>
      </c>
      <c r="H288" s="1153"/>
      <c r="I288" s="1153"/>
      <c r="J288" s="1154">
        <f>SUM(H287:J287)/3</f>
        <v>0</v>
      </c>
      <c r="K288" s="1153"/>
      <c r="L288" s="1153"/>
      <c r="M288" s="1154">
        <f>SUM(K287:M287)/3</f>
        <v>0</v>
      </c>
      <c r="N288" s="1153"/>
    </row>
    <row r="289" spans="1:14" ht="13.5" thickBot="1" x14ac:dyDescent="0.25">
      <c r="A289" s="1264"/>
      <c r="B289" s="1265"/>
      <c r="C289" s="1265"/>
      <c r="D289" s="1265"/>
      <c r="E289" s="1265"/>
      <c r="F289" s="1265"/>
      <c r="G289" s="1265"/>
      <c r="H289" s="1265"/>
      <c r="I289" s="1265"/>
      <c r="J289" s="1265"/>
      <c r="K289" s="1265"/>
      <c r="L289" s="1265"/>
      <c r="M289" s="1265"/>
      <c r="N289" s="1266"/>
    </row>
    <row r="290" spans="1:14" x14ac:dyDescent="0.2">
      <c r="A290" s="1135"/>
      <c r="B290" s="1136"/>
      <c r="C290" s="1136"/>
      <c r="D290" s="1136"/>
      <c r="E290" s="1136"/>
      <c r="F290" s="1136"/>
      <c r="G290" s="1136"/>
      <c r="H290" s="1136"/>
      <c r="I290" s="1136"/>
      <c r="J290" s="1136"/>
      <c r="K290" s="1136"/>
      <c r="L290" s="1136"/>
      <c r="M290" s="1136"/>
      <c r="N290" s="1119"/>
    </row>
    <row r="291" spans="1:14" ht="15.75" x14ac:dyDescent="0.25">
      <c r="A291" s="1295" t="s">
        <v>1071</v>
      </c>
      <c r="B291" s="1295"/>
      <c r="C291" s="1295"/>
      <c r="D291" s="1295"/>
      <c r="E291" s="1295"/>
      <c r="F291" s="1295"/>
      <c r="G291" s="1295"/>
      <c r="H291" s="1295"/>
      <c r="I291" s="1295"/>
      <c r="J291" s="1295"/>
      <c r="K291" s="1295"/>
      <c r="L291" s="1295"/>
      <c r="M291" s="1295"/>
      <c r="N291" s="1295"/>
    </row>
    <row r="292" spans="1:14" ht="15.75" x14ac:dyDescent="0.25">
      <c r="E292" s="1174"/>
      <c r="M292" s="1136"/>
      <c r="N292" s="1119"/>
    </row>
    <row r="293" spans="1:14" x14ac:dyDescent="0.2">
      <c r="A293" s="1268" t="s">
        <v>1045</v>
      </c>
      <c r="B293" s="1269"/>
      <c r="C293" s="1270"/>
      <c r="D293" s="1184" t="s">
        <v>939</v>
      </c>
      <c r="G293" s="1191"/>
      <c r="K293" s="1191"/>
      <c r="M293" s="1136"/>
      <c r="N293" s="1119"/>
    </row>
    <row r="294" spans="1:14" x14ac:dyDescent="0.2">
      <c r="A294" s="1271"/>
      <c r="B294" s="1272"/>
      <c r="C294" s="1273"/>
      <c r="D294" s="1182"/>
      <c r="E294" s="1183"/>
      <c r="G294" s="1762"/>
      <c r="H294" s="1762"/>
      <c r="I294" s="1762"/>
      <c r="J294" s="1762"/>
      <c r="K294" s="1762"/>
      <c r="M294" s="1136"/>
      <c r="N294" s="1119"/>
    </row>
    <row r="295" spans="1:14" ht="13.5" thickBot="1" x14ac:dyDescent="0.25">
      <c r="A295" s="1279"/>
      <c r="C295" s="1280"/>
      <c r="D295" s="1182"/>
      <c r="E295" s="1183"/>
      <c r="H295" s="1296"/>
      <c r="K295" s="1183"/>
      <c r="L295" s="1212"/>
      <c r="M295" s="1136"/>
      <c r="N295" s="1119"/>
    </row>
    <row r="296" spans="1:14" ht="13.5" thickBot="1" x14ac:dyDescent="0.25">
      <c r="A296" s="1186" t="s">
        <v>154</v>
      </c>
      <c r="B296" s="1188"/>
      <c r="C296" s="1281"/>
      <c r="D296" s="1756">
        <v>6165000</v>
      </c>
      <c r="E296" s="1183"/>
      <c r="H296" s="1296"/>
      <c r="K296" s="1183"/>
      <c r="L296" s="1212"/>
      <c r="M296" s="1136"/>
      <c r="N296" s="1119"/>
    </row>
    <row r="297" spans="1:14" x14ac:dyDescent="0.2">
      <c r="A297" s="1282" t="s">
        <v>153</v>
      </c>
      <c r="B297" s="1283"/>
      <c r="C297" s="1284"/>
      <c r="D297" s="1285">
        <f>D296/12</f>
        <v>513750</v>
      </c>
      <c r="E297" s="1183"/>
      <c r="K297" s="1192"/>
      <c r="L297" s="1212"/>
      <c r="M297" s="1136"/>
      <c r="N297" s="1119"/>
    </row>
    <row r="298" spans="1:14" x14ac:dyDescent="0.2">
      <c r="C298" s="1286"/>
      <c r="E298" s="1183"/>
      <c r="J298" s="1286"/>
      <c r="K298" s="1192"/>
      <c r="L298" s="1777"/>
      <c r="M298" s="1136"/>
      <c r="N298" s="1119"/>
    </row>
    <row r="299" spans="1:14" x14ac:dyDescent="0.2">
      <c r="A299" s="1150" t="s">
        <v>1014</v>
      </c>
      <c r="B299" s="1136"/>
      <c r="C299" s="1136"/>
      <c r="D299" s="1136"/>
      <c r="E299" s="1136"/>
      <c r="F299" s="1136"/>
      <c r="G299" s="1136"/>
      <c r="H299" s="1136"/>
      <c r="I299" s="1136"/>
      <c r="J299" s="1136"/>
      <c r="K299" s="1136"/>
      <c r="L299" s="1136"/>
      <c r="M299" s="1136"/>
      <c r="N299" s="1119"/>
    </row>
    <row r="300" spans="1:14" x14ac:dyDescent="0.2">
      <c r="A300" s="1220"/>
      <c r="B300" s="1124" t="s">
        <v>863</v>
      </c>
      <c r="C300" s="1124" t="s">
        <v>864</v>
      </c>
      <c r="D300" s="1124" t="s">
        <v>865</v>
      </c>
      <c r="E300" s="1124" t="s">
        <v>866</v>
      </c>
      <c r="F300" s="1124" t="s">
        <v>867</v>
      </c>
      <c r="G300" s="1124" t="s">
        <v>868</v>
      </c>
      <c r="H300" s="1124" t="s">
        <v>857</v>
      </c>
      <c r="I300" s="1124" t="s">
        <v>858</v>
      </c>
      <c r="J300" s="1124" t="s">
        <v>859</v>
      </c>
      <c r="K300" s="1124" t="s">
        <v>860</v>
      </c>
      <c r="L300" s="1124" t="s">
        <v>861</v>
      </c>
      <c r="M300" s="1124" t="s">
        <v>862</v>
      </c>
      <c r="N300" s="1120"/>
    </row>
    <row r="301" spans="1:14" x14ac:dyDescent="0.2">
      <c r="A301" s="1123" t="s">
        <v>1072</v>
      </c>
      <c r="B301" s="1221">
        <f t="shared" ref="B301:M301" si="67">$D$297</f>
        <v>513750</v>
      </c>
      <c r="C301" s="1221">
        <f t="shared" si="67"/>
        <v>513750</v>
      </c>
      <c r="D301" s="1221">
        <f t="shared" si="67"/>
        <v>513750</v>
      </c>
      <c r="E301" s="1221">
        <f t="shared" si="67"/>
        <v>513750</v>
      </c>
      <c r="F301" s="1221">
        <f t="shared" si="67"/>
        <v>513750</v>
      </c>
      <c r="G301" s="1221">
        <f t="shared" si="67"/>
        <v>513750</v>
      </c>
      <c r="H301" s="1221">
        <f t="shared" si="67"/>
        <v>513750</v>
      </c>
      <c r="I301" s="1221">
        <f t="shared" si="67"/>
        <v>513750</v>
      </c>
      <c r="J301" s="1221">
        <f t="shared" si="67"/>
        <v>513750</v>
      </c>
      <c r="K301" s="1221">
        <f t="shared" si="67"/>
        <v>513750</v>
      </c>
      <c r="L301" s="1221">
        <f t="shared" si="67"/>
        <v>513750</v>
      </c>
      <c r="M301" s="1221">
        <f t="shared" si="67"/>
        <v>513750</v>
      </c>
      <c r="N301" s="1221">
        <f t="shared" ref="N301:N307" si="68">SUM(B301:M301)</f>
        <v>6165000</v>
      </c>
    </row>
    <row r="302" spans="1:14" ht="13.5" thickBot="1" x14ac:dyDescent="0.25">
      <c r="A302" s="1123"/>
      <c r="B302" s="1221">
        <v>0</v>
      </c>
      <c r="C302" s="1221">
        <v>0</v>
      </c>
      <c r="D302" s="1221"/>
      <c r="E302" s="1221"/>
      <c r="F302" s="1221"/>
      <c r="G302" s="1250"/>
      <c r="H302" s="1221"/>
      <c r="I302" s="1221"/>
      <c r="J302" s="1221"/>
      <c r="K302" s="1221"/>
      <c r="L302" s="1221"/>
      <c r="M302" s="1221"/>
      <c r="N302" s="1221">
        <f t="shared" si="68"/>
        <v>0</v>
      </c>
    </row>
    <row r="303" spans="1:14" ht="13.5" thickBot="1" x14ac:dyDescent="0.25">
      <c r="A303" s="1225" t="s">
        <v>1072</v>
      </c>
      <c r="B303" s="1287">
        <f t="shared" ref="B303:M303" si="69">SUM(B301,B302)</f>
        <v>513750</v>
      </c>
      <c r="C303" s="1287">
        <f t="shared" si="69"/>
        <v>513750</v>
      </c>
      <c r="D303" s="1287">
        <f t="shared" si="69"/>
        <v>513750</v>
      </c>
      <c r="E303" s="1287">
        <f t="shared" si="69"/>
        <v>513750</v>
      </c>
      <c r="F303" s="1287">
        <f t="shared" si="69"/>
        <v>513750</v>
      </c>
      <c r="G303" s="1287">
        <f t="shared" si="69"/>
        <v>513750</v>
      </c>
      <c r="H303" s="1287">
        <f t="shared" si="69"/>
        <v>513750</v>
      </c>
      <c r="I303" s="1287">
        <f t="shared" si="69"/>
        <v>513750</v>
      </c>
      <c r="J303" s="1287">
        <f t="shared" si="69"/>
        <v>513750</v>
      </c>
      <c r="K303" s="1287">
        <f t="shared" si="69"/>
        <v>513750</v>
      </c>
      <c r="L303" s="1287">
        <f t="shared" si="69"/>
        <v>513750</v>
      </c>
      <c r="M303" s="1287">
        <f t="shared" si="69"/>
        <v>513750</v>
      </c>
      <c r="N303" s="1288">
        <f t="shared" si="68"/>
        <v>6165000</v>
      </c>
    </row>
    <row r="304" spans="1:14" x14ac:dyDescent="0.2">
      <c r="A304" s="1120" t="s">
        <v>1073</v>
      </c>
      <c r="B304" s="1222">
        <v>15275</v>
      </c>
      <c r="C304" s="1222">
        <v>23807</v>
      </c>
      <c r="D304" s="1222">
        <v>2400</v>
      </c>
      <c r="E304" s="1222">
        <v>0</v>
      </c>
      <c r="F304" s="1222">
        <v>0</v>
      </c>
      <c r="G304" s="1222"/>
      <c r="H304" s="1222"/>
      <c r="I304" s="1222"/>
      <c r="J304" s="1222"/>
      <c r="K304" s="1222"/>
      <c r="L304" s="1222"/>
      <c r="M304" s="1222"/>
      <c r="N304" s="1222">
        <f t="shared" si="68"/>
        <v>41482</v>
      </c>
    </row>
    <row r="305" spans="1:14" x14ac:dyDescent="0.2">
      <c r="A305" s="1241" t="s">
        <v>1074</v>
      </c>
      <c r="B305" s="1222">
        <v>0</v>
      </c>
      <c r="C305" s="1222">
        <v>25000</v>
      </c>
      <c r="D305" s="1222"/>
      <c r="E305" s="1222"/>
      <c r="F305" s="1222"/>
      <c r="G305" s="1222"/>
      <c r="H305" s="1222"/>
      <c r="I305" s="1222"/>
      <c r="J305" s="1222"/>
      <c r="K305" s="1222"/>
      <c r="L305" s="1222"/>
      <c r="M305" s="1222"/>
      <c r="N305" s="1222">
        <f t="shared" si="68"/>
        <v>25000</v>
      </c>
    </row>
    <row r="306" spans="1:14" x14ac:dyDescent="0.2">
      <c r="A306" s="1241" t="s">
        <v>1021</v>
      </c>
      <c r="B306" s="1222">
        <v>97775</v>
      </c>
      <c r="C306" s="1222">
        <v>31300</v>
      </c>
      <c r="D306" s="1222">
        <v>78713.5</v>
      </c>
      <c r="E306" s="1222">
        <v>10714</v>
      </c>
      <c r="F306" s="1222"/>
      <c r="G306" s="1222"/>
      <c r="H306" s="1222"/>
      <c r="I306" s="1222"/>
      <c r="J306" s="1222"/>
      <c r="K306" s="1222"/>
      <c r="L306" s="1222"/>
      <c r="M306" s="1222"/>
      <c r="N306" s="1222">
        <f t="shared" si="68"/>
        <v>218502.5</v>
      </c>
    </row>
    <row r="307" spans="1:14" ht="13.5" thickBot="1" x14ac:dyDescent="0.25">
      <c r="A307" s="1251" t="s">
        <v>1072</v>
      </c>
      <c r="B307" s="1236"/>
      <c r="C307" s="1236"/>
      <c r="D307" s="1236"/>
      <c r="E307" s="1236"/>
      <c r="F307" s="1236"/>
      <c r="G307" s="1236"/>
      <c r="H307" s="1236"/>
      <c r="I307" s="1236"/>
      <c r="J307" s="1236"/>
      <c r="K307" s="1236"/>
      <c r="L307" s="1236"/>
      <c r="M307" s="1236"/>
      <c r="N307" s="1222">
        <f t="shared" si="68"/>
        <v>0</v>
      </c>
    </row>
    <row r="308" spans="1:14" ht="13.5" thickBot="1" x14ac:dyDescent="0.25">
      <c r="A308" s="1252" t="s">
        <v>1028</v>
      </c>
      <c r="B308" s="1253">
        <f>SUM(B304:B307)</f>
        <v>113050</v>
      </c>
      <c r="C308" s="1253">
        <f t="shared" ref="C308:N308" si="70">SUM(C304:C307)</f>
        <v>80107</v>
      </c>
      <c r="D308" s="1253">
        <f t="shared" si="70"/>
        <v>81113.5</v>
      </c>
      <c r="E308" s="1253">
        <f t="shared" si="70"/>
        <v>10714</v>
      </c>
      <c r="F308" s="1253">
        <f t="shared" si="70"/>
        <v>0</v>
      </c>
      <c r="G308" s="1253">
        <f t="shared" si="70"/>
        <v>0</v>
      </c>
      <c r="H308" s="1253">
        <f t="shared" si="70"/>
        <v>0</v>
      </c>
      <c r="I308" s="1253">
        <f t="shared" si="70"/>
        <v>0</v>
      </c>
      <c r="J308" s="1253">
        <f t="shared" si="70"/>
        <v>0</v>
      </c>
      <c r="K308" s="1253">
        <f t="shared" si="70"/>
        <v>0</v>
      </c>
      <c r="L308" s="1253">
        <f t="shared" si="70"/>
        <v>0</v>
      </c>
      <c r="M308" s="1253">
        <f t="shared" si="70"/>
        <v>0</v>
      </c>
      <c r="N308" s="1253">
        <f t="shared" si="70"/>
        <v>284984.5</v>
      </c>
    </row>
    <row r="309" spans="1:14" x14ac:dyDescent="0.2">
      <c r="A309" s="1120" t="s">
        <v>1029</v>
      </c>
      <c r="B309" s="1224"/>
      <c r="C309" s="1224"/>
      <c r="D309" s="1224"/>
      <c r="E309" s="1224"/>
      <c r="F309" s="1224"/>
      <c r="G309" s="1290"/>
      <c r="H309" s="1224"/>
      <c r="I309" s="1224"/>
      <c r="J309" s="1224"/>
      <c r="K309" s="1224"/>
      <c r="L309" s="1224"/>
      <c r="M309" s="1224"/>
      <c r="N309" s="1224">
        <f>SUM(B309:M309)</f>
        <v>0</v>
      </c>
    </row>
    <row r="310" spans="1:14" x14ac:dyDescent="0.2">
      <c r="A310" s="1255" t="s">
        <v>1030</v>
      </c>
      <c r="B310" s="1297">
        <f>SUM(B303+B308)</f>
        <v>626800</v>
      </c>
      <c r="C310" s="1297">
        <f t="shared" ref="C310:M310" si="71">SUM(C303+C308)</f>
        <v>593857</v>
      </c>
      <c r="D310" s="1297">
        <f t="shared" si="71"/>
        <v>594863.5</v>
      </c>
      <c r="E310" s="1297">
        <f t="shared" si="71"/>
        <v>524464</v>
      </c>
      <c r="F310" s="1297">
        <f t="shared" si="71"/>
        <v>513750</v>
      </c>
      <c r="G310" s="1297">
        <f t="shared" si="71"/>
        <v>513750</v>
      </c>
      <c r="H310" s="1297">
        <f t="shared" si="71"/>
        <v>513750</v>
      </c>
      <c r="I310" s="1297">
        <f t="shared" si="71"/>
        <v>513750</v>
      </c>
      <c r="J310" s="1297">
        <f t="shared" si="71"/>
        <v>513750</v>
      </c>
      <c r="K310" s="1297">
        <f t="shared" si="71"/>
        <v>513750</v>
      </c>
      <c r="L310" s="1297">
        <f t="shared" si="71"/>
        <v>513750</v>
      </c>
      <c r="M310" s="1297">
        <f t="shared" si="71"/>
        <v>513750</v>
      </c>
      <c r="N310" s="1297">
        <f t="shared" ref="N310" si="72">SUM(N303,N308,N309)</f>
        <v>6449984.5</v>
      </c>
    </row>
    <row r="311" spans="1:14" x14ac:dyDescent="0.2">
      <c r="A311" s="1292" t="s">
        <v>1031</v>
      </c>
      <c r="B311" s="1224">
        <v>443053</v>
      </c>
      <c r="C311" s="1224">
        <v>449487</v>
      </c>
      <c r="D311" s="1224">
        <v>441041</v>
      </c>
      <c r="E311" s="1224">
        <v>559040</v>
      </c>
      <c r="F311" s="1224">
        <v>445000</v>
      </c>
      <c r="G311" s="1224">
        <v>445000</v>
      </c>
      <c r="H311" s="1224">
        <v>445000</v>
      </c>
      <c r="I311" s="1224">
        <v>445000</v>
      </c>
      <c r="J311" s="1224">
        <v>445000</v>
      </c>
      <c r="K311" s="1224">
        <v>445000</v>
      </c>
      <c r="L311" s="1224">
        <v>445000</v>
      </c>
      <c r="M311" s="1224">
        <v>445000</v>
      </c>
      <c r="N311" s="1224">
        <f>SUM(B311:M311)</f>
        <v>5452621</v>
      </c>
    </row>
    <row r="312" spans="1:14" x14ac:dyDescent="0.2">
      <c r="A312" s="1120" t="s">
        <v>1032</v>
      </c>
      <c r="B312" s="1221">
        <v>75000</v>
      </c>
      <c r="C312" s="1221">
        <v>75000</v>
      </c>
      <c r="D312" s="1221">
        <v>75000</v>
      </c>
      <c r="E312" s="1221">
        <v>75000</v>
      </c>
      <c r="F312" s="1221">
        <v>75000</v>
      </c>
      <c r="G312" s="1221">
        <v>75000</v>
      </c>
      <c r="H312" s="1221">
        <v>75000</v>
      </c>
      <c r="I312" s="1221">
        <v>75000</v>
      </c>
      <c r="J312" s="1221">
        <v>75000</v>
      </c>
      <c r="K312" s="1221">
        <v>75000</v>
      </c>
      <c r="L312" s="1221">
        <v>75000</v>
      </c>
      <c r="M312" s="1221">
        <v>75000</v>
      </c>
      <c r="N312" s="1224">
        <f>SUM(B312:M312)</f>
        <v>900000</v>
      </c>
    </row>
    <row r="313" spans="1:14" x14ac:dyDescent="0.2">
      <c r="A313" s="1259" t="s">
        <v>1033</v>
      </c>
      <c r="B313" s="1260">
        <f t="shared" ref="B313:N313" si="73">SUM(B310-B311-B312)</f>
        <v>108747</v>
      </c>
      <c r="C313" s="1260">
        <f t="shared" si="73"/>
        <v>69370</v>
      </c>
      <c r="D313" s="1260">
        <f t="shared" si="73"/>
        <v>78822.5</v>
      </c>
      <c r="E313" s="1260">
        <f t="shared" si="73"/>
        <v>-109576</v>
      </c>
      <c r="F313" s="1260">
        <f t="shared" si="73"/>
        <v>-6250</v>
      </c>
      <c r="G313" s="1260">
        <f t="shared" si="73"/>
        <v>-6250</v>
      </c>
      <c r="H313" s="1260">
        <f t="shared" si="73"/>
        <v>-6250</v>
      </c>
      <c r="I313" s="1260">
        <f t="shared" si="73"/>
        <v>-6250</v>
      </c>
      <c r="J313" s="1260">
        <f t="shared" si="73"/>
        <v>-6250</v>
      </c>
      <c r="K313" s="1260">
        <f t="shared" si="73"/>
        <v>-6250</v>
      </c>
      <c r="L313" s="1260">
        <f t="shared" si="73"/>
        <v>-6250</v>
      </c>
      <c r="M313" s="1260">
        <f t="shared" si="73"/>
        <v>-6250</v>
      </c>
      <c r="N313" s="1260">
        <f t="shared" si="73"/>
        <v>97363.5</v>
      </c>
    </row>
    <row r="314" spans="1:14" x14ac:dyDescent="0.2">
      <c r="A314" s="1298"/>
      <c r="B314" s="1299"/>
      <c r="C314" s="1299"/>
      <c r="D314" s="1299"/>
      <c r="E314" s="1299"/>
      <c r="F314" s="1299"/>
      <c r="G314" s="1299"/>
      <c r="H314" s="1299"/>
      <c r="I314" s="1299"/>
      <c r="J314" s="1299"/>
      <c r="K314" s="1299"/>
      <c r="L314" s="1299"/>
      <c r="M314" s="1299"/>
      <c r="N314" s="1299"/>
    </row>
  </sheetData>
  <mergeCells count="6">
    <mergeCell ref="A252:N252"/>
    <mergeCell ref="A1:N1"/>
    <mergeCell ref="A57:N57"/>
    <mergeCell ref="I61:M61"/>
    <mergeCell ref="A119:N119"/>
    <mergeCell ref="A175:N175"/>
  </mergeCells>
  <pageMargins left="0.19685039370078741" right="0" top="0.19685039370078741" bottom="0.19685039370078741" header="0.51181102362204722" footer="0.51181102362204722"/>
  <pageSetup paperSize="9" scale="80" orientation="landscape" horizontalDpi="4294967293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19"/>
  <dimension ref="A1:G33"/>
  <sheetViews>
    <sheetView topLeftCell="A4" workbookViewId="0">
      <selection activeCell="N20" sqref="N20"/>
    </sheetView>
  </sheetViews>
  <sheetFormatPr defaultRowHeight="12.75" x14ac:dyDescent="0.2"/>
  <cols>
    <col min="1" max="16384" width="9.140625" style="1344"/>
  </cols>
  <sheetData>
    <row r="1" spans="1:7" ht="20.25" x14ac:dyDescent="0.3">
      <c r="A1" s="1343" t="s">
        <v>1075</v>
      </c>
      <c r="D1" s="1343" t="s">
        <v>1076</v>
      </c>
    </row>
    <row r="4" spans="1:7" ht="15" x14ac:dyDescent="0.2">
      <c r="A4" s="1345" t="s">
        <v>2</v>
      </c>
      <c r="B4" s="1345" t="s">
        <v>3</v>
      </c>
      <c r="C4" s="1345" t="s">
        <v>4</v>
      </c>
      <c r="D4" s="1345" t="s">
        <v>5</v>
      </c>
      <c r="E4" s="1345" t="s">
        <v>6</v>
      </c>
      <c r="F4" s="1345" t="s">
        <v>1077</v>
      </c>
      <c r="G4" s="1345" t="s">
        <v>383</v>
      </c>
    </row>
    <row r="5" spans="1:7" ht="15" x14ac:dyDescent="0.2">
      <c r="A5" s="1783"/>
      <c r="B5" s="1783"/>
      <c r="C5" s="1783"/>
      <c r="D5" s="1783"/>
      <c r="E5" s="1783"/>
      <c r="F5" s="1783"/>
      <c r="G5" s="1783"/>
    </row>
    <row r="6" spans="1:7" ht="20.25" x14ac:dyDescent="0.3">
      <c r="A6" s="1343" t="s">
        <v>1078</v>
      </c>
      <c r="B6" s="1343"/>
      <c r="C6" s="1343"/>
      <c r="D6" s="1343"/>
      <c r="E6" s="1343" t="s">
        <v>1079</v>
      </c>
      <c r="F6" s="1783"/>
      <c r="G6" s="1783"/>
    </row>
    <row r="7" spans="1:7" ht="15" x14ac:dyDescent="0.2">
      <c r="A7" s="1783"/>
      <c r="B7" s="1783"/>
      <c r="C7" s="1783"/>
      <c r="D7" s="1783"/>
      <c r="E7" s="1783"/>
      <c r="F7" s="1783"/>
      <c r="G7" s="1783"/>
    </row>
    <row r="8" spans="1:7" ht="15" x14ac:dyDescent="0.2">
      <c r="A8" s="1345" t="s">
        <v>1080</v>
      </c>
      <c r="B8" s="1345" t="s">
        <v>1080</v>
      </c>
      <c r="C8" s="1345" t="s">
        <v>1080</v>
      </c>
      <c r="D8" s="1345" t="s">
        <v>1080</v>
      </c>
      <c r="E8" s="1345" t="s">
        <v>1081</v>
      </c>
      <c r="F8" s="1345" t="s">
        <v>16</v>
      </c>
      <c r="G8" s="1345"/>
    </row>
    <row r="9" spans="1:7" ht="15" x14ac:dyDescent="0.2">
      <c r="A9" s="1345" t="s">
        <v>1082</v>
      </c>
      <c r="B9" s="1345" t="s">
        <v>1082</v>
      </c>
      <c r="C9" s="1345" t="s">
        <v>1082</v>
      </c>
      <c r="D9" s="1345" t="s">
        <v>1082</v>
      </c>
      <c r="E9" s="1345" t="s">
        <v>1083</v>
      </c>
      <c r="F9" s="1345"/>
      <c r="G9" s="1345"/>
    </row>
    <row r="10" spans="1:7" ht="15" x14ac:dyDescent="0.2">
      <c r="A10" s="1345" t="s">
        <v>1084</v>
      </c>
      <c r="B10" s="1345" t="s">
        <v>1084</v>
      </c>
      <c r="C10" s="1345" t="s">
        <v>1085</v>
      </c>
      <c r="D10" s="1345" t="s">
        <v>1084</v>
      </c>
      <c r="E10" s="1345" t="s">
        <v>1086</v>
      </c>
      <c r="F10" s="1345"/>
      <c r="G10" s="1345" t="s">
        <v>1087</v>
      </c>
    </row>
    <row r="11" spans="1:7" ht="15" x14ac:dyDescent="0.2">
      <c r="A11" s="1783"/>
      <c r="B11" s="1783"/>
      <c r="C11" s="1783"/>
      <c r="D11" s="1783"/>
      <c r="E11" s="1783"/>
      <c r="F11" s="1783"/>
      <c r="G11" s="1783"/>
    </row>
    <row r="12" spans="1:7" ht="20.25" x14ac:dyDescent="0.3">
      <c r="A12" s="1343" t="s">
        <v>1088</v>
      </c>
      <c r="B12" s="1783"/>
      <c r="C12" s="1783"/>
      <c r="D12" s="1783"/>
      <c r="E12" s="1783"/>
      <c r="F12" s="1783"/>
      <c r="G12" s="1783"/>
    </row>
    <row r="13" spans="1:7" ht="15" x14ac:dyDescent="0.2">
      <c r="A13" s="1345" t="s">
        <v>1081</v>
      </c>
      <c r="B13" s="1345" t="s">
        <v>1081</v>
      </c>
      <c r="C13" s="1345" t="s">
        <v>1081</v>
      </c>
      <c r="D13" s="1345" t="s">
        <v>1081</v>
      </c>
      <c r="E13" s="1345" t="s">
        <v>1089</v>
      </c>
      <c r="F13" s="1345" t="s">
        <v>1090</v>
      </c>
      <c r="G13" s="1345"/>
    </row>
    <row r="14" spans="1:7" ht="15" x14ac:dyDescent="0.2">
      <c r="A14" s="1345" t="s">
        <v>1091</v>
      </c>
      <c r="B14" s="1345" t="s">
        <v>1091</v>
      </c>
      <c r="C14" s="1345" t="s">
        <v>1091</v>
      </c>
      <c r="D14" s="1345" t="s">
        <v>1091</v>
      </c>
      <c r="E14" s="1345" t="s">
        <v>1082</v>
      </c>
      <c r="F14" s="1345" t="s">
        <v>1092</v>
      </c>
      <c r="G14" s="1345"/>
    </row>
    <row r="15" spans="1:7" ht="15" x14ac:dyDescent="0.2">
      <c r="A15" s="1345" t="s">
        <v>1093</v>
      </c>
      <c r="B15" s="1345" t="s">
        <v>1094</v>
      </c>
      <c r="C15" s="1345" t="s">
        <v>1095</v>
      </c>
      <c r="D15" s="1345" t="s">
        <v>1095</v>
      </c>
      <c r="E15" s="1345" t="s">
        <v>1096</v>
      </c>
      <c r="F15" s="1346" t="s">
        <v>1097</v>
      </c>
      <c r="G15" s="1345" t="s">
        <v>1087</v>
      </c>
    </row>
    <row r="16" spans="1:7" ht="15" x14ac:dyDescent="0.2">
      <c r="A16" s="1783"/>
      <c r="B16" s="1783"/>
      <c r="C16" s="1783"/>
      <c r="D16" s="1783"/>
      <c r="E16" s="1783"/>
      <c r="F16" s="1783"/>
      <c r="G16" s="1783"/>
    </row>
    <row r="17" spans="1:7" ht="18" x14ac:dyDescent="0.25">
      <c r="A17" s="1784" t="s">
        <v>1098</v>
      </c>
      <c r="B17" s="1783"/>
      <c r="C17" s="1783"/>
      <c r="D17" s="1783"/>
      <c r="E17" s="1783"/>
      <c r="F17" s="1783"/>
      <c r="G17" s="1783"/>
    </row>
    <row r="18" spans="1:7" ht="15" x14ac:dyDescent="0.2">
      <c r="A18" s="1785" t="s">
        <v>1099</v>
      </c>
      <c r="B18" s="1785" t="s">
        <v>1099</v>
      </c>
      <c r="C18" s="1785" t="s">
        <v>1099</v>
      </c>
      <c r="D18" s="1785" t="s">
        <v>1099</v>
      </c>
      <c r="E18" s="1785" t="s">
        <v>1100</v>
      </c>
      <c r="F18" s="1785" t="s">
        <v>1090</v>
      </c>
      <c r="G18" s="1345"/>
    </row>
    <row r="19" spans="1:7" ht="15" x14ac:dyDescent="0.2">
      <c r="A19" s="1785" t="s">
        <v>1101</v>
      </c>
      <c r="B19" s="1785" t="s">
        <v>1101</v>
      </c>
      <c r="C19" s="1785" t="s">
        <v>1101</v>
      </c>
      <c r="D19" s="1785" t="s">
        <v>1101</v>
      </c>
      <c r="E19" s="1785" t="s">
        <v>1101</v>
      </c>
      <c r="F19" s="1785" t="s">
        <v>1092</v>
      </c>
      <c r="G19" s="1345"/>
    </row>
    <row r="20" spans="1:7" ht="15" x14ac:dyDescent="0.2">
      <c r="A20" s="1345" t="s">
        <v>1084</v>
      </c>
      <c r="B20" s="1345" t="s">
        <v>1084</v>
      </c>
      <c r="C20" s="1345" t="s">
        <v>1084</v>
      </c>
      <c r="D20" s="1345" t="s">
        <v>1084</v>
      </c>
      <c r="E20" s="1345" t="s">
        <v>1084</v>
      </c>
      <c r="F20" s="1346" t="s">
        <v>1097</v>
      </c>
      <c r="G20" s="1345" t="s">
        <v>1102</v>
      </c>
    </row>
    <row r="21" spans="1:7" ht="15" x14ac:dyDescent="0.2">
      <c r="A21" s="1783"/>
      <c r="B21" s="1783"/>
      <c r="C21" s="1783"/>
      <c r="D21" s="1783"/>
      <c r="E21" s="1783"/>
      <c r="F21" s="1783"/>
      <c r="G21" s="1783"/>
    </row>
    <row r="22" spans="1:7" ht="18" x14ac:dyDescent="0.25">
      <c r="A22" s="1784" t="s">
        <v>1103</v>
      </c>
      <c r="B22" s="1783"/>
      <c r="C22" s="1783"/>
      <c r="D22" s="1783"/>
      <c r="E22" s="1783"/>
      <c r="F22" s="1783"/>
      <c r="G22" s="1783"/>
    </row>
    <row r="23" spans="1:7" ht="15" x14ac:dyDescent="0.2">
      <c r="A23" s="1785" t="s">
        <v>1100</v>
      </c>
      <c r="B23" s="1785" t="s">
        <v>1100</v>
      </c>
      <c r="C23" s="1785" t="s">
        <v>1100</v>
      </c>
      <c r="D23" s="1785" t="s">
        <v>1100</v>
      </c>
      <c r="E23" s="1785" t="s">
        <v>1100</v>
      </c>
      <c r="F23" s="1345" t="s">
        <v>16</v>
      </c>
      <c r="G23" s="1345"/>
    </row>
    <row r="24" spans="1:7" ht="15" x14ac:dyDescent="0.2">
      <c r="A24" s="1785" t="s">
        <v>1101</v>
      </c>
      <c r="B24" s="1785" t="s">
        <v>1101</v>
      </c>
      <c r="C24" s="1785" t="s">
        <v>1101</v>
      </c>
      <c r="D24" s="1785" t="s">
        <v>1101</v>
      </c>
      <c r="E24" s="1785" t="s">
        <v>1091</v>
      </c>
      <c r="F24" s="1345"/>
      <c r="G24" s="1345"/>
    </row>
    <row r="25" spans="1:7" ht="15" x14ac:dyDescent="0.2">
      <c r="A25" s="1785" t="s">
        <v>1084</v>
      </c>
      <c r="B25" s="1785" t="s">
        <v>1084</v>
      </c>
      <c r="C25" s="1785" t="s">
        <v>1084</v>
      </c>
      <c r="D25" s="1785" t="s">
        <v>1084</v>
      </c>
      <c r="E25" s="1785" t="s">
        <v>1104</v>
      </c>
      <c r="F25" s="1345"/>
      <c r="G25" s="1345" t="s">
        <v>1105</v>
      </c>
    </row>
    <row r="26" spans="1:7" ht="15" x14ac:dyDescent="0.2">
      <c r="A26" s="1783"/>
      <c r="B26" s="1783"/>
      <c r="C26" s="1783"/>
      <c r="D26" s="1783"/>
      <c r="E26" s="1783"/>
      <c r="F26" s="1783"/>
      <c r="G26" s="1783"/>
    </row>
    <row r="27" spans="1:7" ht="15" x14ac:dyDescent="0.2">
      <c r="A27" s="1347"/>
      <c r="B27" s="1783"/>
      <c r="C27" s="1783"/>
      <c r="D27" s="1783"/>
      <c r="E27" s="1783"/>
      <c r="F27" s="1783"/>
      <c r="G27" s="1783"/>
    </row>
    <row r="28" spans="1:7" ht="15" x14ac:dyDescent="0.2">
      <c r="A28" s="1783"/>
      <c r="B28" s="1783"/>
      <c r="C28" s="1783"/>
      <c r="D28" s="1783"/>
      <c r="E28" s="1783"/>
      <c r="F28" s="1783"/>
      <c r="G28" s="1783"/>
    </row>
    <row r="29" spans="1:7" ht="15" x14ac:dyDescent="0.2">
      <c r="A29" s="1783"/>
      <c r="B29" s="1783"/>
      <c r="C29" s="1783"/>
      <c r="D29" s="1783"/>
      <c r="E29" s="1783"/>
      <c r="F29" s="1783"/>
      <c r="G29" s="1783"/>
    </row>
    <row r="30" spans="1:7" ht="15" x14ac:dyDescent="0.2">
      <c r="A30" s="1783"/>
      <c r="B30" s="1783"/>
      <c r="C30" s="1783"/>
      <c r="D30" s="1783"/>
      <c r="E30" s="1783"/>
      <c r="F30" s="1783"/>
      <c r="G30" s="1783"/>
    </row>
    <row r="31" spans="1:7" ht="15" x14ac:dyDescent="0.2">
      <c r="A31" s="1783"/>
      <c r="B31" s="1783"/>
      <c r="C31" s="1783"/>
      <c r="D31" s="1783"/>
      <c r="E31" s="1783"/>
      <c r="F31" s="1783"/>
      <c r="G31" s="1783"/>
    </row>
    <row r="32" spans="1:7" ht="15" x14ac:dyDescent="0.2">
      <c r="A32" s="1783"/>
      <c r="B32" s="1783"/>
      <c r="C32" s="1783"/>
      <c r="D32" s="1783"/>
      <c r="E32" s="1783"/>
      <c r="F32" s="1783"/>
      <c r="G32" s="1783"/>
    </row>
    <row r="33" spans="1:7" ht="15" x14ac:dyDescent="0.2">
      <c r="A33" s="1783"/>
      <c r="B33" s="1783"/>
      <c r="C33" s="1783"/>
      <c r="D33" s="1783"/>
      <c r="E33" s="1783"/>
      <c r="F33" s="1783"/>
      <c r="G33" s="1783"/>
    </row>
  </sheetData>
  <phoneticPr fontId="1" type="noConversion"/>
  <pageMargins left="0.75" right="0.75" top="1" bottom="1" header="0" footer="0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23">
    <tabColor indexed="39"/>
  </sheetPr>
  <dimension ref="A1:Q313"/>
  <sheetViews>
    <sheetView topLeftCell="A157" zoomScale="75" workbookViewId="0">
      <selection activeCell="E106" sqref="E106"/>
    </sheetView>
  </sheetViews>
  <sheetFormatPr defaultRowHeight="12.75" x14ac:dyDescent="0.2"/>
  <cols>
    <col min="1" max="1" width="23.85546875" style="1118" customWidth="1"/>
    <col min="2" max="2" width="11.140625" style="1118" customWidth="1"/>
    <col min="3" max="5" width="11.7109375" style="1118" customWidth="1"/>
    <col min="6" max="6" width="12.28515625" style="1118" customWidth="1"/>
    <col min="7" max="7" width="11.140625" style="1118" bestFit="1" customWidth="1"/>
    <col min="8" max="8" width="12.28515625" style="1118" customWidth="1"/>
    <col min="9" max="9" width="13" style="1118" customWidth="1"/>
    <col min="10" max="10" width="12.5703125" style="1118" customWidth="1"/>
    <col min="11" max="11" width="12.140625" style="1118" customWidth="1"/>
    <col min="12" max="12" width="11.140625" style="1118" customWidth="1"/>
    <col min="13" max="13" width="10.7109375" style="1118" customWidth="1"/>
    <col min="14" max="14" width="12" style="1118" customWidth="1"/>
    <col min="15" max="16384" width="9.140625" style="1118"/>
  </cols>
  <sheetData>
    <row r="1" spans="1:14" ht="20.25" x14ac:dyDescent="0.3">
      <c r="A1" s="1788" t="s">
        <v>1106</v>
      </c>
      <c r="B1" s="1788"/>
      <c r="C1" s="1788"/>
      <c r="D1" s="1788"/>
      <c r="E1" s="1788"/>
      <c r="F1" s="1788"/>
      <c r="G1" s="1788"/>
      <c r="H1" s="1788"/>
      <c r="I1" s="1788"/>
      <c r="J1" s="1788"/>
      <c r="K1" s="1788"/>
      <c r="L1" s="1788"/>
      <c r="M1" s="1788"/>
      <c r="N1" s="1788"/>
    </row>
    <row r="2" spans="1:14" x14ac:dyDescent="0.2">
      <c r="A2" s="1119"/>
      <c r="B2" s="1119"/>
      <c r="C2" s="1119"/>
      <c r="D2" s="1119"/>
      <c r="E2" s="1119"/>
      <c r="F2" s="1119"/>
      <c r="G2" s="1119"/>
      <c r="H2" s="1119"/>
      <c r="I2" s="1119"/>
      <c r="J2" s="1119"/>
      <c r="K2" s="1119"/>
      <c r="L2" s="1119"/>
      <c r="M2" s="1119"/>
    </row>
    <row r="3" spans="1:14" x14ac:dyDescent="0.2">
      <c r="A3" s="1120"/>
      <c r="B3" s="1121" t="s">
        <v>863</v>
      </c>
      <c r="C3" s="1121" t="s">
        <v>864</v>
      </c>
      <c r="D3" s="1122" t="s">
        <v>865</v>
      </c>
      <c r="E3" s="1121" t="s">
        <v>866</v>
      </c>
      <c r="F3" s="1121" t="s">
        <v>867</v>
      </c>
      <c r="G3" s="1122" t="s">
        <v>868</v>
      </c>
      <c r="H3" s="1121" t="s">
        <v>857</v>
      </c>
      <c r="I3" s="1121" t="s">
        <v>858</v>
      </c>
      <c r="J3" s="1121" t="s">
        <v>859</v>
      </c>
      <c r="K3" s="1121" t="s">
        <v>860</v>
      </c>
      <c r="L3" s="1121" t="s">
        <v>861</v>
      </c>
      <c r="M3" s="1121" t="s">
        <v>862</v>
      </c>
      <c r="N3" s="1120" t="s">
        <v>137</v>
      </c>
    </row>
    <row r="4" spans="1:14" x14ac:dyDescent="0.2">
      <c r="A4" s="1123" t="s">
        <v>332</v>
      </c>
      <c r="B4" s="1124">
        <v>6575</v>
      </c>
      <c r="C4" s="1124">
        <v>6575</v>
      </c>
      <c r="D4" s="1124">
        <v>6575</v>
      </c>
      <c r="E4" s="1124">
        <v>6575</v>
      </c>
      <c r="F4" s="1124">
        <v>6575</v>
      </c>
      <c r="G4" s="1124">
        <v>6575</v>
      </c>
      <c r="H4" s="1124">
        <v>6575</v>
      </c>
      <c r="I4" s="1124">
        <v>6575</v>
      </c>
      <c r="J4" s="1124">
        <v>6575</v>
      </c>
      <c r="K4" s="1124">
        <v>6575</v>
      </c>
      <c r="L4" s="1124">
        <v>6575</v>
      </c>
      <c r="M4" s="1124">
        <v>6575</v>
      </c>
      <c r="N4" s="1124">
        <f t="shared" ref="N4:N16" si="0">SUM(B4:M4)</f>
        <v>78900</v>
      </c>
    </row>
    <row r="5" spans="1:14" x14ac:dyDescent="0.2">
      <c r="A5" s="1123" t="s">
        <v>893</v>
      </c>
      <c r="B5" s="1124">
        <v>174.5</v>
      </c>
      <c r="C5" s="1124">
        <v>102</v>
      </c>
      <c r="D5" s="1124">
        <v>56.75</v>
      </c>
      <c r="E5" s="1124">
        <v>27.75</v>
      </c>
      <c r="F5" s="1124">
        <v>12</v>
      </c>
      <c r="G5" s="1125"/>
      <c r="H5" s="1124">
        <v>244.25</v>
      </c>
      <c r="I5" s="1124">
        <v>46.25</v>
      </c>
      <c r="J5" s="1126">
        <v>160.5</v>
      </c>
      <c r="K5" s="1124"/>
      <c r="L5" s="1124">
        <v>35</v>
      </c>
      <c r="M5" s="1124">
        <v>57.25</v>
      </c>
      <c r="N5" s="1124">
        <f t="shared" si="0"/>
        <v>916.25</v>
      </c>
    </row>
    <row r="6" spans="1:14" x14ac:dyDescent="0.2">
      <c r="A6" s="1123" t="s">
        <v>894</v>
      </c>
      <c r="B6" s="1124"/>
      <c r="C6" s="1124"/>
      <c r="D6" s="1124"/>
      <c r="E6" s="1124"/>
      <c r="F6" s="1124"/>
      <c r="G6" s="1125"/>
      <c r="H6" s="1124"/>
      <c r="I6" s="1124"/>
      <c r="J6" s="1124"/>
      <c r="K6" s="1124"/>
      <c r="L6" s="1124"/>
      <c r="M6" s="1120"/>
      <c r="N6" s="1124">
        <f t="shared" si="0"/>
        <v>0</v>
      </c>
    </row>
    <row r="7" spans="1:14" x14ac:dyDescent="0.2">
      <c r="A7" s="1123" t="s">
        <v>895</v>
      </c>
      <c r="B7" s="1124">
        <v>10</v>
      </c>
      <c r="C7" s="1124">
        <v>7.75</v>
      </c>
      <c r="D7" s="1124">
        <v>13</v>
      </c>
      <c r="E7" s="1124">
        <v>14.5</v>
      </c>
      <c r="F7" s="1124">
        <v>12</v>
      </c>
      <c r="G7" s="1125">
        <v>10.5</v>
      </c>
      <c r="H7" s="1124">
        <v>8</v>
      </c>
      <c r="I7" s="1124">
        <v>9</v>
      </c>
      <c r="J7" s="1124">
        <v>4.5</v>
      </c>
      <c r="K7" s="1124">
        <v>2</v>
      </c>
      <c r="L7" s="1124">
        <v>1.5</v>
      </c>
      <c r="M7" s="1120"/>
      <c r="N7" s="1124">
        <f t="shared" si="0"/>
        <v>92.75</v>
      </c>
    </row>
    <row r="8" spans="1:14" x14ac:dyDescent="0.2">
      <c r="A8" s="1123" t="s">
        <v>896</v>
      </c>
      <c r="B8" s="1124">
        <v>217.25</v>
      </c>
      <c r="C8" s="1124">
        <v>724.5</v>
      </c>
      <c r="D8" s="1124">
        <v>672.25</v>
      </c>
      <c r="E8" s="1124">
        <v>831.25</v>
      </c>
      <c r="F8" s="1124">
        <v>421</v>
      </c>
      <c r="G8" s="1125">
        <v>977.75</v>
      </c>
      <c r="H8" s="1124">
        <v>1411</v>
      </c>
      <c r="I8" s="1124">
        <v>1477.25</v>
      </c>
      <c r="J8" s="1124">
        <v>697.75</v>
      </c>
      <c r="K8" s="1124">
        <v>711.5</v>
      </c>
      <c r="L8" s="1124">
        <v>186.25</v>
      </c>
      <c r="M8" s="1124">
        <v>380.5</v>
      </c>
      <c r="N8" s="1124">
        <f t="shared" si="0"/>
        <v>8708.25</v>
      </c>
    </row>
    <row r="9" spans="1:14" x14ac:dyDescent="0.2">
      <c r="A9" s="1123" t="s">
        <v>897</v>
      </c>
      <c r="B9" s="1124"/>
      <c r="C9" s="1124">
        <v>8</v>
      </c>
      <c r="D9" s="1124">
        <v>87.75</v>
      </c>
      <c r="E9" s="1124">
        <v>188.75</v>
      </c>
      <c r="F9" s="1124"/>
      <c r="G9" s="1125">
        <v>6</v>
      </c>
      <c r="H9" s="1124"/>
      <c r="I9" s="1124"/>
      <c r="J9" s="1124"/>
      <c r="K9" s="1124">
        <v>21.75</v>
      </c>
      <c r="L9" s="1124">
        <v>23</v>
      </c>
      <c r="M9" s="1124">
        <v>116.25</v>
      </c>
      <c r="N9" s="1124">
        <f t="shared" si="0"/>
        <v>451.5</v>
      </c>
    </row>
    <row r="10" spans="1:14" x14ac:dyDescent="0.2">
      <c r="A10" s="1123" t="s">
        <v>898</v>
      </c>
      <c r="B10" s="1124">
        <v>346</v>
      </c>
      <c r="C10" s="1124">
        <v>169.25</v>
      </c>
      <c r="D10" s="1124">
        <v>317.25</v>
      </c>
      <c r="E10" s="1124">
        <v>210.5</v>
      </c>
      <c r="F10" s="1124">
        <v>42.5</v>
      </c>
      <c r="G10" s="1125">
        <v>48</v>
      </c>
      <c r="H10" s="1124">
        <v>183</v>
      </c>
      <c r="I10" s="1124">
        <v>42.25</v>
      </c>
      <c r="J10" s="1124">
        <v>286.25</v>
      </c>
      <c r="K10" s="1124">
        <v>112.5</v>
      </c>
      <c r="L10" s="1124">
        <v>316.75</v>
      </c>
      <c r="M10" s="1124">
        <v>326.75</v>
      </c>
      <c r="N10" s="1124">
        <f t="shared" si="0"/>
        <v>2401</v>
      </c>
    </row>
    <row r="11" spans="1:14" x14ac:dyDescent="0.2">
      <c r="A11" s="1123" t="s">
        <v>899</v>
      </c>
      <c r="B11" s="1124"/>
      <c r="C11" s="1124">
        <v>7.75</v>
      </c>
      <c r="D11" s="1124">
        <v>7.5</v>
      </c>
      <c r="E11" s="1124"/>
      <c r="F11" s="1124"/>
      <c r="G11" s="1125">
        <v>7.75</v>
      </c>
      <c r="H11" s="1124"/>
      <c r="I11" s="1124">
        <v>7</v>
      </c>
      <c r="J11" s="1124"/>
      <c r="K11" s="1124">
        <v>8.5</v>
      </c>
      <c r="L11" s="1124">
        <v>7.75</v>
      </c>
      <c r="M11" s="1124">
        <v>7.5</v>
      </c>
      <c r="N11" s="1124">
        <f t="shared" si="0"/>
        <v>53.75</v>
      </c>
    </row>
    <row r="12" spans="1:14" x14ac:dyDescent="0.2">
      <c r="A12" s="1123" t="s">
        <v>900</v>
      </c>
      <c r="B12" s="1124">
        <v>394</v>
      </c>
      <c r="C12" s="1124">
        <v>257.25</v>
      </c>
      <c r="D12" s="1124">
        <v>186.5</v>
      </c>
      <c r="E12" s="1124">
        <v>231.5</v>
      </c>
      <c r="F12" s="1124">
        <v>480.5</v>
      </c>
      <c r="G12" s="1125">
        <v>321</v>
      </c>
      <c r="H12" s="1124">
        <v>127.5</v>
      </c>
      <c r="I12" s="1124">
        <v>193</v>
      </c>
      <c r="J12" s="1124">
        <v>347</v>
      </c>
      <c r="K12" s="1124">
        <v>316.75</v>
      </c>
      <c r="L12" s="1124">
        <v>456.5</v>
      </c>
      <c r="M12" s="1124">
        <v>506.75</v>
      </c>
      <c r="N12" s="1124">
        <f t="shared" si="0"/>
        <v>3818.25</v>
      </c>
    </row>
    <row r="13" spans="1:14" x14ac:dyDescent="0.2">
      <c r="A13" s="1123" t="s">
        <v>901</v>
      </c>
      <c r="B13" s="1124"/>
      <c r="C13" s="1124"/>
      <c r="D13" s="1124"/>
      <c r="E13" s="1124"/>
      <c r="F13" s="1124"/>
      <c r="G13" s="1125"/>
      <c r="H13" s="1124"/>
      <c r="I13" s="1124"/>
      <c r="J13" s="1124"/>
      <c r="K13" s="1124"/>
      <c r="L13" s="1124"/>
      <c r="M13" s="1124"/>
      <c r="N13" s="1124">
        <f t="shared" si="0"/>
        <v>0</v>
      </c>
    </row>
    <row r="14" spans="1:14" x14ac:dyDescent="0.2">
      <c r="A14" s="1123" t="s">
        <v>902</v>
      </c>
      <c r="B14" s="1124">
        <v>130.5</v>
      </c>
      <c r="C14" s="1124">
        <v>185.75</v>
      </c>
      <c r="D14" s="1124">
        <v>196.5</v>
      </c>
      <c r="E14" s="1124">
        <v>30.5</v>
      </c>
      <c r="F14" s="1124">
        <v>92.75</v>
      </c>
      <c r="G14" s="1125">
        <v>23.25</v>
      </c>
      <c r="H14" s="1124"/>
      <c r="I14" s="1124"/>
      <c r="J14" s="1124">
        <v>50.75</v>
      </c>
      <c r="K14" s="1124">
        <v>148</v>
      </c>
      <c r="L14" s="1124">
        <v>58.5</v>
      </c>
      <c r="M14" s="1124">
        <v>217.25</v>
      </c>
      <c r="N14" s="1124">
        <f t="shared" si="0"/>
        <v>1133.75</v>
      </c>
    </row>
    <row r="15" spans="1:14" ht="13.5" thickBot="1" x14ac:dyDescent="0.25">
      <c r="A15" s="1127" t="s">
        <v>903</v>
      </c>
      <c r="B15" s="1128"/>
      <c r="C15" s="1128">
        <v>30.5</v>
      </c>
      <c r="D15" s="1128"/>
      <c r="E15" s="1128">
        <v>21.5</v>
      </c>
      <c r="F15" s="1128"/>
      <c r="G15" s="1129"/>
      <c r="H15" s="1128">
        <v>6.75</v>
      </c>
      <c r="I15" s="1128"/>
      <c r="J15" s="1128"/>
      <c r="K15" s="1128"/>
      <c r="L15" s="1128">
        <v>7.5</v>
      </c>
      <c r="M15" s="1128">
        <v>7.75</v>
      </c>
      <c r="N15" s="1130">
        <f t="shared" si="0"/>
        <v>74</v>
      </c>
    </row>
    <row r="16" spans="1:14" ht="13.5" thickBot="1" x14ac:dyDescent="0.25">
      <c r="A16" s="1131" t="s">
        <v>904</v>
      </c>
      <c r="B16" s="1132">
        <f t="shared" ref="B16:M16" si="1">SUM(B4+B5+B6+B7-B8-B9-B10-B12-B13-B14-B15)</f>
        <v>5671.75</v>
      </c>
      <c r="C16" s="1132">
        <f t="shared" si="1"/>
        <v>5309.5</v>
      </c>
      <c r="D16" s="1132">
        <f t="shared" si="1"/>
        <v>5184.5</v>
      </c>
      <c r="E16" s="1132">
        <f t="shared" si="1"/>
        <v>5103.25</v>
      </c>
      <c r="F16" s="1132">
        <f t="shared" si="1"/>
        <v>5562.25</v>
      </c>
      <c r="G16" s="1132">
        <f t="shared" si="1"/>
        <v>5209.5</v>
      </c>
      <c r="H16" s="1132">
        <f t="shared" si="1"/>
        <v>5099</v>
      </c>
      <c r="I16" s="1132">
        <f t="shared" si="1"/>
        <v>4917.75</v>
      </c>
      <c r="J16" s="1132">
        <f t="shared" si="1"/>
        <v>5358.25</v>
      </c>
      <c r="K16" s="1132">
        <f t="shared" si="1"/>
        <v>5266.5</v>
      </c>
      <c r="L16" s="1132">
        <f t="shared" si="1"/>
        <v>5563</v>
      </c>
      <c r="M16" s="1133">
        <f t="shared" si="1"/>
        <v>5077</v>
      </c>
      <c r="N16" s="1134">
        <f t="shared" si="0"/>
        <v>63322.25</v>
      </c>
    </row>
    <row r="17" spans="1:14" x14ac:dyDescent="0.2">
      <c r="A17" s="1135"/>
      <c r="B17" s="1136"/>
      <c r="C17" s="1136"/>
      <c r="D17" s="1136"/>
      <c r="E17" s="1136"/>
      <c r="F17" s="1136"/>
      <c r="G17" s="1136"/>
      <c r="H17" s="1136"/>
      <c r="I17" s="1136"/>
      <c r="J17" s="1136"/>
      <c r="K17" s="1136"/>
      <c r="L17" s="1136"/>
      <c r="M17" s="1136"/>
      <c r="N17" s="1136"/>
    </row>
    <row r="18" spans="1:14" x14ac:dyDescent="0.2">
      <c r="A18" s="1135"/>
      <c r="B18" s="1136"/>
      <c r="C18" s="1136"/>
      <c r="D18" s="1136"/>
      <c r="E18" s="1136"/>
      <c r="F18" s="1136"/>
      <c r="G18" s="1136"/>
      <c r="H18" s="1136"/>
      <c r="I18" s="1136"/>
      <c r="J18" s="1136"/>
      <c r="K18" s="1136"/>
      <c r="L18" s="1136"/>
      <c r="M18" s="1136"/>
      <c r="N18" s="1137" t="s">
        <v>905</v>
      </c>
    </row>
    <row r="19" spans="1:14" x14ac:dyDescent="0.2">
      <c r="A19" s="1123" t="s">
        <v>906</v>
      </c>
      <c r="B19" s="1124">
        <f t="shared" ref="B19:M19" si="2">SUM(B5*100/B16)</f>
        <v>3.0766518270375105</v>
      </c>
      <c r="C19" s="1124">
        <f t="shared" si="2"/>
        <v>1.9210848479141163</v>
      </c>
      <c r="D19" s="1124">
        <f t="shared" si="2"/>
        <v>1.0946089304658115</v>
      </c>
      <c r="E19" s="1124">
        <f t="shared" si="2"/>
        <v>0.54377112624308044</v>
      </c>
      <c r="F19" s="1124">
        <f t="shared" si="2"/>
        <v>0.2157400332599218</v>
      </c>
      <c r="G19" s="1124">
        <f t="shared" si="2"/>
        <v>0</v>
      </c>
      <c r="H19" s="1124">
        <f t="shared" si="2"/>
        <v>4.7901549323396742</v>
      </c>
      <c r="I19" s="1124">
        <f t="shared" si="2"/>
        <v>0.9404707437344314</v>
      </c>
      <c r="J19" s="1124">
        <f t="shared" si="2"/>
        <v>2.9953809546027155</v>
      </c>
      <c r="K19" s="1124">
        <f t="shared" si="2"/>
        <v>0</v>
      </c>
      <c r="L19" s="1124">
        <f t="shared" si="2"/>
        <v>0.62915692971418302</v>
      </c>
      <c r="M19" s="1124">
        <f t="shared" si="2"/>
        <v>1.127634429781367</v>
      </c>
      <c r="N19" s="1138">
        <f>SUM(B19:M19)/12</f>
        <v>1.4445545629244012</v>
      </c>
    </row>
    <row r="20" spans="1:14" x14ac:dyDescent="0.2">
      <c r="A20" s="1135"/>
      <c r="B20" s="1136"/>
      <c r="C20" s="1136"/>
      <c r="D20" s="1136"/>
      <c r="E20" s="1136"/>
      <c r="F20" s="1136"/>
      <c r="G20" s="1136"/>
      <c r="H20" s="1136"/>
      <c r="I20" s="1136"/>
      <c r="J20" s="1136"/>
      <c r="K20" s="1136"/>
      <c r="L20" s="1136"/>
      <c r="M20" s="1136"/>
      <c r="N20" s="1119"/>
    </row>
    <row r="21" spans="1:14" x14ac:dyDescent="0.2">
      <c r="A21" s="1123" t="s">
        <v>907</v>
      </c>
      <c r="B21" s="1124">
        <f t="shared" ref="B21:M21" si="3">SUM(B10*100/B16)</f>
        <v>6.1004099263895624</v>
      </c>
      <c r="C21" s="1124">
        <f t="shared" si="3"/>
        <v>3.1876824559751391</v>
      </c>
      <c r="D21" s="1124">
        <f t="shared" si="3"/>
        <v>6.1192014659079952</v>
      </c>
      <c r="E21" s="1124">
        <f t="shared" si="3"/>
        <v>4.1248224170871506</v>
      </c>
      <c r="F21" s="1124">
        <f t="shared" si="3"/>
        <v>0.76407928446222306</v>
      </c>
      <c r="G21" s="1124">
        <f t="shared" si="3"/>
        <v>0.92139360783184565</v>
      </c>
      <c r="H21" s="1124">
        <f t="shared" si="3"/>
        <v>3.5889390076485586</v>
      </c>
      <c r="I21" s="1124">
        <f t="shared" si="3"/>
        <v>0.85913273346550756</v>
      </c>
      <c r="J21" s="1124">
        <f t="shared" si="3"/>
        <v>5.3422292726169927</v>
      </c>
      <c r="K21" s="1124">
        <f t="shared" si="3"/>
        <v>2.1361435488464826</v>
      </c>
      <c r="L21" s="1124">
        <f t="shared" si="3"/>
        <v>5.6938702139133559</v>
      </c>
      <c r="M21" s="1124">
        <f t="shared" si="3"/>
        <v>6.4358873350403778</v>
      </c>
      <c r="N21" s="1138">
        <f>SUM(B21:M21)/12</f>
        <v>3.7728159390987659</v>
      </c>
    </row>
    <row r="22" spans="1:14" ht="13.5" thickBot="1" x14ac:dyDescent="0.25">
      <c r="A22" s="1139" t="s">
        <v>908</v>
      </c>
      <c r="B22" s="1130">
        <f t="shared" ref="B22:M22" si="4">SUM(B11*100/B16)</f>
        <v>0</v>
      </c>
      <c r="C22" s="1130">
        <f t="shared" si="4"/>
        <v>0.14596478011112157</v>
      </c>
      <c r="D22" s="1130">
        <f t="shared" si="4"/>
        <v>0.14466197318931431</v>
      </c>
      <c r="E22" s="1130">
        <f t="shared" si="4"/>
        <v>0</v>
      </c>
      <c r="F22" s="1130">
        <f t="shared" si="4"/>
        <v>0</v>
      </c>
      <c r="G22" s="1130">
        <f t="shared" si="4"/>
        <v>0.14876667626451676</v>
      </c>
      <c r="H22" s="1130">
        <f t="shared" si="4"/>
        <v>0</v>
      </c>
      <c r="I22" s="1130">
        <f t="shared" si="4"/>
        <v>0.14234151797061664</v>
      </c>
      <c r="J22" s="1130">
        <f t="shared" si="4"/>
        <v>0</v>
      </c>
      <c r="K22" s="1130">
        <f t="shared" si="4"/>
        <v>0.16139751257951201</v>
      </c>
      <c r="L22" s="1130">
        <f t="shared" si="4"/>
        <v>0.13931332015099765</v>
      </c>
      <c r="M22" s="1130">
        <f t="shared" si="4"/>
        <v>0.1477250344691747</v>
      </c>
      <c r="N22" s="1140">
        <f>SUM(B22:M22)/12</f>
        <v>8.584756789460446E-2</v>
      </c>
    </row>
    <row r="23" spans="1:14" ht="13.5" thickBot="1" x14ac:dyDescent="0.25">
      <c r="A23" s="1141" t="s">
        <v>909</v>
      </c>
      <c r="B23" s="1142">
        <f t="shared" ref="B23:M23" si="5">SUM(B21:B21)</f>
        <v>6.1004099263895624</v>
      </c>
      <c r="C23" s="1142">
        <f t="shared" si="5"/>
        <v>3.1876824559751391</v>
      </c>
      <c r="D23" s="1142">
        <f t="shared" si="5"/>
        <v>6.1192014659079952</v>
      </c>
      <c r="E23" s="1142">
        <f t="shared" si="5"/>
        <v>4.1248224170871506</v>
      </c>
      <c r="F23" s="1142">
        <f t="shared" si="5"/>
        <v>0.76407928446222306</v>
      </c>
      <c r="G23" s="1142">
        <f t="shared" si="5"/>
        <v>0.92139360783184565</v>
      </c>
      <c r="H23" s="1142">
        <f t="shared" si="5"/>
        <v>3.5889390076485586</v>
      </c>
      <c r="I23" s="1142">
        <f t="shared" si="5"/>
        <v>0.85913273346550756</v>
      </c>
      <c r="J23" s="1142">
        <f t="shared" si="5"/>
        <v>5.3422292726169927</v>
      </c>
      <c r="K23" s="1142">
        <f t="shared" si="5"/>
        <v>2.1361435488464826</v>
      </c>
      <c r="L23" s="1142">
        <f t="shared" si="5"/>
        <v>5.6938702139133559</v>
      </c>
      <c r="M23" s="1142">
        <f t="shared" si="5"/>
        <v>6.4358873350403778</v>
      </c>
      <c r="N23" s="1143">
        <f>SUM(N21:N22)</f>
        <v>3.8586635069933704</v>
      </c>
    </row>
    <row r="24" spans="1:14" x14ac:dyDescent="0.2">
      <c r="A24" s="1135" t="s">
        <v>910</v>
      </c>
      <c r="B24" s="1136"/>
      <c r="C24" s="1136"/>
      <c r="D24" s="1144">
        <f>SUM(B23:D23)/3</f>
        <v>5.1357646160908992</v>
      </c>
      <c r="E24" s="1136"/>
      <c r="F24" s="1136"/>
      <c r="G24" s="1144">
        <f>SUM(E23,F23,G23)/3</f>
        <v>1.9367651031270732</v>
      </c>
      <c r="H24" s="1136"/>
      <c r="I24" s="1136"/>
      <c r="J24" s="1144">
        <f>SUM(H23,I23,J23)/3</f>
        <v>3.263433671243686</v>
      </c>
      <c r="K24" s="1136"/>
      <c r="L24" s="1136"/>
      <c r="M24" s="1144">
        <f>SUM(K23,L23,M23)/3</f>
        <v>4.7553003659334054</v>
      </c>
      <c r="N24" s="1145">
        <f>SUM(D24:M24)/4</f>
        <v>3.7728159390987663</v>
      </c>
    </row>
    <row r="25" spans="1:14" x14ac:dyDescent="0.2">
      <c r="A25" s="1135" t="s">
        <v>911</v>
      </c>
      <c r="B25" s="1136"/>
      <c r="C25" s="1136"/>
      <c r="D25" s="1146"/>
      <c r="E25" s="1136"/>
      <c r="F25" s="1136"/>
      <c r="G25" s="1146"/>
      <c r="H25" s="1136"/>
      <c r="I25" s="1136"/>
      <c r="J25" s="1146"/>
      <c r="K25" s="1136"/>
      <c r="L25" s="1136"/>
      <c r="M25" s="1146"/>
      <c r="N25" s="1138">
        <f>SUM(D25:G25,J25,M25)/4</f>
        <v>0</v>
      </c>
    </row>
    <row r="26" spans="1:14" x14ac:dyDescent="0.2">
      <c r="A26" s="1135"/>
      <c r="B26" s="1136"/>
      <c r="C26" s="1136"/>
      <c r="D26" s="1136"/>
      <c r="E26" s="1136"/>
      <c r="F26" s="1136"/>
      <c r="G26" s="1136"/>
      <c r="H26" s="1136"/>
      <c r="I26" s="1136"/>
      <c r="J26" s="1136"/>
      <c r="K26" s="1136"/>
      <c r="L26" s="1136"/>
      <c r="M26" s="1136"/>
      <c r="N26" s="1136"/>
    </row>
    <row r="27" spans="1:14" x14ac:dyDescent="0.2">
      <c r="A27" s="1123" t="s">
        <v>912</v>
      </c>
      <c r="B27" s="1124">
        <f t="shared" ref="B27:M27" si="6">B14*100/B16</f>
        <v>2.3008771543174507</v>
      </c>
      <c r="C27" s="1124">
        <f t="shared" si="6"/>
        <v>3.4984461813730108</v>
      </c>
      <c r="D27" s="1124">
        <f t="shared" si="6"/>
        <v>3.7901436975600347</v>
      </c>
      <c r="E27" s="1124">
        <f t="shared" si="6"/>
        <v>0.59765835496987219</v>
      </c>
      <c r="F27" s="1124">
        <f t="shared" si="6"/>
        <v>1.6674906737381456</v>
      </c>
      <c r="G27" s="1124">
        <f t="shared" si="6"/>
        <v>0.44630002879355024</v>
      </c>
      <c r="H27" s="1124">
        <f t="shared" si="6"/>
        <v>0</v>
      </c>
      <c r="I27" s="1124">
        <f t="shared" si="6"/>
        <v>0</v>
      </c>
      <c r="J27" s="1124">
        <f t="shared" si="6"/>
        <v>0.94713759156441002</v>
      </c>
      <c r="K27" s="1124">
        <f t="shared" si="6"/>
        <v>2.8102155131491502</v>
      </c>
      <c r="L27" s="1124">
        <f t="shared" si="6"/>
        <v>1.0515908682365631</v>
      </c>
      <c r="M27" s="1124">
        <f t="shared" si="6"/>
        <v>4.2791018317904275</v>
      </c>
      <c r="N27" s="1138">
        <f>SUM(B27:M27)/12</f>
        <v>1.7824134912910512</v>
      </c>
    </row>
    <row r="28" spans="1:14" x14ac:dyDescent="0.2">
      <c r="A28" s="1123" t="s">
        <v>913</v>
      </c>
      <c r="B28" s="1124">
        <f t="shared" ref="B28:M28" si="7">B12*100/B16</f>
        <v>6.9467095693569005</v>
      </c>
      <c r="C28" s="1124">
        <f t="shared" si="7"/>
        <v>4.8450889914304547</v>
      </c>
      <c r="D28" s="1124">
        <f t="shared" si="7"/>
        <v>3.5972610666409488</v>
      </c>
      <c r="E28" s="1124">
        <f t="shared" si="7"/>
        <v>4.5363248910008327</v>
      </c>
      <c r="F28" s="1124">
        <f t="shared" si="7"/>
        <v>8.6385904984493678</v>
      </c>
      <c r="G28" s="1124">
        <f t="shared" si="7"/>
        <v>6.1618197523754681</v>
      </c>
      <c r="H28" s="1124">
        <f t="shared" si="7"/>
        <v>2.5004902922141596</v>
      </c>
      <c r="I28" s="1124">
        <f t="shared" si="7"/>
        <v>3.9245589954755733</v>
      </c>
      <c r="J28" s="1124">
        <f t="shared" si="7"/>
        <v>6.4759949610413852</v>
      </c>
      <c r="K28" s="1124">
        <f t="shared" si="7"/>
        <v>6.0144308364188737</v>
      </c>
      <c r="L28" s="1124">
        <f t="shared" si="7"/>
        <v>8.2060039547007015</v>
      </c>
      <c r="M28" s="1124">
        <f t="shared" si="7"/>
        <v>9.9812881623005705</v>
      </c>
      <c r="N28" s="1138">
        <f>SUM(B28:M28)/12</f>
        <v>5.9857134976171027</v>
      </c>
    </row>
    <row r="29" spans="1:14" ht="13.5" thickBot="1" x14ac:dyDescent="0.25">
      <c r="A29" s="1123" t="s">
        <v>914</v>
      </c>
      <c r="B29" s="1124">
        <f t="shared" ref="B29:M29" si="8">B8*100/B16</f>
        <v>3.8303874465552958</v>
      </c>
      <c r="C29" s="1124">
        <f t="shared" si="8"/>
        <v>13.645352669742914</v>
      </c>
      <c r="D29" s="1124">
        <f t="shared" si="8"/>
        <v>12.966534863535539</v>
      </c>
      <c r="E29" s="1124">
        <f t="shared" si="8"/>
        <v>16.288639592416597</v>
      </c>
      <c r="F29" s="1124">
        <f t="shared" si="8"/>
        <v>7.5688795002022564</v>
      </c>
      <c r="G29" s="1124">
        <f t="shared" si="8"/>
        <v>18.768595834533066</v>
      </c>
      <c r="H29" s="1124">
        <f t="shared" si="8"/>
        <v>27.672092567170033</v>
      </c>
      <c r="I29" s="1124">
        <f t="shared" si="8"/>
        <v>30.039143917441919</v>
      </c>
      <c r="J29" s="1124">
        <f t="shared" si="8"/>
        <v>13.021975458405263</v>
      </c>
      <c r="K29" s="1124">
        <f t="shared" si="8"/>
        <v>13.509921200037976</v>
      </c>
      <c r="L29" s="1124">
        <f t="shared" si="8"/>
        <v>3.3480136616933311</v>
      </c>
      <c r="M29" s="1124">
        <f t="shared" si="8"/>
        <v>7.494583415402797</v>
      </c>
      <c r="N29" s="1138">
        <f>SUM(B29:M29)/12</f>
        <v>14.012843343928081</v>
      </c>
    </row>
    <row r="30" spans="1:14" ht="13.5" thickBot="1" x14ac:dyDescent="0.25">
      <c r="A30" s="1147" t="s">
        <v>915</v>
      </c>
      <c r="B30" s="1148">
        <f t="shared" ref="B30:M30" si="9">SUM(B4-B16)*100/B16</f>
        <v>15.925419843963503</v>
      </c>
      <c r="C30" s="1148">
        <f t="shared" si="9"/>
        <v>23.834636029757981</v>
      </c>
      <c r="D30" s="1148">
        <f t="shared" si="9"/>
        <v>26.820329829298871</v>
      </c>
      <c r="E30" s="1148">
        <f t="shared" si="9"/>
        <v>28.839465046783911</v>
      </c>
      <c r="F30" s="1148">
        <f t="shared" si="9"/>
        <v>18.207559890332149</v>
      </c>
      <c r="G30" s="1148">
        <f t="shared" si="9"/>
        <v>26.211728572799693</v>
      </c>
      <c r="H30" s="1148">
        <f t="shared" si="9"/>
        <v>28.946852323985095</v>
      </c>
      <c r="I30" s="1148">
        <f t="shared" si="9"/>
        <v>33.699354379543493</v>
      </c>
      <c r="J30" s="1148">
        <f t="shared" si="9"/>
        <v>22.707973685438343</v>
      </c>
      <c r="K30" s="1148">
        <f t="shared" si="9"/>
        <v>24.845722965916643</v>
      </c>
      <c r="L30" s="1148">
        <f t="shared" si="9"/>
        <v>18.191623224878661</v>
      </c>
      <c r="M30" s="1148">
        <f t="shared" si="9"/>
        <v>29.505613551309828</v>
      </c>
      <c r="N30" s="1149">
        <f>SUM(B30:M30)/12</f>
        <v>24.811356612000679</v>
      </c>
    </row>
    <row r="31" spans="1:14" x14ac:dyDescent="0.2">
      <c r="A31" s="1135"/>
      <c r="B31" s="1136"/>
      <c r="C31" s="1136"/>
      <c r="D31" s="1136"/>
      <c r="E31" s="1136"/>
      <c r="F31" s="1136"/>
      <c r="G31" s="1136"/>
      <c r="H31" s="1136"/>
      <c r="I31" s="1136"/>
      <c r="J31" s="1136"/>
      <c r="K31" s="1136"/>
      <c r="L31" s="1136"/>
      <c r="M31" s="1136"/>
      <c r="N31" s="1119"/>
    </row>
    <row r="32" spans="1:14" x14ac:dyDescent="0.2">
      <c r="A32" s="1150" t="s">
        <v>916</v>
      </c>
      <c r="B32" s="1136"/>
      <c r="C32" s="1136"/>
      <c r="D32" s="1136"/>
      <c r="E32" s="1136"/>
      <c r="F32" s="1136"/>
      <c r="G32" s="1136"/>
      <c r="H32" s="1136"/>
      <c r="I32" s="1136"/>
      <c r="J32" s="1136"/>
      <c r="K32" s="1136"/>
      <c r="L32" s="1136"/>
      <c r="M32" s="1136"/>
      <c r="N32" s="1119"/>
    </row>
    <row r="33" spans="1:14" x14ac:dyDescent="0.2">
      <c r="A33" s="1123" t="s">
        <v>917</v>
      </c>
      <c r="B33" s="1151">
        <v>47</v>
      </c>
      <c r="C33" s="1151">
        <f t="shared" ref="C33:N33" si="10">B36</f>
        <v>45</v>
      </c>
      <c r="D33" s="1151">
        <f t="shared" si="10"/>
        <v>47</v>
      </c>
      <c r="E33" s="1151">
        <f t="shared" si="10"/>
        <v>44</v>
      </c>
      <c r="F33" s="1151">
        <f t="shared" si="10"/>
        <v>44</v>
      </c>
      <c r="G33" s="1151">
        <f t="shared" si="10"/>
        <v>44</v>
      </c>
      <c r="H33" s="1151">
        <f t="shared" si="10"/>
        <v>46</v>
      </c>
      <c r="I33" s="1151">
        <f t="shared" si="10"/>
        <v>45</v>
      </c>
      <c r="J33" s="1151">
        <f t="shared" si="10"/>
        <v>43</v>
      </c>
      <c r="K33" s="1151">
        <f t="shared" si="10"/>
        <v>43</v>
      </c>
      <c r="L33" s="1151">
        <f t="shared" si="10"/>
        <v>43</v>
      </c>
      <c r="M33" s="1151">
        <f t="shared" si="10"/>
        <v>43</v>
      </c>
      <c r="N33" s="1151">
        <f t="shared" si="10"/>
        <v>43</v>
      </c>
    </row>
    <row r="34" spans="1:14" x14ac:dyDescent="0.2">
      <c r="A34" s="1123" t="s">
        <v>918</v>
      </c>
      <c r="B34" s="1151">
        <v>1</v>
      </c>
      <c r="C34" s="1151">
        <v>2</v>
      </c>
      <c r="D34" s="1151"/>
      <c r="E34" s="1151"/>
      <c r="F34" s="1151"/>
      <c r="G34" s="1151">
        <v>2</v>
      </c>
      <c r="H34" s="1151">
        <v>1</v>
      </c>
      <c r="I34" s="1151"/>
      <c r="J34" s="1151"/>
      <c r="K34" s="1151"/>
      <c r="L34" s="1151"/>
      <c r="M34" s="1151"/>
      <c r="N34" s="1151"/>
    </row>
    <row r="35" spans="1:14" x14ac:dyDescent="0.2">
      <c r="A35" s="1123" t="s">
        <v>919</v>
      </c>
      <c r="B35" s="1151">
        <v>3</v>
      </c>
      <c r="C35" s="1151"/>
      <c r="D35" s="1151">
        <v>3</v>
      </c>
      <c r="E35" s="1151"/>
      <c r="F35" s="1151"/>
      <c r="G35" s="1151"/>
      <c r="H35" s="1151">
        <v>2</v>
      </c>
      <c r="I35" s="1151">
        <v>2</v>
      </c>
      <c r="J35" s="1151"/>
      <c r="K35" s="1151"/>
      <c r="L35" s="1151"/>
      <c r="M35" s="1151"/>
      <c r="N35" s="1151"/>
    </row>
    <row r="36" spans="1:14" x14ac:dyDescent="0.2">
      <c r="A36" s="1123" t="s">
        <v>916</v>
      </c>
      <c r="B36" s="1151">
        <f t="shared" ref="B36:M36" si="11">SUM(B33+B34-B35)</f>
        <v>45</v>
      </c>
      <c r="C36" s="1151">
        <f t="shared" si="11"/>
        <v>47</v>
      </c>
      <c r="D36" s="1151">
        <f t="shared" si="11"/>
        <v>44</v>
      </c>
      <c r="E36" s="1151">
        <f t="shared" si="11"/>
        <v>44</v>
      </c>
      <c r="F36" s="1151">
        <f t="shared" si="11"/>
        <v>44</v>
      </c>
      <c r="G36" s="1151">
        <f t="shared" si="11"/>
        <v>46</v>
      </c>
      <c r="H36" s="1151">
        <f t="shared" si="11"/>
        <v>45</v>
      </c>
      <c r="I36" s="1151">
        <f t="shared" si="11"/>
        <v>43</v>
      </c>
      <c r="J36" s="1151">
        <f t="shared" si="11"/>
        <v>43</v>
      </c>
      <c r="K36" s="1151">
        <f t="shared" si="11"/>
        <v>43</v>
      </c>
      <c r="L36" s="1151">
        <f t="shared" si="11"/>
        <v>43</v>
      </c>
      <c r="M36" s="1151">
        <f t="shared" si="11"/>
        <v>43</v>
      </c>
      <c r="N36" s="1151">
        <f>SUM(B36:M36)/12</f>
        <v>44.166666666666664</v>
      </c>
    </row>
    <row r="37" spans="1:14" x14ac:dyDescent="0.2">
      <c r="A37" s="1123" t="s">
        <v>920</v>
      </c>
      <c r="B37" s="1152">
        <f t="shared" ref="B37:M37" si="12">SUM(B36*100)/B33-100</f>
        <v>-4.2553191489361666</v>
      </c>
      <c r="C37" s="1152">
        <f t="shared" si="12"/>
        <v>4.4444444444444429</v>
      </c>
      <c r="D37" s="1152">
        <f t="shared" si="12"/>
        <v>-6.3829787234042499</v>
      </c>
      <c r="E37" s="1152">
        <f t="shared" si="12"/>
        <v>0</v>
      </c>
      <c r="F37" s="1152">
        <f t="shared" si="12"/>
        <v>0</v>
      </c>
      <c r="G37" s="1152">
        <f t="shared" si="12"/>
        <v>4.5454545454545467</v>
      </c>
      <c r="H37" s="1152">
        <f t="shared" si="12"/>
        <v>-2.1739130434782652</v>
      </c>
      <c r="I37" s="1152">
        <f t="shared" si="12"/>
        <v>-4.4444444444444429</v>
      </c>
      <c r="J37" s="1152">
        <f t="shared" si="12"/>
        <v>0</v>
      </c>
      <c r="K37" s="1152">
        <f t="shared" si="12"/>
        <v>0</v>
      </c>
      <c r="L37" s="1152">
        <f t="shared" si="12"/>
        <v>0</v>
      </c>
      <c r="M37" s="1152">
        <f t="shared" si="12"/>
        <v>0</v>
      </c>
      <c r="N37" s="1151"/>
    </row>
    <row r="38" spans="1:14" x14ac:dyDescent="0.2">
      <c r="A38" s="1135" t="s">
        <v>921</v>
      </c>
      <c r="B38" s="1153"/>
      <c r="C38" s="1153"/>
      <c r="D38" s="1154">
        <f>SUM(B37:D37/3)</f>
        <v>-2.1276595744680833</v>
      </c>
      <c r="E38" s="1153"/>
      <c r="F38" s="1153"/>
      <c r="G38" s="1154">
        <f>SUM(E37:G37)/3</f>
        <v>1.5151515151515156</v>
      </c>
      <c r="H38" s="1153"/>
      <c r="I38" s="1153"/>
      <c r="J38" s="1154">
        <f>SUM(H37:J37)/3</f>
        <v>-2.2061191626409027</v>
      </c>
      <c r="K38" s="1153"/>
      <c r="L38" s="1153"/>
      <c r="M38" s="1154">
        <f>SUM(K37:M37)/3</f>
        <v>0</v>
      </c>
      <c r="N38" s="1153"/>
    </row>
    <row r="39" spans="1:14" x14ac:dyDescent="0.2">
      <c r="A39" s="1135"/>
      <c r="B39" s="1136"/>
      <c r="C39" s="1136"/>
      <c r="D39" s="1136"/>
      <c r="E39" s="1136"/>
      <c r="F39" s="1136"/>
      <c r="G39" s="1136"/>
      <c r="H39" s="1136"/>
      <c r="I39" s="1136"/>
      <c r="J39" s="1136"/>
      <c r="K39" s="1136"/>
      <c r="L39" s="1136"/>
      <c r="M39" s="1136"/>
      <c r="N39" s="1119"/>
    </row>
    <row r="40" spans="1:14" ht="16.5" thickBot="1" x14ac:dyDescent="0.3">
      <c r="E40" s="1155" t="s">
        <v>922</v>
      </c>
      <c r="F40" s="1156"/>
      <c r="G40" s="1157">
        <v>2011</v>
      </c>
    </row>
    <row r="41" spans="1:14" x14ac:dyDescent="0.2">
      <c r="A41" s="1158" t="s">
        <v>923</v>
      </c>
      <c r="B41" s="1159" t="s">
        <v>863</v>
      </c>
      <c r="C41" s="1159" t="s">
        <v>864</v>
      </c>
      <c r="D41" s="1159" t="s">
        <v>865</v>
      </c>
      <c r="E41" s="1159" t="s">
        <v>866</v>
      </c>
      <c r="F41" s="1159" t="s">
        <v>867</v>
      </c>
      <c r="G41" s="1159" t="s">
        <v>868</v>
      </c>
      <c r="H41" s="1159" t="s">
        <v>857</v>
      </c>
      <c r="I41" s="1159" t="s">
        <v>858</v>
      </c>
      <c r="J41" s="1159" t="s">
        <v>859</v>
      </c>
      <c r="K41" s="1159" t="s">
        <v>860</v>
      </c>
      <c r="L41" s="1159" t="s">
        <v>861</v>
      </c>
      <c r="M41" s="1159" t="s">
        <v>862</v>
      </c>
      <c r="N41" s="1160" t="s">
        <v>137</v>
      </c>
    </row>
    <row r="42" spans="1:14" x14ac:dyDescent="0.2">
      <c r="A42" s="1161" t="s">
        <v>924</v>
      </c>
      <c r="B42" s="1162">
        <v>43</v>
      </c>
      <c r="C42" s="1162">
        <v>40</v>
      </c>
      <c r="D42" s="1162">
        <v>64</v>
      </c>
      <c r="E42" s="1162">
        <v>29</v>
      </c>
      <c r="F42" s="1162">
        <v>41</v>
      </c>
      <c r="G42" s="1162">
        <v>29</v>
      </c>
      <c r="H42" s="1162">
        <v>37</v>
      </c>
      <c r="I42" s="1162">
        <v>52</v>
      </c>
      <c r="J42" s="1162">
        <v>44</v>
      </c>
      <c r="K42" s="1162">
        <v>48</v>
      </c>
      <c r="L42" s="1162">
        <v>45</v>
      </c>
      <c r="M42" s="1162">
        <v>30</v>
      </c>
      <c r="N42" s="1163">
        <f>SUM(B42:M42)</f>
        <v>502</v>
      </c>
    </row>
    <row r="43" spans="1:14" x14ac:dyDescent="0.2">
      <c r="A43" s="1161" t="s">
        <v>925</v>
      </c>
      <c r="B43" s="1162">
        <v>1091</v>
      </c>
      <c r="C43" s="1162">
        <v>1388</v>
      </c>
      <c r="D43" s="1162">
        <v>1816</v>
      </c>
      <c r="E43" s="1162">
        <v>1049</v>
      </c>
      <c r="F43" s="1162">
        <v>1411</v>
      </c>
      <c r="G43" s="1162">
        <v>1406</v>
      </c>
      <c r="H43" s="1162">
        <v>1509</v>
      </c>
      <c r="I43" s="1162">
        <v>1777</v>
      </c>
      <c r="J43" s="1162">
        <v>2493</v>
      </c>
      <c r="K43" s="1162">
        <v>2393</v>
      </c>
      <c r="L43" s="1162">
        <v>2425</v>
      </c>
      <c r="M43" s="1162">
        <v>1846</v>
      </c>
      <c r="N43" s="1163">
        <f>SUM(B43:M43)</f>
        <v>20604</v>
      </c>
    </row>
    <row r="44" spans="1:14" x14ac:dyDescent="0.2">
      <c r="A44" s="1161" t="s">
        <v>926</v>
      </c>
      <c r="B44" s="1162">
        <v>121</v>
      </c>
      <c r="C44" s="1162">
        <v>111</v>
      </c>
      <c r="D44" s="1162">
        <v>302</v>
      </c>
      <c r="E44" s="1162">
        <v>616</v>
      </c>
      <c r="F44" s="1162">
        <v>1341</v>
      </c>
      <c r="G44" s="1162">
        <v>2147</v>
      </c>
      <c r="H44" s="1162">
        <v>1890</v>
      </c>
      <c r="I44" s="1162">
        <v>2468</v>
      </c>
      <c r="J44" s="1162">
        <v>1412</v>
      </c>
      <c r="K44" s="1162">
        <v>854</v>
      </c>
      <c r="L44" s="1162">
        <v>372</v>
      </c>
      <c r="M44" s="1162">
        <v>170</v>
      </c>
      <c r="N44" s="1163">
        <f>SUM(B44:M44)</f>
        <v>11804</v>
      </c>
    </row>
    <row r="45" spans="1:14" x14ac:dyDescent="0.2">
      <c r="A45" s="1161" t="s">
        <v>927</v>
      </c>
      <c r="B45" s="1162">
        <v>756</v>
      </c>
      <c r="C45" s="1162">
        <v>552</v>
      </c>
      <c r="D45" s="1162">
        <v>902</v>
      </c>
      <c r="E45" s="1162">
        <v>571</v>
      </c>
      <c r="F45" s="1162">
        <v>763</v>
      </c>
      <c r="G45" s="1162">
        <v>803</v>
      </c>
      <c r="H45" s="1162">
        <v>675</v>
      </c>
      <c r="I45" s="1162">
        <v>840</v>
      </c>
      <c r="J45" s="1162">
        <v>917</v>
      </c>
      <c r="K45" s="1162">
        <v>845</v>
      </c>
      <c r="L45" s="1162">
        <v>918</v>
      </c>
      <c r="M45" s="1162">
        <v>628</v>
      </c>
      <c r="N45" s="1163">
        <f>SUM(B45:M45)</f>
        <v>9170</v>
      </c>
    </row>
    <row r="46" spans="1:14" ht="13.5" thickBot="1" x14ac:dyDescent="0.25">
      <c r="A46" s="1164" t="s">
        <v>928</v>
      </c>
      <c r="B46" s="1165"/>
      <c r="C46" s="1165">
        <v>4</v>
      </c>
      <c r="D46" s="1165">
        <v>3</v>
      </c>
      <c r="E46" s="1165">
        <v>1</v>
      </c>
      <c r="F46" s="1165">
        <v>4</v>
      </c>
      <c r="G46" s="1165">
        <v>1</v>
      </c>
      <c r="H46" s="1165">
        <v>2</v>
      </c>
      <c r="I46" s="1165">
        <v>1</v>
      </c>
      <c r="J46" s="1165">
        <v>2</v>
      </c>
      <c r="K46" s="1165">
        <v>2</v>
      </c>
      <c r="L46" s="1165">
        <v>2</v>
      </c>
      <c r="M46" s="1165">
        <v>9</v>
      </c>
      <c r="N46" s="1166">
        <f>SUM(B46:M46)</f>
        <v>31</v>
      </c>
    </row>
    <row r="48" spans="1:14" ht="16.5" thickBot="1" x14ac:dyDescent="0.3">
      <c r="E48" s="1155" t="s">
        <v>929</v>
      </c>
      <c r="F48" s="1156"/>
      <c r="G48" s="1157">
        <v>2011</v>
      </c>
    </row>
    <row r="49" spans="1:17" x14ac:dyDescent="0.2">
      <c r="A49" s="1158" t="s">
        <v>930</v>
      </c>
      <c r="B49" s="1159" t="s">
        <v>863</v>
      </c>
      <c r="C49" s="1159" t="s">
        <v>864</v>
      </c>
      <c r="D49" s="1159" t="s">
        <v>865</v>
      </c>
      <c r="E49" s="1159" t="s">
        <v>866</v>
      </c>
      <c r="F49" s="1159" t="s">
        <v>867</v>
      </c>
      <c r="G49" s="1159" t="s">
        <v>868</v>
      </c>
      <c r="H49" s="1159" t="s">
        <v>857</v>
      </c>
      <c r="I49" s="1159" t="s">
        <v>858</v>
      </c>
      <c r="J49" s="1159" t="s">
        <v>859</v>
      </c>
      <c r="K49" s="1159" t="s">
        <v>860</v>
      </c>
      <c r="L49" s="1159" t="s">
        <v>861</v>
      </c>
      <c r="M49" s="1159" t="s">
        <v>862</v>
      </c>
      <c r="N49" s="1160" t="s">
        <v>137</v>
      </c>
    </row>
    <row r="50" spans="1:17" x14ac:dyDescent="0.2">
      <c r="A50" s="1753" t="s">
        <v>931</v>
      </c>
      <c r="B50" s="1167"/>
      <c r="C50" s="1167"/>
      <c r="D50" s="1167"/>
      <c r="E50" s="1167"/>
      <c r="F50" s="1167"/>
      <c r="G50" s="1167"/>
      <c r="H50" s="1167"/>
      <c r="I50" s="1167"/>
      <c r="J50" s="1167"/>
      <c r="K50" s="1167"/>
      <c r="L50" s="1167"/>
      <c r="M50" s="1167"/>
      <c r="N50" s="1168">
        <f>SUM(B50:M50)</f>
        <v>0</v>
      </c>
    </row>
    <row r="51" spans="1:17" x14ac:dyDescent="0.2">
      <c r="A51" s="1161" t="s">
        <v>932</v>
      </c>
      <c r="B51" s="1169">
        <v>20</v>
      </c>
      <c r="C51" s="1169">
        <v>24</v>
      </c>
      <c r="D51" s="1169">
        <v>17</v>
      </c>
      <c r="E51" s="1169">
        <v>21</v>
      </c>
      <c r="F51" s="1169">
        <v>23</v>
      </c>
      <c r="G51" s="1169">
        <v>16</v>
      </c>
      <c r="H51" s="1169">
        <v>24</v>
      </c>
      <c r="I51" s="1169">
        <v>24</v>
      </c>
      <c r="J51" s="1169">
        <v>16</v>
      </c>
      <c r="K51" s="1169">
        <v>13</v>
      </c>
      <c r="L51" s="1169">
        <v>15</v>
      </c>
      <c r="M51" s="1169">
        <v>30</v>
      </c>
      <c r="N51" s="1168">
        <f>SUM(B51:M51)</f>
        <v>243</v>
      </c>
    </row>
    <row r="52" spans="1:17" x14ac:dyDescent="0.2">
      <c r="A52" s="1161" t="s">
        <v>933</v>
      </c>
      <c r="B52" s="1169">
        <v>53</v>
      </c>
      <c r="C52" s="1169">
        <v>41</v>
      </c>
      <c r="D52" s="1169">
        <v>24</v>
      </c>
      <c r="E52" s="1169">
        <v>38</v>
      </c>
      <c r="F52" s="1169">
        <v>38</v>
      </c>
      <c r="G52" s="1169">
        <v>48</v>
      </c>
      <c r="H52" s="1169">
        <v>68</v>
      </c>
      <c r="I52" s="1169">
        <v>25</v>
      </c>
      <c r="J52" s="1169">
        <v>14</v>
      </c>
      <c r="K52" s="1169">
        <v>20</v>
      </c>
      <c r="L52" s="1169">
        <v>24</v>
      </c>
      <c r="M52" s="1169">
        <v>34</v>
      </c>
      <c r="N52" s="1168">
        <f>SUM(B52:M52)</f>
        <v>427</v>
      </c>
    </row>
    <row r="53" spans="1:17" x14ac:dyDescent="0.2">
      <c r="A53" s="1161" t="s">
        <v>934</v>
      </c>
      <c r="B53" s="1170">
        <v>2</v>
      </c>
      <c r="C53" s="1170">
        <v>4</v>
      </c>
      <c r="D53" s="1170">
        <v>4</v>
      </c>
      <c r="E53" s="1170">
        <v>10</v>
      </c>
      <c r="F53" s="1170">
        <v>2</v>
      </c>
      <c r="G53" s="1170">
        <v>2</v>
      </c>
      <c r="H53" s="1170">
        <v>4</v>
      </c>
      <c r="I53" s="1170">
        <v>2</v>
      </c>
      <c r="J53" s="1170">
        <v>2</v>
      </c>
      <c r="K53" s="1170">
        <v>2</v>
      </c>
      <c r="L53" s="1170">
        <v>2</v>
      </c>
      <c r="M53" s="1170">
        <v>2</v>
      </c>
      <c r="N53" s="1168">
        <f>SUM(B53:M53)</f>
        <v>38</v>
      </c>
    </row>
    <row r="54" spans="1:17" ht="13.5" thickBot="1" x14ac:dyDescent="0.25">
      <c r="A54" s="1164" t="s">
        <v>936</v>
      </c>
      <c r="B54" s="1171">
        <v>83</v>
      </c>
      <c r="C54" s="1171">
        <v>59</v>
      </c>
      <c r="D54" s="1171">
        <v>46</v>
      </c>
      <c r="E54" s="1171">
        <v>54</v>
      </c>
      <c r="F54" s="1171">
        <v>50</v>
      </c>
      <c r="G54" s="1171">
        <v>59</v>
      </c>
      <c r="H54" s="1171">
        <v>61</v>
      </c>
      <c r="I54" s="1171">
        <v>54</v>
      </c>
      <c r="J54" s="1171">
        <v>34</v>
      </c>
      <c r="K54" s="1171">
        <v>35</v>
      </c>
      <c r="L54" s="1171">
        <v>45</v>
      </c>
      <c r="M54" s="1171">
        <v>55</v>
      </c>
      <c r="N54" s="1172">
        <f>SUM(B54:M54)</f>
        <v>635</v>
      </c>
    </row>
    <row r="55" spans="1:17" ht="13.5" thickBot="1" x14ac:dyDescent="0.25">
      <c r="A55" s="1173"/>
      <c r="B55" s="1173"/>
      <c r="C55" s="1173"/>
      <c r="D55" s="1173"/>
      <c r="E55" s="1173"/>
      <c r="F55" s="1173"/>
      <c r="G55" s="1173"/>
      <c r="H55" s="1173"/>
      <c r="I55" s="1173"/>
      <c r="J55" s="1173"/>
      <c r="K55" s="1173"/>
      <c r="L55" s="1173"/>
      <c r="M55" s="1173"/>
      <c r="N55" s="1173"/>
    </row>
    <row r="56" spans="1:17" ht="18" x14ac:dyDescent="0.25">
      <c r="A56" s="1790" t="s">
        <v>1107</v>
      </c>
      <c r="B56" s="1790"/>
      <c r="C56" s="1790"/>
      <c r="D56" s="1790"/>
      <c r="E56" s="1790"/>
      <c r="F56" s="1790"/>
      <c r="G56" s="1790"/>
      <c r="H56" s="1790"/>
      <c r="I56" s="1790"/>
      <c r="J56" s="1790"/>
      <c r="K56" s="1790"/>
      <c r="L56" s="1790"/>
      <c r="M56" s="1790"/>
      <c r="N56" s="1790"/>
    </row>
    <row r="57" spans="1:17" ht="15.75" x14ac:dyDescent="0.25">
      <c r="E57" s="1174"/>
      <c r="M57" s="1136"/>
      <c r="N57" s="1119"/>
    </row>
    <row r="58" spans="1:17" x14ac:dyDescent="0.2">
      <c r="A58" s="1175" t="s">
        <v>938</v>
      </c>
      <c r="B58" s="1176"/>
      <c r="C58" s="1177"/>
      <c r="D58" s="1184" t="s">
        <v>939</v>
      </c>
      <c r="I58" s="1178"/>
      <c r="J58" s="1179" t="s">
        <v>940</v>
      </c>
      <c r="K58" s="1176"/>
      <c r="L58" s="1176"/>
      <c r="M58" s="1176"/>
      <c r="N58" s="1180"/>
      <c r="P58" s="1136"/>
      <c r="Q58" s="1119"/>
    </row>
    <row r="59" spans="1:17" x14ac:dyDescent="0.2">
      <c r="A59" s="1178">
        <v>722</v>
      </c>
      <c r="B59" s="1178" t="s">
        <v>941</v>
      </c>
      <c r="C59" s="1181"/>
      <c r="D59" s="1182">
        <v>9593648</v>
      </c>
      <c r="E59" s="1183"/>
      <c r="F59" s="1183"/>
      <c r="G59" s="1183"/>
      <c r="H59" s="1183"/>
      <c r="I59" s="1184" t="s">
        <v>942</v>
      </c>
      <c r="J59" s="1162" t="s">
        <v>943</v>
      </c>
      <c r="K59" s="1162" t="s">
        <v>944</v>
      </c>
      <c r="L59" s="1754" t="s">
        <v>945</v>
      </c>
      <c r="M59" s="1755"/>
      <c r="N59" s="1162" t="s">
        <v>946</v>
      </c>
      <c r="P59" s="1136"/>
      <c r="Q59" s="1119"/>
    </row>
    <row r="60" spans="1:17" ht="13.5" thickBot="1" x14ac:dyDescent="0.25">
      <c r="A60" s="1178"/>
      <c r="B60" s="1178"/>
      <c r="C60" s="1181"/>
      <c r="D60" s="1182"/>
      <c r="E60" s="1183"/>
      <c r="F60" s="1183"/>
      <c r="G60" s="1183"/>
      <c r="H60" s="1183"/>
      <c r="I60" s="1791" t="s">
        <v>947</v>
      </c>
      <c r="J60" s="1792"/>
      <c r="K60" s="1792"/>
      <c r="L60" s="1792"/>
      <c r="M60" s="1793"/>
      <c r="N60" s="1185">
        <f>F89</f>
        <v>2850284</v>
      </c>
      <c r="O60" s="1183"/>
      <c r="P60" s="1136"/>
      <c r="Q60" s="1119"/>
    </row>
    <row r="61" spans="1:17" ht="13.5" thickBot="1" x14ac:dyDescent="0.25">
      <c r="A61" s="1186" t="s">
        <v>154</v>
      </c>
      <c r="B61" s="1187"/>
      <c r="C61" s="1188"/>
      <c r="D61" s="1756">
        <f>SUM(D59:D60)</f>
        <v>9593648</v>
      </c>
      <c r="E61" s="1192"/>
      <c r="F61" s="1192"/>
      <c r="G61" s="1192"/>
      <c r="H61" s="1183"/>
      <c r="I61" s="1758">
        <v>11820</v>
      </c>
      <c r="J61" s="1759">
        <v>147</v>
      </c>
      <c r="K61" s="1760">
        <v>40664</v>
      </c>
      <c r="L61" s="1178" t="s">
        <v>948</v>
      </c>
      <c r="M61" s="1757"/>
      <c r="N61" s="1189">
        <v>47144</v>
      </c>
      <c r="O61" s="1190" t="s">
        <v>1108</v>
      </c>
      <c r="P61" s="1136"/>
      <c r="Q61" s="1119"/>
    </row>
    <row r="62" spans="1:17" x14ac:dyDescent="0.2">
      <c r="A62" s="1118" t="s">
        <v>153</v>
      </c>
      <c r="B62" s="1191"/>
      <c r="C62" s="1191"/>
      <c r="D62" s="1192">
        <f>D61/12</f>
        <v>799470.66666666663</v>
      </c>
      <c r="E62" s="1193"/>
      <c r="F62" s="1193"/>
      <c r="G62" s="1193"/>
      <c r="H62" s="1183"/>
      <c r="I62" s="1162">
        <v>62300</v>
      </c>
      <c r="J62" s="1759">
        <v>150</v>
      </c>
      <c r="K62" s="1760">
        <v>40544</v>
      </c>
      <c r="L62" s="1178" t="s">
        <v>949</v>
      </c>
      <c r="M62" s="1181"/>
      <c r="N62" s="1189">
        <v>61903</v>
      </c>
      <c r="O62" s="1212"/>
      <c r="P62" s="1136"/>
      <c r="Q62" s="1119"/>
    </row>
    <row r="63" spans="1:17" x14ac:dyDescent="0.2">
      <c r="B63" s="1191"/>
      <c r="C63" s="1191"/>
      <c r="H63" s="1183"/>
      <c r="I63" s="1162">
        <v>62011</v>
      </c>
      <c r="J63" s="1194" t="s">
        <v>950</v>
      </c>
      <c r="K63" s="1195">
        <v>38048</v>
      </c>
      <c r="L63" s="1178" t="s">
        <v>951</v>
      </c>
      <c r="M63" s="1181"/>
      <c r="N63" s="1189">
        <v>19599</v>
      </c>
      <c r="O63" s="1212"/>
      <c r="P63" s="1136"/>
      <c r="Q63" s="1119"/>
    </row>
    <row r="64" spans="1:17" x14ac:dyDescent="0.2">
      <c r="B64" s="1191"/>
      <c r="C64" s="1191"/>
      <c r="H64" s="1183"/>
      <c r="I64" s="1162" t="s">
        <v>952</v>
      </c>
      <c r="J64" s="1194" t="s">
        <v>953</v>
      </c>
      <c r="K64" s="1195">
        <v>38047</v>
      </c>
      <c r="L64" s="1178" t="s">
        <v>954</v>
      </c>
      <c r="M64" s="1181"/>
      <c r="N64" s="1189">
        <v>19599</v>
      </c>
      <c r="O64" s="1212"/>
      <c r="P64" s="1136"/>
      <c r="Q64" s="1119"/>
    </row>
    <row r="65" spans="1:17" x14ac:dyDescent="0.2">
      <c r="A65" s="1178"/>
      <c r="B65" s="1179" t="s">
        <v>940</v>
      </c>
      <c r="C65" s="1176"/>
      <c r="D65" s="1176"/>
      <c r="E65" s="1176"/>
      <c r="F65" s="1180"/>
      <c r="G65" s="1191"/>
      <c r="H65" s="1183" t="s">
        <v>955</v>
      </c>
      <c r="I65" s="1758"/>
      <c r="J65" s="1759"/>
      <c r="K65" s="1760"/>
      <c r="L65" s="1759"/>
      <c r="M65" s="1757"/>
      <c r="N65" s="1761"/>
      <c r="O65" s="1183"/>
      <c r="P65" s="1136"/>
      <c r="Q65" s="1119"/>
    </row>
    <row r="66" spans="1:17" x14ac:dyDescent="0.2">
      <c r="A66" s="1184" t="s">
        <v>942</v>
      </c>
      <c r="B66" s="1162" t="s">
        <v>943</v>
      </c>
      <c r="C66" s="1162" t="s">
        <v>944</v>
      </c>
      <c r="D66" s="1754" t="s">
        <v>945</v>
      </c>
      <c r="E66" s="1162"/>
      <c r="F66" s="1162" t="s">
        <v>946</v>
      </c>
      <c r="G66" s="1762"/>
      <c r="H66" s="1763" t="s">
        <v>956</v>
      </c>
      <c r="I66" s="1196">
        <v>31400</v>
      </c>
      <c r="J66" s="1197">
        <v>758</v>
      </c>
      <c r="K66" s="1198">
        <v>37500</v>
      </c>
      <c r="L66" s="1197" t="s">
        <v>957</v>
      </c>
      <c r="M66" s="1199"/>
      <c r="N66" s="1200">
        <v>39412</v>
      </c>
      <c r="O66" s="1209"/>
      <c r="P66" s="1136"/>
      <c r="Q66" s="1119"/>
    </row>
    <row r="67" spans="1:17" x14ac:dyDescent="0.2">
      <c r="A67" s="1162">
        <v>31139</v>
      </c>
      <c r="B67" s="1778">
        <v>111</v>
      </c>
      <c r="C67" s="1760">
        <v>40634</v>
      </c>
      <c r="D67" s="1178" t="s">
        <v>958</v>
      </c>
      <c r="E67" s="1764"/>
      <c r="F67" s="1765">
        <v>43110</v>
      </c>
      <c r="G67" s="1190" t="s">
        <v>1109</v>
      </c>
      <c r="H67" s="1763" t="s">
        <v>959</v>
      </c>
      <c r="I67" s="1196">
        <v>51302</v>
      </c>
      <c r="J67" s="1779">
        <v>114</v>
      </c>
      <c r="K67" s="1780">
        <v>40544</v>
      </c>
      <c r="L67" s="1197" t="s">
        <v>960</v>
      </c>
      <c r="M67" s="1199"/>
      <c r="N67" s="1200">
        <v>16500</v>
      </c>
      <c r="O67" s="1212"/>
      <c r="P67" s="1136"/>
      <c r="Q67" s="1119"/>
    </row>
    <row r="68" spans="1:17" x14ac:dyDescent="0.2">
      <c r="A68" s="1766" t="s">
        <v>961</v>
      </c>
      <c r="B68" s="1178">
        <v>112</v>
      </c>
      <c r="C68" s="1195">
        <v>37956</v>
      </c>
      <c r="D68" s="1178" t="s">
        <v>962</v>
      </c>
      <c r="E68" s="1181"/>
      <c r="F68" s="1189">
        <v>116310</v>
      </c>
      <c r="G68" s="1183"/>
      <c r="H68" s="1763" t="s">
        <v>963</v>
      </c>
      <c r="I68" s="1196">
        <v>53204</v>
      </c>
      <c r="J68" s="1779">
        <v>114</v>
      </c>
      <c r="K68" s="1780">
        <v>40544</v>
      </c>
      <c r="L68" s="1197" t="s">
        <v>964</v>
      </c>
      <c r="M68" s="1199"/>
      <c r="N68" s="1200">
        <v>35100</v>
      </c>
      <c r="O68" s="1212"/>
      <c r="P68" s="1136"/>
      <c r="Q68" s="1119"/>
    </row>
    <row r="69" spans="1:17" x14ac:dyDescent="0.2">
      <c r="A69" s="1766" t="s">
        <v>965</v>
      </c>
      <c r="B69" s="1201">
        <v>113</v>
      </c>
      <c r="C69" s="1202">
        <v>38012</v>
      </c>
      <c r="D69" s="1201" t="s">
        <v>966</v>
      </c>
      <c r="E69" s="1203"/>
      <c r="F69" s="1204">
        <v>146191</v>
      </c>
      <c r="G69" s="1183"/>
      <c r="I69" s="1162">
        <v>62300</v>
      </c>
      <c r="J69" s="1759">
        <v>149</v>
      </c>
      <c r="K69" s="1760">
        <v>40544</v>
      </c>
      <c r="L69" s="1178" t="s">
        <v>967</v>
      </c>
      <c r="M69" s="1181"/>
      <c r="N69" s="1204">
        <v>49158</v>
      </c>
      <c r="O69" s="1183"/>
      <c r="P69" s="1136"/>
      <c r="Q69" s="1119"/>
    </row>
    <row r="70" spans="1:17" x14ac:dyDescent="0.2">
      <c r="A70" s="1162">
        <v>64796</v>
      </c>
      <c r="B70" s="1210">
        <v>115</v>
      </c>
      <c r="C70" s="1211">
        <v>40603</v>
      </c>
      <c r="D70" s="1178" t="s">
        <v>1110</v>
      </c>
      <c r="E70" s="1181"/>
      <c r="F70" s="1182">
        <v>23945</v>
      </c>
      <c r="G70" s="1190" t="s">
        <v>1111</v>
      </c>
      <c r="H70" s="1183"/>
      <c r="I70" s="1162">
        <v>62300</v>
      </c>
      <c r="J70" s="1759">
        <v>148</v>
      </c>
      <c r="K70" s="1760">
        <v>40544</v>
      </c>
      <c r="L70" s="1178" t="s">
        <v>969</v>
      </c>
      <c r="M70" s="1181"/>
      <c r="N70" s="1204">
        <v>56406</v>
      </c>
      <c r="O70" s="1183"/>
      <c r="P70" s="1136"/>
      <c r="Q70" s="1119"/>
    </row>
    <row r="71" spans="1:17" x14ac:dyDescent="0.2">
      <c r="A71" s="1162">
        <v>23140</v>
      </c>
      <c r="B71" s="1201">
        <v>116</v>
      </c>
      <c r="C71" s="1202">
        <v>38412</v>
      </c>
      <c r="D71" s="1201" t="s">
        <v>970</v>
      </c>
      <c r="E71" s="1203"/>
      <c r="F71" s="1204">
        <v>60404</v>
      </c>
      <c r="G71" s="1183"/>
      <c r="H71" s="1183"/>
      <c r="I71" s="1162">
        <v>49500</v>
      </c>
      <c r="J71" s="1201">
        <v>900</v>
      </c>
      <c r="K71" s="1202">
        <v>38353</v>
      </c>
      <c r="L71" s="1201" t="s">
        <v>971</v>
      </c>
      <c r="M71" s="1203"/>
      <c r="N71" s="1204">
        <v>4100</v>
      </c>
      <c r="O71" s="1183"/>
      <c r="P71" s="1136"/>
      <c r="Q71" s="1119"/>
    </row>
    <row r="72" spans="1:17" x14ac:dyDescent="0.2">
      <c r="A72" s="1162">
        <v>54100</v>
      </c>
      <c r="B72" s="1178">
        <v>119</v>
      </c>
      <c r="C72" s="1195">
        <v>38808</v>
      </c>
      <c r="D72" s="1178" t="s">
        <v>972</v>
      </c>
      <c r="E72" s="1181"/>
      <c r="F72" s="1189">
        <v>1631561</v>
      </c>
      <c r="G72" s="1183"/>
      <c r="H72" s="1183"/>
      <c r="I72" s="1162">
        <v>82500</v>
      </c>
      <c r="J72" s="1178">
        <v>740</v>
      </c>
      <c r="K72" s="1195">
        <v>37834</v>
      </c>
      <c r="L72" s="1178" t="s">
        <v>973</v>
      </c>
      <c r="M72" s="1181"/>
      <c r="N72" s="1189">
        <v>93177</v>
      </c>
      <c r="O72" s="1183"/>
      <c r="P72" s="1136"/>
      <c r="Q72" s="1119"/>
    </row>
    <row r="73" spans="1:17" x14ac:dyDescent="0.2">
      <c r="A73" s="1162">
        <v>62005</v>
      </c>
      <c r="B73" s="1178">
        <v>121</v>
      </c>
      <c r="C73" s="1195">
        <v>39264</v>
      </c>
      <c r="D73" s="1178" t="s">
        <v>974</v>
      </c>
      <c r="E73" s="1181"/>
      <c r="F73" s="1189">
        <v>98317</v>
      </c>
      <c r="G73" s="1183"/>
      <c r="H73" s="1183"/>
      <c r="I73" s="1162">
        <v>62006</v>
      </c>
      <c r="J73" s="1194" t="s">
        <v>975</v>
      </c>
      <c r="K73" s="1195">
        <v>39173</v>
      </c>
      <c r="L73" s="1178" t="s">
        <v>976</v>
      </c>
      <c r="M73" s="1181"/>
      <c r="N73" s="1189">
        <v>30683</v>
      </c>
      <c r="O73" s="1767" t="s">
        <v>1112</v>
      </c>
      <c r="P73" s="1136"/>
      <c r="Q73" s="1119"/>
    </row>
    <row r="74" spans="1:17" x14ac:dyDescent="0.2">
      <c r="A74" s="1162">
        <v>38350</v>
      </c>
      <c r="B74" s="1178">
        <v>122</v>
      </c>
      <c r="C74" s="1195">
        <v>39264</v>
      </c>
      <c r="D74" s="1178" t="s">
        <v>977</v>
      </c>
      <c r="E74" s="1181"/>
      <c r="F74" s="1189">
        <v>18528</v>
      </c>
      <c r="G74" s="1183"/>
      <c r="H74" s="1183"/>
      <c r="I74" s="1162">
        <v>38050</v>
      </c>
      <c r="J74" s="1205" t="s">
        <v>978</v>
      </c>
      <c r="K74" s="1202">
        <v>39448</v>
      </c>
      <c r="L74" s="1178" t="s">
        <v>1113</v>
      </c>
      <c r="M74" s="1206"/>
      <c r="N74" s="1204">
        <v>30090</v>
      </c>
      <c r="O74" s="1183"/>
      <c r="P74" s="1136"/>
      <c r="Q74" s="1119"/>
    </row>
    <row r="75" spans="1:17" x14ac:dyDescent="0.2">
      <c r="A75" s="1162">
        <v>60111</v>
      </c>
      <c r="B75" s="1205">
        <v>128</v>
      </c>
      <c r="C75" s="1202">
        <v>39815</v>
      </c>
      <c r="D75" s="1178" t="s">
        <v>980</v>
      </c>
      <c r="E75" s="1764"/>
      <c r="F75" s="1182">
        <v>175591</v>
      </c>
      <c r="G75" s="1183"/>
      <c r="H75" s="1207"/>
      <c r="I75" s="1162">
        <v>28100</v>
      </c>
      <c r="J75" s="1201">
        <v>728</v>
      </c>
      <c r="K75" s="1202">
        <v>38846</v>
      </c>
      <c r="L75" s="1178" t="s">
        <v>981</v>
      </c>
      <c r="M75" s="1203"/>
      <c r="N75" s="1203">
        <v>72450</v>
      </c>
      <c r="O75" s="1183"/>
      <c r="P75" s="1136"/>
      <c r="Q75" s="1119"/>
    </row>
    <row r="76" spans="1:17" x14ac:dyDescent="0.2">
      <c r="A76" s="1162">
        <v>37105</v>
      </c>
      <c r="B76" s="1205">
        <v>129</v>
      </c>
      <c r="C76" s="1202">
        <v>39904</v>
      </c>
      <c r="D76" s="1178" t="s">
        <v>982</v>
      </c>
      <c r="E76" s="1764"/>
      <c r="F76" s="1182">
        <v>18893</v>
      </c>
      <c r="G76" s="1183"/>
      <c r="H76" s="1183"/>
      <c r="I76" s="1758">
        <v>38400</v>
      </c>
      <c r="J76" s="1759">
        <v>138</v>
      </c>
      <c r="K76" s="1760">
        <v>40544</v>
      </c>
      <c r="L76" s="1178" t="s">
        <v>983</v>
      </c>
      <c r="M76" s="1757"/>
      <c r="N76" s="1182">
        <v>28743</v>
      </c>
      <c r="O76" s="1183"/>
      <c r="P76" s="1136"/>
      <c r="Q76" s="1119"/>
    </row>
    <row r="77" spans="1:17" x14ac:dyDescent="0.2">
      <c r="A77" s="1162">
        <v>69725</v>
      </c>
      <c r="B77" s="1205">
        <v>130</v>
      </c>
      <c r="C77" s="1202">
        <v>39918</v>
      </c>
      <c r="D77" s="1178" t="s">
        <v>984</v>
      </c>
      <c r="E77" s="1764"/>
      <c r="F77" s="1182">
        <v>29264</v>
      </c>
      <c r="G77" s="1183"/>
      <c r="H77" s="1183"/>
      <c r="I77" s="1758">
        <v>37100</v>
      </c>
      <c r="J77" s="1210">
        <v>139</v>
      </c>
      <c r="K77" s="1760">
        <v>40544</v>
      </c>
      <c r="L77" s="1178" t="s">
        <v>985</v>
      </c>
      <c r="M77" s="1203"/>
      <c r="N77" s="1204">
        <v>9581</v>
      </c>
      <c r="O77" s="1183"/>
      <c r="P77" s="1136"/>
      <c r="Q77" s="1119"/>
    </row>
    <row r="78" spans="1:17" x14ac:dyDescent="0.2">
      <c r="A78" s="1162">
        <v>19020</v>
      </c>
      <c r="B78" s="1205">
        <v>131</v>
      </c>
      <c r="C78" s="1202">
        <v>40238</v>
      </c>
      <c r="D78" s="1208" t="s">
        <v>986</v>
      </c>
      <c r="F78" s="1182">
        <v>206336</v>
      </c>
      <c r="G78" s="1183"/>
      <c r="H78" s="1183"/>
      <c r="I78" s="1162"/>
      <c r="J78" s="1201"/>
      <c r="K78" s="1202"/>
      <c r="L78" s="1201"/>
      <c r="M78" s="1203"/>
      <c r="N78" s="1204"/>
      <c r="O78" s="1183"/>
      <c r="P78" s="1136"/>
      <c r="Q78" s="1119"/>
    </row>
    <row r="79" spans="1:17" x14ac:dyDescent="0.2">
      <c r="A79" s="1162">
        <v>54100</v>
      </c>
      <c r="B79" s="1205">
        <v>133</v>
      </c>
      <c r="C79" s="1202">
        <v>40040</v>
      </c>
      <c r="D79" s="1178" t="s">
        <v>987</v>
      </c>
      <c r="E79" s="1764"/>
      <c r="F79" s="1768"/>
      <c r="G79" s="1183" t="s">
        <v>1114</v>
      </c>
      <c r="H79" s="1183"/>
      <c r="I79" s="1162"/>
      <c r="J79" s="1201"/>
      <c r="K79" s="1202"/>
      <c r="L79" s="1201"/>
      <c r="M79" s="1203"/>
      <c r="N79" s="1204"/>
      <c r="O79" s="1183"/>
      <c r="P79" s="1136"/>
      <c r="Q79" s="1119"/>
    </row>
    <row r="80" spans="1:17" x14ac:dyDescent="0.2">
      <c r="A80" s="1162">
        <v>50005</v>
      </c>
      <c r="B80" s="1178">
        <v>132</v>
      </c>
      <c r="C80" s="1195">
        <v>40057</v>
      </c>
      <c r="D80" s="1178" t="s">
        <v>989</v>
      </c>
      <c r="E80" s="1182"/>
      <c r="F80" s="1189">
        <v>178857</v>
      </c>
      <c r="G80" s="1183"/>
      <c r="H80" s="1183"/>
      <c r="I80" s="1162">
        <v>20100</v>
      </c>
      <c r="J80" s="1759" t="s">
        <v>941</v>
      </c>
      <c r="K80" s="1195">
        <v>40179</v>
      </c>
      <c r="L80" s="1178" t="s">
        <v>990</v>
      </c>
      <c r="M80" s="1181"/>
      <c r="N80" s="1204">
        <v>536360</v>
      </c>
      <c r="O80" s="1209" t="s">
        <v>1115</v>
      </c>
      <c r="P80" s="1136"/>
      <c r="Q80" s="1119"/>
    </row>
    <row r="81" spans="1:17" x14ac:dyDescent="0.2">
      <c r="A81" s="1769"/>
      <c r="B81" s="1210">
        <v>140</v>
      </c>
      <c r="C81" s="1211">
        <v>40575</v>
      </c>
      <c r="D81" s="1182" t="s">
        <v>991</v>
      </c>
      <c r="F81" s="1204"/>
      <c r="G81" s="1212" t="s">
        <v>1116</v>
      </c>
      <c r="H81" s="1183"/>
      <c r="I81" s="1162">
        <v>80005</v>
      </c>
      <c r="J81" s="1759" t="s">
        <v>941</v>
      </c>
      <c r="K81" s="1195">
        <v>40179</v>
      </c>
      <c r="L81" s="1178" t="s">
        <v>993</v>
      </c>
      <c r="M81" s="1181"/>
      <c r="N81" s="1204">
        <v>496511</v>
      </c>
      <c r="O81" s="1209" t="s">
        <v>1115</v>
      </c>
      <c r="P81" s="1136"/>
      <c r="Q81" s="1119"/>
    </row>
    <row r="82" spans="1:17" x14ac:dyDescent="0.2">
      <c r="A82" s="1162">
        <v>62400</v>
      </c>
      <c r="B82" s="1210">
        <v>141</v>
      </c>
      <c r="C82" s="1211">
        <v>40544</v>
      </c>
      <c r="D82" s="1201" t="s">
        <v>994</v>
      </c>
      <c r="E82" s="1203"/>
      <c r="F82" s="1204">
        <v>17957</v>
      </c>
      <c r="G82" s="1190" t="s">
        <v>995</v>
      </c>
      <c r="H82" s="1183"/>
      <c r="I82" s="1162">
        <v>39630</v>
      </c>
      <c r="J82" s="1759" t="s">
        <v>941</v>
      </c>
      <c r="K82" s="1195">
        <v>40179</v>
      </c>
      <c r="L82" s="1178" t="s">
        <v>996</v>
      </c>
      <c r="M82" s="1181"/>
      <c r="N82" s="1204">
        <v>567857</v>
      </c>
      <c r="O82" s="1209" t="s">
        <v>1115</v>
      </c>
      <c r="P82" s="1136"/>
      <c r="Q82" s="1119"/>
    </row>
    <row r="83" spans="1:17" x14ac:dyDescent="0.2">
      <c r="A83" s="1162">
        <v>60109</v>
      </c>
      <c r="B83" s="1781">
        <v>142</v>
      </c>
      <c r="C83" s="1760">
        <v>40544</v>
      </c>
      <c r="D83" s="1178" t="s">
        <v>997</v>
      </c>
      <c r="E83" s="1181"/>
      <c r="F83" s="1189">
        <v>53279</v>
      </c>
      <c r="G83" s="1190" t="s">
        <v>998</v>
      </c>
      <c r="H83" s="1183"/>
      <c r="I83" s="1162">
        <v>49500</v>
      </c>
      <c r="J83" s="1759" t="s">
        <v>941</v>
      </c>
      <c r="K83" s="1195">
        <v>40179</v>
      </c>
      <c r="L83" s="1178" t="s">
        <v>999</v>
      </c>
      <c r="M83" s="1181"/>
      <c r="N83" s="1204">
        <v>532376</v>
      </c>
      <c r="O83" s="1209" t="s">
        <v>1115</v>
      </c>
      <c r="P83" s="1136"/>
      <c r="Q83" s="1119"/>
    </row>
    <row r="84" spans="1:17" x14ac:dyDescent="0.2">
      <c r="A84" s="1162">
        <v>67004</v>
      </c>
      <c r="B84" s="1781">
        <v>143</v>
      </c>
      <c r="C84" s="1760">
        <v>40544</v>
      </c>
      <c r="D84" s="1178" t="s">
        <v>1000</v>
      </c>
      <c r="E84" s="1181"/>
      <c r="F84" s="1189">
        <v>1635</v>
      </c>
      <c r="G84" s="1190" t="s">
        <v>1001</v>
      </c>
      <c r="H84" s="1183"/>
      <c r="I84" s="1162">
        <v>60111</v>
      </c>
      <c r="J84" s="1759" t="s">
        <v>941</v>
      </c>
      <c r="K84" s="1195">
        <v>40179</v>
      </c>
      <c r="L84" s="1178" t="s">
        <v>1002</v>
      </c>
      <c r="M84" s="1181"/>
      <c r="N84" s="1204">
        <v>703724</v>
      </c>
      <c r="O84" s="1209" t="s">
        <v>1115</v>
      </c>
      <c r="P84" s="1136"/>
      <c r="Q84" s="1119"/>
    </row>
    <row r="85" spans="1:17" x14ac:dyDescent="0.2">
      <c r="A85" s="1213">
        <v>62300</v>
      </c>
      <c r="B85" s="1781">
        <v>144</v>
      </c>
      <c r="C85" s="1782">
        <v>40544</v>
      </c>
      <c r="D85" s="1178" t="s">
        <v>1003</v>
      </c>
      <c r="E85" s="1181"/>
      <c r="F85" s="1189">
        <v>3664</v>
      </c>
      <c r="G85" s="1190" t="s">
        <v>1004</v>
      </c>
      <c r="H85" s="1770"/>
      <c r="I85" s="1162">
        <v>11023</v>
      </c>
      <c r="J85" s="1759" t="s">
        <v>941</v>
      </c>
      <c r="K85" s="1195">
        <v>40179</v>
      </c>
      <c r="L85" s="1201" t="s">
        <v>1005</v>
      </c>
      <c r="M85" s="1203"/>
      <c r="N85" s="1204">
        <v>4041309</v>
      </c>
      <c r="O85" s="1209" t="s">
        <v>1117</v>
      </c>
      <c r="P85" s="1136"/>
      <c r="Q85" s="1119"/>
    </row>
    <row r="86" spans="1:17" x14ac:dyDescent="0.2">
      <c r="A86" s="1162">
        <v>33410</v>
      </c>
      <c r="B86" s="1781">
        <v>145</v>
      </c>
      <c r="C86" s="1760">
        <v>40544</v>
      </c>
      <c r="D86" s="1178" t="s">
        <v>1006</v>
      </c>
      <c r="E86" s="1181"/>
      <c r="F86" s="1184">
        <v>15865</v>
      </c>
      <c r="G86" s="1214" t="s">
        <v>1007</v>
      </c>
      <c r="H86" s="1183"/>
      <c r="I86" s="1162">
        <v>11023</v>
      </c>
      <c r="J86" s="1759" t="s">
        <v>941</v>
      </c>
      <c r="K86" s="1195">
        <v>40179</v>
      </c>
      <c r="L86" s="1178" t="s">
        <v>1008</v>
      </c>
      <c r="M86" s="1181"/>
      <c r="N86" s="1204">
        <v>1065731</v>
      </c>
      <c r="O86" s="1209" t="s">
        <v>1117</v>
      </c>
      <c r="P86" s="1136"/>
      <c r="Q86" s="1119"/>
    </row>
    <row r="87" spans="1:17" ht="13.5" thickBot="1" x14ac:dyDescent="0.25">
      <c r="A87" s="1162">
        <v>39851</v>
      </c>
      <c r="B87" s="1781">
        <v>146</v>
      </c>
      <c r="C87" s="1760">
        <v>40544</v>
      </c>
      <c r="D87" s="1178" t="s">
        <v>1009</v>
      </c>
      <c r="E87" s="1181"/>
      <c r="F87" s="1184">
        <v>10577</v>
      </c>
      <c r="G87" s="1214" t="s">
        <v>1010</v>
      </c>
      <c r="H87" s="1770"/>
      <c r="I87" s="1162" t="s">
        <v>1011</v>
      </c>
      <c r="J87" s="1759" t="s">
        <v>941</v>
      </c>
      <c r="K87" s="1195">
        <v>40179</v>
      </c>
      <c r="L87" s="1201" t="s">
        <v>952</v>
      </c>
      <c r="M87" s="1203"/>
      <c r="N87" s="1204">
        <v>1649780</v>
      </c>
      <c r="O87" s="1209" t="s">
        <v>1115</v>
      </c>
      <c r="P87" s="1136"/>
      <c r="Q87" s="1119"/>
    </row>
    <row r="88" spans="1:17" ht="13.5" thickBot="1" x14ac:dyDescent="0.25">
      <c r="A88" s="1162"/>
      <c r="B88" s="1778"/>
      <c r="C88" s="1760"/>
      <c r="D88" s="1178"/>
      <c r="E88" s="1764"/>
      <c r="F88" s="1765"/>
      <c r="G88" s="1190"/>
      <c r="H88" s="1770"/>
      <c r="J88" s="1186" t="s">
        <v>154</v>
      </c>
      <c r="K88" s="1188"/>
      <c r="L88" s="1187"/>
      <c r="M88" s="1188"/>
      <c r="N88" s="1756">
        <f>SUM(N60:N87)</f>
        <v>13057577</v>
      </c>
      <c r="O88" s="1212"/>
      <c r="P88" s="1136"/>
      <c r="Q88" s="1119"/>
    </row>
    <row r="89" spans="1:17" ht="13.5" thickBot="1" x14ac:dyDescent="0.25">
      <c r="B89" s="1186" t="s">
        <v>1013</v>
      </c>
      <c r="C89" s="1188"/>
      <c r="D89" s="1187"/>
      <c r="E89" s="1188"/>
      <c r="F89" s="1215">
        <f>SUM(F66:F88)</f>
        <v>2850284</v>
      </c>
      <c r="G89" s="1183"/>
      <c r="H89" s="1770"/>
      <c r="J89" s="1216" t="s">
        <v>153</v>
      </c>
      <c r="K89" s="1216"/>
      <c r="L89" s="1216"/>
      <c r="M89" s="1217"/>
      <c r="N89" s="1771">
        <f>N88/12</f>
        <v>1088131.4166666667</v>
      </c>
      <c r="O89" s="1212"/>
      <c r="P89" s="1136"/>
      <c r="Q89" s="1119"/>
    </row>
    <row r="90" spans="1:17" x14ac:dyDescent="0.2">
      <c r="C90" s="1183"/>
      <c r="D90" s="1183"/>
      <c r="E90" s="1183"/>
      <c r="F90" s="1183"/>
      <c r="G90" s="1183"/>
      <c r="H90" s="1183"/>
      <c r="L90" s="1192"/>
      <c r="M90" s="1218"/>
      <c r="N90" s="1218"/>
      <c r="O90" s="1212"/>
      <c r="P90" s="1136"/>
      <c r="Q90" s="1119"/>
    </row>
    <row r="91" spans="1:17" x14ac:dyDescent="0.2">
      <c r="C91" s="1183"/>
      <c r="D91" s="1183"/>
      <c r="E91" s="1183"/>
      <c r="F91" s="1183"/>
      <c r="G91" s="1183"/>
      <c r="H91" s="1183"/>
      <c r="L91" s="1192"/>
      <c r="M91" s="1218"/>
      <c r="N91" s="1218"/>
      <c r="O91" s="1183"/>
      <c r="P91" s="1136"/>
      <c r="Q91" s="1119"/>
    </row>
    <row r="92" spans="1:17" x14ac:dyDescent="0.2">
      <c r="C92" s="1183"/>
      <c r="D92" s="1183"/>
      <c r="E92" s="1183"/>
      <c r="F92" s="1183"/>
      <c r="G92" s="1183"/>
      <c r="H92" s="1183"/>
      <c r="L92" s="1192"/>
      <c r="M92" s="1218"/>
      <c r="N92" s="1218"/>
      <c r="O92" s="1219"/>
      <c r="P92" s="1136"/>
      <c r="Q92" s="1119"/>
    </row>
    <row r="93" spans="1:17" x14ac:dyDescent="0.2">
      <c r="C93" s="1183"/>
      <c r="D93" s="1183"/>
      <c r="E93" s="1183"/>
      <c r="F93" s="1183"/>
      <c r="G93" s="1183"/>
      <c r="L93" s="1192"/>
      <c r="M93" s="1218"/>
      <c r="N93" s="1218"/>
      <c r="O93" s="1219"/>
      <c r="P93" s="1136"/>
      <c r="Q93" s="1119"/>
    </row>
    <row r="94" spans="1:17" x14ac:dyDescent="0.2">
      <c r="C94" s="1183"/>
      <c r="D94" s="1183"/>
      <c r="E94" s="1183"/>
      <c r="F94" s="1183"/>
      <c r="G94" s="1183"/>
      <c r="L94" s="1192"/>
      <c r="M94" s="1218"/>
      <c r="N94" s="1218"/>
      <c r="O94" s="1212"/>
      <c r="P94" s="1136"/>
      <c r="Q94" s="1119"/>
    </row>
    <row r="95" spans="1:17" x14ac:dyDescent="0.2">
      <c r="C95" s="1183"/>
      <c r="D95" s="1183"/>
      <c r="E95" s="1183"/>
      <c r="F95" s="1183"/>
      <c r="G95" s="1183"/>
      <c r="L95" s="1192"/>
      <c r="M95" s="1218"/>
      <c r="N95" s="1218"/>
      <c r="O95" s="1183"/>
      <c r="P95" s="1136"/>
      <c r="Q95" s="1119"/>
    </row>
    <row r="96" spans="1:17" x14ac:dyDescent="0.2">
      <c r="C96" s="1183"/>
      <c r="D96" s="1183"/>
      <c r="L96" s="1192"/>
      <c r="M96" s="1218"/>
      <c r="N96" s="1218"/>
    </row>
    <row r="97" spans="1:14" x14ac:dyDescent="0.2">
      <c r="A97" s="1220" t="s">
        <v>1014</v>
      </c>
      <c r="B97" s="1124" t="s">
        <v>863</v>
      </c>
      <c r="C97" s="1124" t="s">
        <v>864</v>
      </c>
      <c r="D97" s="1124" t="s">
        <v>865</v>
      </c>
      <c r="E97" s="1124" t="s">
        <v>866</v>
      </c>
      <c r="F97" s="1124" t="s">
        <v>867</v>
      </c>
      <c r="G97" s="1124" t="s">
        <v>868</v>
      </c>
      <c r="H97" s="1124" t="s">
        <v>857</v>
      </c>
      <c r="I97" s="1124" t="s">
        <v>858</v>
      </c>
      <c r="J97" s="1124" t="s">
        <v>859</v>
      </c>
      <c r="K97" s="1124" t="s">
        <v>860</v>
      </c>
      <c r="L97" s="1124" t="s">
        <v>861</v>
      </c>
      <c r="M97" s="1124" t="s">
        <v>862</v>
      </c>
      <c r="N97" s="1120"/>
    </row>
    <row r="98" spans="1:14" x14ac:dyDescent="0.2">
      <c r="A98" s="1123" t="s">
        <v>1015</v>
      </c>
      <c r="B98" s="1221"/>
      <c r="C98" s="1221"/>
      <c r="D98" s="1221"/>
      <c r="E98" s="1221"/>
      <c r="F98" s="1221"/>
      <c r="G98" s="1221"/>
      <c r="H98" s="1221"/>
      <c r="I98" s="1221"/>
      <c r="J98" s="1221"/>
      <c r="K98" s="1221"/>
      <c r="L98" s="1221"/>
      <c r="M98" s="1221"/>
      <c r="N98" s="1222">
        <f>SUM(B98:M98)</f>
        <v>0</v>
      </c>
    </row>
    <row r="99" spans="1:14" ht="13.5" thickBot="1" x14ac:dyDescent="0.25">
      <c r="A99" s="1139" t="s">
        <v>1016</v>
      </c>
      <c r="B99" s="1223">
        <f>N89</f>
        <v>1088131.4166666667</v>
      </c>
      <c r="C99" s="1223">
        <f>N89</f>
        <v>1088131.4166666667</v>
      </c>
      <c r="D99" s="1223">
        <f>N89</f>
        <v>1088131.4166666667</v>
      </c>
      <c r="E99" s="1223">
        <f>N89</f>
        <v>1088131.4166666667</v>
      </c>
      <c r="F99" s="1223">
        <f>N89</f>
        <v>1088131.4166666667</v>
      </c>
      <c r="G99" s="1223">
        <f>N89</f>
        <v>1088131.4166666667</v>
      </c>
      <c r="H99" s="1223">
        <f>N89</f>
        <v>1088131.4166666667</v>
      </c>
      <c r="I99" s="1223">
        <f>N89</f>
        <v>1088131.4166666667</v>
      </c>
      <c r="J99" s="1223">
        <f>N89</f>
        <v>1088131.4166666667</v>
      </c>
      <c r="K99" s="1223">
        <f>N89</f>
        <v>1088131.4166666667</v>
      </c>
      <c r="L99" s="1223">
        <f>N89</f>
        <v>1088131.4166666667</v>
      </c>
      <c r="M99" s="1223">
        <f>N89</f>
        <v>1088131.4166666667</v>
      </c>
      <c r="N99" s="1224">
        <f>SUM(B99:M99)</f>
        <v>13057576.999999998</v>
      </c>
    </row>
    <row r="100" spans="1:14" ht="13.5" thickBot="1" x14ac:dyDescent="0.25">
      <c r="A100" s="1225" t="s">
        <v>1017</v>
      </c>
      <c r="B100" s="1226">
        <f t="shared" ref="B100:N100" si="13">SUM(B98:B99)</f>
        <v>1088131.4166666667</v>
      </c>
      <c r="C100" s="1226">
        <f t="shared" si="13"/>
        <v>1088131.4166666667</v>
      </c>
      <c r="D100" s="1226">
        <f t="shared" si="13"/>
        <v>1088131.4166666667</v>
      </c>
      <c r="E100" s="1226">
        <f t="shared" si="13"/>
        <v>1088131.4166666667</v>
      </c>
      <c r="F100" s="1226">
        <f t="shared" si="13"/>
        <v>1088131.4166666667</v>
      </c>
      <c r="G100" s="1226">
        <f t="shared" si="13"/>
        <v>1088131.4166666667</v>
      </c>
      <c r="H100" s="1226">
        <f t="shared" si="13"/>
        <v>1088131.4166666667</v>
      </c>
      <c r="I100" s="1226">
        <f t="shared" si="13"/>
        <v>1088131.4166666667</v>
      </c>
      <c r="J100" s="1226">
        <f t="shared" si="13"/>
        <v>1088131.4166666667</v>
      </c>
      <c r="K100" s="1226">
        <f t="shared" si="13"/>
        <v>1088131.4166666667</v>
      </c>
      <c r="L100" s="1226">
        <f t="shared" si="13"/>
        <v>1088131.4166666667</v>
      </c>
      <c r="M100" s="1226">
        <f t="shared" si="13"/>
        <v>1088131.4166666667</v>
      </c>
      <c r="N100" s="1227">
        <f t="shared" si="13"/>
        <v>13057576.999999998</v>
      </c>
    </row>
    <row r="101" spans="1:14" x14ac:dyDescent="0.2">
      <c r="A101" s="1228" t="s">
        <v>1018</v>
      </c>
      <c r="B101" s="1229">
        <v>3550</v>
      </c>
      <c r="C101" s="1229">
        <v>2712</v>
      </c>
      <c r="D101" s="1229">
        <v>5950</v>
      </c>
      <c r="E101" s="1229">
        <v>5075</v>
      </c>
      <c r="F101" s="1229">
        <v>4175</v>
      </c>
      <c r="G101" s="1230">
        <v>3675</v>
      </c>
      <c r="H101" s="1229">
        <v>2800</v>
      </c>
      <c r="I101" s="1229">
        <v>3150</v>
      </c>
      <c r="J101" s="1229">
        <v>1575</v>
      </c>
      <c r="K101" s="1229">
        <v>3675</v>
      </c>
      <c r="L101" s="1229">
        <v>3937</v>
      </c>
      <c r="M101" s="1229">
        <v>7875</v>
      </c>
      <c r="N101" s="1229">
        <f t="shared" ref="N101:N106" si="14">SUM(B101:M101)</f>
        <v>48149</v>
      </c>
    </row>
    <row r="102" spans="1:14" x14ac:dyDescent="0.2">
      <c r="A102" s="1120" t="s">
        <v>1019</v>
      </c>
      <c r="B102" s="1222">
        <v>156690</v>
      </c>
      <c r="C102" s="1222">
        <v>158800</v>
      </c>
      <c r="D102" s="1222">
        <v>159275</v>
      </c>
      <c r="E102" s="1222">
        <v>245300</v>
      </c>
      <c r="F102" s="1222">
        <v>180595</v>
      </c>
      <c r="G102" s="1231">
        <v>218637</v>
      </c>
      <c r="H102" s="1222">
        <v>271600</v>
      </c>
      <c r="I102" s="1222">
        <v>169675</v>
      </c>
      <c r="J102" s="1222">
        <v>227225</v>
      </c>
      <c r="K102" s="1222">
        <v>183575</v>
      </c>
      <c r="L102" s="1222">
        <v>171250</v>
      </c>
      <c r="M102" s="1222">
        <v>155575</v>
      </c>
      <c r="N102" s="1229">
        <f t="shared" si="14"/>
        <v>2298197</v>
      </c>
    </row>
    <row r="103" spans="1:14" x14ac:dyDescent="0.2">
      <c r="A103" s="1120" t="s">
        <v>1020</v>
      </c>
      <c r="B103" s="1222">
        <v>45036</v>
      </c>
      <c r="C103" s="1222">
        <v>26304</v>
      </c>
      <c r="D103" s="1222">
        <v>50239</v>
      </c>
      <c r="E103" s="1222">
        <v>37697</v>
      </c>
      <c r="F103" s="1222">
        <v>26092</v>
      </c>
      <c r="G103" s="1231">
        <v>25392</v>
      </c>
      <c r="H103" s="1222">
        <v>26642</v>
      </c>
      <c r="I103" s="1222">
        <v>27442</v>
      </c>
      <c r="J103" s="1222">
        <v>25392</v>
      </c>
      <c r="K103" s="1222">
        <v>26092</v>
      </c>
      <c r="L103" s="1222">
        <v>26092</v>
      </c>
      <c r="M103" s="1222">
        <v>26092</v>
      </c>
      <c r="N103" s="1229">
        <f t="shared" si="14"/>
        <v>368512</v>
      </c>
    </row>
    <row r="104" spans="1:14" x14ac:dyDescent="0.2">
      <c r="A104" s="1120" t="s">
        <v>1021</v>
      </c>
      <c r="B104" s="1222">
        <v>147667.5</v>
      </c>
      <c r="C104" s="1221">
        <v>180556.25</v>
      </c>
      <c r="D104" s="1221">
        <v>74900</v>
      </c>
      <c r="E104" s="1232">
        <v>39225</v>
      </c>
      <c r="F104" s="1221">
        <v>99688.25</v>
      </c>
      <c r="G104" s="1221">
        <v>12662.5</v>
      </c>
      <c r="H104" s="1221">
        <v>18587.5</v>
      </c>
      <c r="I104" s="1221">
        <v>209287.5</v>
      </c>
      <c r="J104" s="1221">
        <v>55000</v>
      </c>
      <c r="K104" s="1221">
        <v>189900</v>
      </c>
      <c r="L104" s="1221">
        <v>47887.5</v>
      </c>
      <c r="M104" s="1221">
        <v>82175</v>
      </c>
      <c r="N104" s="1229">
        <f t="shared" si="14"/>
        <v>1157537</v>
      </c>
    </row>
    <row r="105" spans="1:14" x14ac:dyDescent="0.2">
      <c r="A105" s="1120" t="s">
        <v>1022</v>
      </c>
      <c r="B105" s="1222">
        <v>1775</v>
      </c>
      <c r="C105" s="1221">
        <v>325</v>
      </c>
      <c r="D105" s="1221">
        <v>775</v>
      </c>
      <c r="E105" s="1221"/>
      <c r="F105" s="1221">
        <v>550</v>
      </c>
      <c r="G105" s="1221">
        <v>600</v>
      </c>
      <c r="H105" s="1221">
        <v>100</v>
      </c>
      <c r="I105" s="1221">
        <v>1775</v>
      </c>
      <c r="J105" s="1221">
        <v>425</v>
      </c>
      <c r="K105" s="1221">
        <v>350</v>
      </c>
      <c r="L105" s="1221">
        <v>4450</v>
      </c>
      <c r="M105" s="1221">
        <v>3600</v>
      </c>
      <c r="N105" s="1229">
        <f t="shared" si="14"/>
        <v>14725</v>
      </c>
    </row>
    <row r="106" spans="1:14" x14ac:dyDescent="0.2">
      <c r="A106" s="1120" t="s">
        <v>1118</v>
      </c>
      <c r="B106" s="1222">
        <v>10</v>
      </c>
      <c r="C106" s="1221">
        <v>9</v>
      </c>
      <c r="D106" s="1221">
        <v>21</v>
      </c>
      <c r="E106" s="1221">
        <v>13</v>
      </c>
      <c r="F106" s="1221">
        <v>25</v>
      </c>
      <c r="G106" s="1221">
        <v>19</v>
      </c>
      <c r="H106" s="1221"/>
      <c r="I106" s="1221">
        <v>11</v>
      </c>
      <c r="J106" s="1221">
        <v>27</v>
      </c>
      <c r="K106" s="1221">
        <v>21</v>
      </c>
      <c r="L106" s="1221">
        <v>40</v>
      </c>
      <c r="M106" s="1221">
        <v>6</v>
      </c>
      <c r="N106" s="1229">
        <f t="shared" si="14"/>
        <v>202</v>
      </c>
    </row>
    <row r="107" spans="1:14" x14ac:dyDescent="0.2">
      <c r="A107" s="1120" t="s">
        <v>1119</v>
      </c>
      <c r="B107" s="1222"/>
      <c r="C107" s="1221"/>
      <c r="D107" s="1221"/>
      <c r="E107" s="1221"/>
      <c r="F107" s="1221"/>
      <c r="G107" s="1221"/>
      <c r="H107" s="1221"/>
      <c r="I107" s="1221"/>
      <c r="J107" s="1221"/>
      <c r="K107" s="1221"/>
      <c r="L107" s="1221"/>
      <c r="M107" s="1221"/>
      <c r="N107" s="1229">
        <v>112</v>
      </c>
    </row>
    <row r="108" spans="1:14" x14ac:dyDescent="0.2">
      <c r="A108" s="1120" t="s">
        <v>1120</v>
      </c>
      <c r="B108" s="1222">
        <v>7250</v>
      </c>
      <c r="C108" s="1221">
        <v>14140</v>
      </c>
      <c r="D108" s="1221">
        <v>25860</v>
      </c>
      <c r="E108" s="1221">
        <v>26660</v>
      </c>
      <c r="F108" s="1221">
        <v>54570</v>
      </c>
      <c r="G108" s="1221">
        <v>33300</v>
      </c>
      <c r="H108" s="1221"/>
      <c r="I108" s="1221">
        <v>25635</v>
      </c>
      <c r="J108" s="1221">
        <v>58110</v>
      </c>
      <c r="K108" s="1221">
        <v>31965</v>
      </c>
      <c r="L108" s="1221">
        <v>58720</v>
      </c>
      <c r="M108" s="1221">
        <v>24960</v>
      </c>
      <c r="N108" s="1222">
        <f>SUM(B108:M108)</f>
        <v>361170</v>
      </c>
    </row>
    <row r="109" spans="1:14" x14ac:dyDescent="0.2">
      <c r="A109" s="1120" t="s">
        <v>1027</v>
      </c>
      <c r="B109" s="1222"/>
      <c r="C109" s="1221"/>
      <c r="D109" s="1221"/>
      <c r="E109" s="1221"/>
      <c r="F109" s="1221"/>
      <c r="G109" s="1221"/>
      <c r="H109" s="1221"/>
      <c r="I109" s="1221"/>
      <c r="J109" s="1221">
        <v>89125</v>
      </c>
      <c r="K109" s="1221"/>
      <c r="L109" s="1221"/>
      <c r="M109" s="1221"/>
      <c r="N109" s="1222">
        <f>SUM(B109:M109)</f>
        <v>89125</v>
      </c>
    </row>
    <row r="110" spans="1:14" ht="13.5" thickBot="1" x14ac:dyDescent="0.25">
      <c r="A110" s="1233" t="s">
        <v>1028</v>
      </c>
      <c r="B110" s="1234">
        <f t="shared" ref="B110:N110" si="15">SUM(B101:B109)</f>
        <v>361978.5</v>
      </c>
      <c r="C110" s="1234">
        <f t="shared" si="15"/>
        <v>382846.25</v>
      </c>
      <c r="D110" s="1234">
        <f t="shared" si="15"/>
        <v>317020</v>
      </c>
      <c r="E110" s="1234">
        <f t="shared" si="15"/>
        <v>353970</v>
      </c>
      <c r="F110" s="1234">
        <f t="shared" si="15"/>
        <v>365695.25</v>
      </c>
      <c r="G110" s="1234">
        <f t="shared" si="15"/>
        <v>294285.5</v>
      </c>
      <c r="H110" s="1234">
        <f t="shared" si="15"/>
        <v>319729.5</v>
      </c>
      <c r="I110" s="1234">
        <f t="shared" si="15"/>
        <v>436975.5</v>
      </c>
      <c r="J110" s="1234">
        <f t="shared" si="15"/>
        <v>456879</v>
      </c>
      <c r="K110" s="1234">
        <f t="shared" si="15"/>
        <v>435578</v>
      </c>
      <c r="L110" s="1234">
        <f t="shared" si="15"/>
        <v>312376.5</v>
      </c>
      <c r="M110" s="1234">
        <f t="shared" si="15"/>
        <v>300283</v>
      </c>
      <c r="N110" s="1234">
        <f t="shared" si="15"/>
        <v>4337729</v>
      </c>
    </row>
    <row r="111" spans="1:14" x14ac:dyDescent="0.2">
      <c r="A111" s="1228" t="s">
        <v>1029</v>
      </c>
      <c r="B111" s="1235" t="s">
        <v>1121</v>
      </c>
      <c r="C111" s="1236">
        <v>19150</v>
      </c>
      <c r="D111" s="1236"/>
      <c r="E111" s="1236">
        <v>6498</v>
      </c>
      <c r="F111" s="1236">
        <v>50883.34</v>
      </c>
      <c r="G111" s="1236"/>
      <c r="H111" s="1236"/>
      <c r="I111" s="1236"/>
      <c r="J111" s="1236"/>
      <c r="K111" s="1236">
        <v>24248.2</v>
      </c>
      <c r="L111" s="1236"/>
      <c r="M111" s="1236">
        <v>23746</v>
      </c>
      <c r="N111" s="1229">
        <f>SUM(B111:M111)</f>
        <v>124525.54</v>
      </c>
    </row>
    <row r="112" spans="1:14" x14ac:dyDescent="0.2">
      <c r="A112" s="1237" t="s">
        <v>1030</v>
      </c>
      <c r="B112" s="1238">
        <f t="shared" ref="B112:N112" si="16">SUM(B100,B110,B111)</f>
        <v>1450109.9166666667</v>
      </c>
      <c r="C112" s="1238">
        <f t="shared" si="16"/>
        <v>1490127.6666666667</v>
      </c>
      <c r="D112" s="1238">
        <f t="shared" si="16"/>
        <v>1405151.4166666667</v>
      </c>
      <c r="E112" s="1238">
        <f t="shared" si="16"/>
        <v>1448599.4166666667</v>
      </c>
      <c r="F112" s="1238">
        <f t="shared" si="16"/>
        <v>1504710.0066666668</v>
      </c>
      <c r="G112" s="1238">
        <f t="shared" si="16"/>
        <v>1382416.9166666667</v>
      </c>
      <c r="H112" s="1238">
        <f t="shared" si="16"/>
        <v>1407860.9166666667</v>
      </c>
      <c r="I112" s="1238">
        <f t="shared" si="16"/>
        <v>1525106.9166666667</v>
      </c>
      <c r="J112" s="1238">
        <f t="shared" si="16"/>
        <v>1545010.4166666667</v>
      </c>
      <c r="K112" s="1238">
        <f t="shared" si="16"/>
        <v>1547957.6166666667</v>
      </c>
      <c r="L112" s="1238">
        <f t="shared" si="16"/>
        <v>1400507.9166666667</v>
      </c>
      <c r="M112" s="1238">
        <f t="shared" si="16"/>
        <v>1412160.4166666667</v>
      </c>
      <c r="N112" s="1238">
        <f t="shared" si="16"/>
        <v>17519831.539999999</v>
      </c>
    </row>
    <row r="113" spans="1:14" x14ac:dyDescent="0.2">
      <c r="A113" s="1239" t="s">
        <v>1031</v>
      </c>
      <c r="B113" s="1223">
        <v>1356361.31</v>
      </c>
      <c r="C113" s="1223">
        <v>1459863</v>
      </c>
      <c r="D113" s="1223">
        <v>1240208</v>
      </c>
      <c r="E113" s="1223">
        <v>1541509</v>
      </c>
      <c r="F113" s="1223">
        <v>1501129</v>
      </c>
      <c r="G113" s="1223">
        <v>1318965</v>
      </c>
      <c r="H113" s="1223">
        <v>1333191</v>
      </c>
      <c r="I113" s="1223">
        <v>1213285</v>
      </c>
      <c r="J113" s="1223">
        <v>1404274</v>
      </c>
      <c r="K113" s="1223">
        <v>1302418</v>
      </c>
      <c r="L113" s="1223">
        <v>1370012</v>
      </c>
      <c r="M113" s="1223">
        <v>1312413</v>
      </c>
      <c r="N113" s="1240">
        <f>SUM(B113:M113)</f>
        <v>16353628.310000001</v>
      </c>
    </row>
    <row r="114" spans="1:14" ht="13.5" thickBot="1" x14ac:dyDescent="0.25">
      <c r="A114" s="1241" t="s">
        <v>1032</v>
      </c>
      <c r="B114" s="1223">
        <v>10000</v>
      </c>
      <c r="C114" s="1223">
        <v>10000</v>
      </c>
      <c r="D114" s="1223">
        <v>10000</v>
      </c>
      <c r="E114" s="1223">
        <v>10000</v>
      </c>
      <c r="F114" s="1223">
        <v>10000</v>
      </c>
      <c r="G114" s="1223">
        <v>10000</v>
      </c>
      <c r="H114" s="1223">
        <v>10000</v>
      </c>
      <c r="I114" s="1223">
        <v>10000</v>
      </c>
      <c r="J114" s="1223">
        <v>10000</v>
      </c>
      <c r="K114" s="1223">
        <v>10000</v>
      </c>
      <c r="L114" s="1223">
        <v>10000</v>
      </c>
      <c r="M114" s="1223">
        <v>10000</v>
      </c>
      <c r="N114" s="1223">
        <f>SUM(B114:M114)</f>
        <v>120000</v>
      </c>
    </row>
    <row r="115" spans="1:14" ht="13.5" thickBot="1" x14ac:dyDescent="0.25">
      <c r="A115" s="1242" t="s">
        <v>1033</v>
      </c>
      <c r="B115" s="1243">
        <f t="shared" ref="B115:N115" si="17">SUM(B112-B113-B114)</f>
        <v>83748.606666666688</v>
      </c>
      <c r="C115" s="1243">
        <f t="shared" si="17"/>
        <v>20264.666666666744</v>
      </c>
      <c r="D115" s="1243">
        <f t="shared" si="17"/>
        <v>154943.41666666674</v>
      </c>
      <c r="E115" s="1243">
        <f t="shared" si="17"/>
        <v>-102909.58333333326</v>
      </c>
      <c r="F115" s="1243">
        <f t="shared" si="17"/>
        <v>-6418.9933333331719</v>
      </c>
      <c r="G115" s="1243">
        <f t="shared" si="17"/>
        <v>53451.916666666744</v>
      </c>
      <c r="H115" s="1243">
        <f t="shared" si="17"/>
        <v>64669.916666666744</v>
      </c>
      <c r="I115" s="1243">
        <f t="shared" si="17"/>
        <v>301821.91666666674</v>
      </c>
      <c r="J115" s="1243">
        <f t="shared" si="17"/>
        <v>130736.41666666674</v>
      </c>
      <c r="K115" s="1243">
        <f t="shared" si="17"/>
        <v>235539.6166666667</v>
      </c>
      <c r="L115" s="1243">
        <f t="shared" si="17"/>
        <v>20495.916666666744</v>
      </c>
      <c r="M115" s="1243">
        <f t="shared" si="17"/>
        <v>89747.416666666744</v>
      </c>
      <c r="N115" s="1243">
        <f t="shared" si="17"/>
        <v>1046203.2299999986</v>
      </c>
    </row>
    <row r="116" spans="1:14" ht="13.5" thickBot="1" x14ac:dyDescent="0.25">
      <c r="A116" s="1244"/>
      <c r="B116" s="1245"/>
      <c r="C116" s="1245"/>
      <c r="D116" s="1245"/>
      <c r="E116" s="1245"/>
      <c r="F116" s="1245"/>
      <c r="G116" s="1245"/>
      <c r="H116" s="1245"/>
      <c r="I116" s="1245"/>
      <c r="J116" s="1245"/>
      <c r="K116" s="1245"/>
      <c r="L116" s="1245"/>
      <c r="M116" s="1245"/>
      <c r="N116" s="1245"/>
    </row>
    <row r="117" spans="1:14" ht="20.25" x14ac:dyDescent="0.3">
      <c r="A117" s="1794" t="s">
        <v>1122</v>
      </c>
      <c r="B117" s="1794"/>
      <c r="C117" s="1794"/>
      <c r="D117" s="1794"/>
      <c r="E117" s="1794"/>
      <c r="F117" s="1794"/>
      <c r="G117" s="1794"/>
      <c r="H117" s="1794"/>
      <c r="I117" s="1794"/>
      <c r="J117" s="1794"/>
      <c r="K117" s="1794"/>
      <c r="L117" s="1794"/>
      <c r="M117" s="1794"/>
      <c r="N117" s="1794"/>
    </row>
    <row r="118" spans="1:14" x14ac:dyDescent="0.2">
      <c r="A118" s="1119"/>
      <c r="B118" s="1119"/>
      <c r="C118" s="1119"/>
      <c r="D118" s="1119"/>
      <c r="E118" s="1119"/>
      <c r="F118" s="1119"/>
      <c r="G118" s="1119"/>
      <c r="H118" s="1119"/>
      <c r="I118" s="1119"/>
      <c r="J118" s="1119"/>
      <c r="K118" s="1119"/>
      <c r="L118" s="1119"/>
      <c r="M118" s="1119"/>
    </row>
    <row r="119" spans="1:14" x14ac:dyDescent="0.2">
      <c r="A119" s="1120"/>
      <c r="B119" s="1121" t="s">
        <v>863</v>
      </c>
      <c r="C119" s="1121" t="s">
        <v>864</v>
      </c>
      <c r="D119" s="1122" t="s">
        <v>865</v>
      </c>
      <c r="E119" s="1121" t="s">
        <v>866</v>
      </c>
      <c r="F119" s="1121" t="s">
        <v>867</v>
      </c>
      <c r="G119" s="1122" t="s">
        <v>868</v>
      </c>
      <c r="H119" s="1121" t="s">
        <v>857</v>
      </c>
      <c r="I119" s="1121" t="s">
        <v>858</v>
      </c>
      <c r="J119" s="1121" t="s">
        <v>859</v>
      </c>
      <c r="K119" s="1121" t="s">
        <v>860</v>
      </c>
      <c r="L119" s="1121" t="s">
        <v>861</v>
      </c>
      <c r="M119" s="1121" t="s">
        <v>862</v>
      </c>
      <c r="N119" s="1120" t="s">
        <v>137</v>
      </c>
    </row>
    <row r="120" spans="1:14" x14ac:dyDescent="0.2">
      <c r="A120" s="1123" t="s">
        <v>332</v>
      </c>
      <c r="B120" s="1124">
        <v>2886</v>
      </c>
      <c r="C120" s="1124">
        <v>2886</v>
      </c>
      <c r="D120" s="1124">
        <v>2886</v>
      </c>
      <c r="E120" s="1124">
        <v>2886</v>
      </c>
      <c r="F120" s="1124">
        <v>2886</v>
      </c>
      <c r="G120" s="1124">
        <v>2886</v>
      </c>
      <c r="H120" s="1124">
        <v>2886</v>
      </c>
      <c r="I120" s="1124">
        <v>2886</v>
      </c>
      <c r="J120" s="1124">
        <v>2886</v>
      </c>
      <c r="K120" s="1124">
        <v>2886</v>
      </c>
      <c r="L120" s="1124">
        <v>2886</v>
      </c>
      <c r="M120" s="1124">
        <v>2886</v>
      </c>
      <c r="N120" s="1124">
        <f t="shared" ref="N120:N131" si="18">SUM(B120:M120)</f>
        <v>34632</v>
      </c>
    </row>
    <row r="121" spans="1:14" x14ac:dyDescent="0.2">
      <c r="A121" s="1123" t="s">
        <v>893</v>
      </c>
      <c r="B121" s="1124"/>
      <c r="C121" s="1124">
        <v>6.5</v>
      </c>
      <c r="D121" s="1124"/>
      <c r="E121" s="1124"/>
      <c r="F121" s="1124"/>
      <c r="G121" s="1125"/>
      <c r="H121" s="1124"/>
      <c r="I121" s="1124"/>
      <c r="J121" s="1126"/>
      <c r="K121" s="1124"/>
      <c r="L121" s="1124"/>
      <c r="M121" s="1124"/>
      <c r="N121" s="1124">
        <f t="shared" si="18"/>
        <v>6.5</v>
      </c>
    </row>
    <row r="122" spans="1:14" x14ac:dyDescent="0.2">
      <c r="A122" s="1123" t="s">
        <v>1035</v>
      </c>
      <c r="B122" s="1124"/>
      <c r="C122" s="1124"/>
      <c r="D122" s="1124"/>
      <c r="E122" s="1124"/>
      <c r="F122" s="1124"/>
      <c r="G122" s="1125"/>
      <c r="H122" s="1124"/>
      <c r="I122" s="1124"/>
      <c r="J122" s="1124"/>
      <c r="K122" s="1124"/>
      <c r="L122" s="1124"/>
      <c r="M122" s="1120"/>
      <c r="N122" s="1124">
        <f t="shared" si="18"/>
        <v>0</v>
      </c>
    </row>
    <row r="123" spans="1:14" x14ac:dyDescent="0.2">
      <c r="A123" s="1123" t="s">
        <v>896</v>
      </c>
      <c r="B123" s="1124">
        <v>148</v>
      </c>
      <c r="C123" s="1124">
        <v>185</v>
      </c>
      <c r="D123" s="1124">
        <v>112.75</v>
      </c>
      <c r="E123" s="1124">
        <v>226.5</v>
      </c>
      <c r="F123" s="1124">
        <v>102.5</v>
      </c>
      <c r="G123" s="1125">
        <v>81.75</v>
      </c>
      <c r="H123" s="1124">
        <v>1529</v>
      </c>
      <c r="I123" s="1124">
        <v>518.5</v>
      </c>
      <c r="J123" s="1124">
        <v>37</v>
      </c>
      <c r="K123" s="1124">
        <v>148</v>
      </c>
      <c r="L123" s="1124">
        <v>89.5</v>
      </c>
      <c r="M123" s="1124">
        <v>301</v>
      </c>
      <c r="N123" s="1124">
        <f t="shared" si="18"/>
        <v>3479.5</v>
      </c>
    </row>
    <row r="124" spans="1:14" x14ac:dyDescent="0.2">
      <c r="A124" s="1123" t="s">
        <v>897</v>
      </c>
      <c r="B124" s="1124"/>
      <c r="C124" s="1124">
        <v>37</v>
      </c>
      <c r="D124" s="1124"/>
      <c r="E124" s="1124">
        <v>69</v>
      </c>
      <c r="F124" s="1124"/>
      <c r="G124" s="1125"/>
      <c r="H124" s="1124"/>
      <c r="I124" s="1124">
        <v>6</v>
      </c>
      <c r="J124" s="1124"/>
      <c r="K124" s="1124">
        <v>29.25</v>
      </c>
      <c r="L124" s="1124">
        <v>7.75</v>
      </c>
      <c r="M124" s="1124">
        <v>74</v>
      </c>
      <c r="N124" s="1124">
        <f t="shared" si="18"/>
        <v>223</v>
      </c>
    </row>
    <row r="125" spans="1:14" x14ac:dyDescent="0.2">
      <c r="A125" s="1123" t="s">
        <v>898</v>
      </c>
      <c r="B125" s="1124">
        <v>27.5</v>
      </c>
      <c r="C125" s="1124">
        <v>68</v>
      </c>
      <c r="D125" s="1124">
        <v>23.25</v>
      </c>
      <c r="E125" s="1124">
        <v>44.75</v>
      </c>
      <c r="F125" s="1124">
        <v>23.25</v>
      </c>
      <c r="G125" s="1125">
        <v>140.25</v>
      </c>
      <c r="H125" s="1124">
        <v>37</v>
      </c>
      <c r="I125" s="1124">
        <v>111.5</v>
      </c>
      <c r="J125" s="1124">
        <v>42.25</v>
      </c>
      <c r="K125" s="1124">
        <v>58.5</v>
      </c>
      <c r="L125" s="1124">
        <v>37</v>
      </c>
      <c r="M125" s="1124">
        <v>290.25</v>
      </c>
      <c r="N125" s="1124">
        <f t="shared" si="18"/>
        <v>903.5</v>
      </c>
    </row>
    <row r="126" spans="1:14" x14ac:dyDescent="0.2">
      <c r="A126" s="1123" t="s">
        <v>899</v>
      </c>
      <c r="B126" s="1124">
        <v>7.75</v>
      </c>
      <c r="C126" s="1124"/>
      <c r="D126" s="1124">
        <v>7.75</v>
      </c>
      <c r="E126" s="1124"/>
      <c r="F126" s="1124"/>
      <c r="G126" s="1125"/>
      <c r="H126" s="1124">
        <v>6</v>
      </c>
      <c r="I126" s="1124"/>
      <c r="J126" s="1124"/>
      <c r="K126" s="1124"/>
      <c r="L126" s="1124"/>
      <c r="M126" s="1124">
        <v>7.75</v>
      </c>
      <c r="N126" s="1124">
        <f t="shared" si="18"/>
        <v>29.25</v>
      </c>
    </row>
    <row r="127" spans="1:14" x14ac:dyDescent="0.2">
      <c r="A127" s="1123" t="s">
        <v>900</v>
      </c>
      <c r="B127" s="1124">
        <v>42</v>
      </c>
      <c r="C127" s="1124">
        <v>146.25</v>
      </c>
      <c r="D127" s="1124">
        <v>12</v>
      </c>
      <c r="E127" s="1124">
        <v>49</v>
      </c>
      <c r="F127" s="1124">
        <v>52.5</v>
      </c>
      <c r="G127" s="1125">
        <v>104.75</v>
      </c>
      <c r="H127" s="1124">
        <v>49</v>
      </c>
      <c r="I127" s="1124">
        <v>44</v>
      </c>
      <c r="J127" s="1124">
        <v>137.5</v>
      </c>
      <c r="K127" s="1124">
        <v>171</v>
      </c>
      <c r="L127" s="1124">
        <v>64.5</v>
      </c>
      <c r="M127" s="1124">
        <v>222</v>
      </c>
      <c r="N127" s="1124">
        <f t="shared" si="18"/>
        <v>1094.5</v>
      </c>
    </row>
    <row r="128" spans="1:14" x14ac:dyDescent="0.2">
      <c r="A128" s="1123" t="s">
        <v>901</v>
      </c>
      <c r="B128" s="1124"/>
      <c r="C128" s="1124"/>
      <c r="D128" s="1124"/>
      <c r="E128" s="1124"/>
      <c r="F128" s="1124"/>
      <c r="G128" s="1125"/>
      <c r="H128" s="1124"/>
      <c r="I128" s="1124"/>
      <c r="J128" s="1124"/>
      <c r="K128" s="1124"/>
      <c r="L128" s="1124"/>
      <c r="M128" s="1124"/>
      <c r="N128" s="1124">
        <f t="shared" si="18"/>
        <v>0</v>
      </c>
    </row>
    <row r="129" spans="1:14" x14ac:dyDescent="0.2">
      <c r="A129" s="1123" t="s">
        <v>902</v>
      </c>
      <c r="B129" s="1124">
        <v>130</v>
      </c>
      <c r="C129" s="1124">
        <v>187.5</v>
      </c>
      <c r="D129" s="1124">
        <v>210.75</v>
      </c>
      <c r="E129" s="1124">
        <v>47.5</v>
      </c>
      <c r="F129" s="1124">
        <v>31.5</v>
      </c>
      <c r="G129" s="1125">
        <v>6</v>
      </c>
      <c r="H129" s="1124"/>
      <c r="I129" s="1124"/>
      <c r="J129" s="1124">
        <v>23.25</v>
      </c>
      <c r="K129" s="1124">
        <v>40.25</v>
      </c>
      <c r="L129" s="1124">
        <v>124</v>
      </c>
      <c r="M129" s="1124">
        <v>39.5</v>
      </c>
      <c r="N129" s="1124">
        <f t="shared" si="18"/>
        <v>840.25</v>
      </c>
    </row>
    <row r="130" spans="1:14" ht="13.5" thickBot="1" x14ac:dyDescent="0.25">
      <c r="A130" s="1127" t="s">
        <v>903</v>
      </c>
      <c r="B130" s="1128">
        <v>13.75</v>
      </c>
      <c r="C130" s="1128">
        <v>23.25</v>
      </c>
      <c r="D130" s="1128">
        <v>7.75</v>
      </c>
      <c r="E130" s="1128">
        <v>6</v>
      </c>
      <c r="F130" s="1128"/>
      <c r="G130" s="1129">
        <v>6</v>
      </c>
      <c r="H130" s="1128"/>
      <c r="I130" s="1128"/>
      <c r="J130" s="1128"/>
      <c r="K130" s="1128">
        <v>7.75</v>
      </c>
      <c r="L130" s="1128"/>
      <c r="M130" s="1128"/>
      <c r="N130" s="1130">
        <f t="shared" si="18"/>
        <v>64.5</v>
      </c>
    </row>
    <row r="131" spans="1:14" ht="13.5" thickBot="1" x14ac:dyDescent="0.25">
      <c r="A131" s="1131" t="s">
        <v>904</v>
      </c>
      <c r="B131" s="1132">
        <f t="shared" ref="B131:M131" si="19">SUM(B120+B121+B122-B123-B124-B125-B127-B128-B129-B130)</f>
        <v>2524.75</v>
      </c>
      <c r="C131" s="1132">
        <f t="shared" si="19"/>
        <v>2245.5</v>
      </c>
      <c r="D131" s="1132">
        <f t="shared" si="19"/>
        <v>2519.5</v>
      </c>
      <c r="E131" s="1132">
        <f t="shared" si="19"/>
        <v>2443.25</v>
      </c>
      <c r="F131" s="1132">
        <f t="shared" si="19"/>
        <v>2676.25</v>
      </c>
      <c r="G131" s="1246">
        <f t="shared" si="19"/>
        <v>2547.25</v>
      </c>
      <c r="H131" s="1132">
        <f t="shared" si="19"/>
        <v>1271</v>
      </c>
      <c r="I131" s="1132">
        <f t="shared" si="19"/>
        <v>2206</v>
      </c>
      <c r="J131" s="1132">
        <f t="shared" si="19"/>
        <v>2646</v>
      </c>
      <c r="K131" s="1132">
        <f t="shared" si="19"/>
        <v>2431.25</v>
      </c>
      <c r="L131" s="1132">
        <f t="shared" si="19"/>
        <v>2563.25</v>
      </c>
      <c r="M131" s="1133">
        <f t="shared" si="19"/>
        <v>1959.25</v>
      </c>
      <c r="N131" s="1134">
        <f t="shared" si="18"/>
        <v>28033.25</v>
      </c>
    </row>
    <row r="132" spans="1:14" x14ac:dyDescent="0.2">
      <c r="A132" s="1135"/>
      <c r="B132" s="1136"/>
      <c r="C132" s="1136"/>
      <c r="D132" s="1136"/>
      <c r="E132" s="1136"/>
      <c r="F132" s="1136"/>
      <c r="G132" s="1136"/>
      <c r="H132" s="1136"/>
      <c r="I132" s="1136"/>
      <c r="J132" s="1136"/>
      <c r="K132" s="1136"/>
      <c r="L132" s="1136"/>
      <c r="M132" s="1136"/>
      <c r="N132" s="1136"/>
    </row>
    <row r="133" spans="1:14" x14ac:dyDescent="0.2">
      <c r="A133" s="1135"/>
      <c r="B133" s="1136"/>
      <c r="C133" s="1136"/>
      <c r="D133" s="1136"/>
      <c r="E133" s="1136"/>
      <c r="F133" s="1136"/>
      <c r="G133" s="1136"/>
      <c r="H133" s="1136"/>
      <c r="I133" s="1136"/>
      <c r="J133" s="1136"/>
      <c r="K133" s="1136"/>
      <c r="L133" s="1136"/>
      <c r="M133" s="1136"/>
      <c r="N133" s="1137" t="s">
        <v>905</v>
      </c>
    </row>
    <row r="134" spans="1:14" x14ac:dyDescent="0.2">
      <c r="A134" s="1123" t="s">
        <v>906</v>
      </c>
      <c r="B134" s="1124">
        <f t="shared" ref="B134:M134" si="20">SUM(B121*100/B131)</f>
        <v>0</v>
      </c>
      <c r="C134" s="1124">
        <f t="shared" si="20"/>
        <v>0.28946782453796482</v>
      </c>
      <c r="D134" s="1124">
        <f t="shared" si="20"/>
        <v>0</v>
      </c>
      <c r="E134" s="1124">
        <f t="shared" si="20"/>
        <v>0</v>
      </c>
      <c r="F134" s="1124">
        <f t="shared" si="20"/>
        <v>0</v>
      </c>
      <c r="G134" s="1124">
        <f t="shared" si="20"/>
        <v>0</v>
      </c>
      <c r="H134" s="1124">
        <f t="shared" si="20"/>
        <v>0</v>
      </c>
      <c r="I134" s="1124">
        <f t="shared" si="20"/>
        <v>0</v>
      </c>
      <c r="J134" s="1124">
        <f t="shared" si="20"/>
        <v>0</v>
      </c>
      <c r="K134" s="1124">
        <f t="shared" si="20"/>
        <v>0</v>
      </c>
      <c r="L134" s="1124">
        <f t="shared" si="20"/>
        <v>0</v>
      </c>
      <c r="M134" s="1124">
        <f t="shared" si="20"/>
        <v>0</v>
      </c>
      <c r="N134" s="1138">
        <f>SUM(B134:M134)/12</f>
        <v>2.412231871149707E-2</v>
      </c>
    </row>
    <row r="135" spans="1:14" x14ac:dyDescent="0.2">
      <c r="A135" s="1135"/>
      <c r="B135" s="1136"/>
      <c r="C135" s="1136"/>
      <c r="D135" s="1136"/>
      <c r="E135" s="1136"/>
      <c r="F135" s="1136"/>
      <c r="G135" s="1136"/>
      <c r="H135" s="1136"/>
      <c r="I135" s="1136"/>
      <c r="J135" s="1136"/>
      <c r="K135" s="1136"/>
      <c r="L135" s="1136"/>
      <c r="M135" s="1136"/>
      <c r="N135" s="1119"/>
    </row>
    <row r="136" spans="1:14" x14ac:dyDescent="0.2">
      <c r="A136" s="1123" t="s">
        <v>907</v>
      </c>
      <c r="B136" s="1124">
        <f t="shared" ref="B136:M136" si="21">SUM(B125*100/B131)</f>
        <v>1.0892167541340727</v>
      </c>
      <c r="C136" s="1124">
        <f t="shared" si="21"/>
        <v>3.0282787797817856</v>
      </c>
      <c r="D136" s="1124">
        <f t="shared" si="21"/>
        <v>0.92280214328239729</v>
      </c>
      <c r="E136" s="1124">
        <f t="shared" si="21"/>
        <v>1.8315767932057709</v>
      </c>
      <c r="F136" s="1124">
        <f t="shared" si="21"/>
        <v>0.86875291919663711</v>
      </c>
      <c r="G136" s="1124">
        <f t="shared" si="21"/>
        <v>5.5059377760329768</v>
      </c>
      <c r="H136" s="1124">
        <f t="shared" si="21"/>
        <v>2.9110936270653029</v>
      </c>
      <c r="I136" s="1124">
        <f t="shared" si="21"/>
        <v>5.0543970988213962</v>
      </c>
      <c r="J136" s="1124">
        <f t="shared" si="21"/>
        <v>1.5967498110355254</v>
      </c>
      <c r="K136" s="1124">
        <f t="shared" si="21"/>
        <v>2.4061696658097684</v>
      </c>
      <c r="L136" s="1124">
        <f t="shared" si="21"/>
        <v>1.4434799570857311</v>
      </c>
      <c r="M136" s="1124">
        <f t="shared" si="21"/>
        <v>14.814342222789332</v>
      </c>
      <c r="N136" s="1138">
        <f>SUM(B136:M136)/12</f>
        <v>3.4560664623533914</v>
      </c>
    </row>
    <row r="137" spans="1:14" ht="13.5" thickBot="1" x14ac:dyDescent="0.25">
      <c r="A137" s="1139" t="s">
        <v>908</v>
      </c>
      <c r="B137" s="1130">
        <f t="shared" ref="B137:M137" si="22">SUM(B126*100/B131)</f>
        <v>0.30696108525596594</v>
      </c>
      <c r="C137" s="1130">
        <f t="shared" si="22"/>
        <v>0</v>
      </c>
      <c r="D137" s="1130">
        <f t="shared" si="22"/>
        <v>0.30760071442746578</v>
      </c>
      <c r="E137" s="1130">
        <f t="shared" si="22"/>
        <v>0</v>
      </c>
      <c r="F137" s="1130">
        <f t="shared" si="22"/>
        <v>0</v>
      </c>
      <c r="G137" s="1130">
        <f t="shared" si="22"/>
        <v>0</v>
      </c>
      <c r="H137" s="1130">
        <f t="shared" si="22"/>
        <v>0.47206923682140045</v>
      </c>
      <c r="I137" s="1130">
        <f t="shared" si="22"/>
        <v>0</v>
      </c>
      <c r="J137" s="1130">
        <f t="shared" si="22"/>
        <v>0</v>
      </c>
      <c r="K137" s="1130">
        <f t="shared" si="22"/>
        <v>0</v>
      </c>
      <c r="L137" s="1130">
        <f t="shared" si="22"/>
        <v>0</v>
      </c>
      <c r="M137" s="1130">
        <f t="shared" si="22"/>
        <v>0.39555952532856958</v>
      </c>
      <c r="N137" s="1140">
        <f>SUM(B137:M137)/12</f>
        <v>0.12351588015278347</v>
      </c>
    </row>
    <row r="138" spans="1:14" ht="13.5" thickBot="1" x14ac:dyDescent="0.25">
      <c r="A138" s="1141" t="s">
        <v>909</v>
      </c>
      <c r="B138" s="1142">
        <f t="shared" ref="B138:M138" si="23">SUM(B136:B136)</f>
        <v>1.0892167541340727</v>
      </c>
      <c r="C138" s="1142">
        <f t="shared" si="23"/>
        <v>3.0282787797817856</v>
      </c>
      <c r="D138" s="1142">
        <f t="shared" si="23"/>
        <v>0.92280214328239729</v>
      </c>
      <c r="E138" s="1142">
        <f t="shared" si="23"/>
        <v>1.8315767932057709</v>
      </c>
      <c r="F138" s="1142">
        <f t="shared" si="23"/>
        <v>0.86875291919663711</v>
      </c>
      <c r="G138" s="1142">
        <f t="shared" si="23"/>
        <v>5.5059377760329768</v>
      </c>
      <c r="H138" s="1142">
        <f t="shared" si="23"/>
        <v>2.9110936270653029</v>
      </c>
      <c r="I138" s="1142">
        <f t="shared" si="23"/>
        <v>5.0543970988213962</v>
      </c>
      <c r="J138" s="1142">
        <f t="shared" si="23"/>
        <v>1.5967498110355254</v>
      </c>
      <c r="K138" s="1142">
        <f t="shared" si="23"/>
        <v>2.4061696658097684</v>
      </c>
      <c r="L138" s="1142">
        <f t="shared" si="23"/>
        <v>1.4434799570857311</v>
      </c>
      <c r="M138" s="1142">
        <f t="shared" si="23"/>
        <v>14.814342222789332</v>
      </c>
      <c r="N138" s="1143">
        <f>SUM(N136:N137)</f>
        <v>3.5795823425061748</v>
      </c>
    </row>
    <row r="139" spans="1:14" x14ac:dyDescent="0.2">
      <c r="A139" s="1135" t="s">
        <v>910</v>
      </c>
      <c r="B139" s="1136"/>
      <c r="C139" s="1136"/>
      <c r="D139" s="1144">
        <f>SUM(B138:D138)/3</f>
        <v>1.6800992257327518</v>
      </c>
      <c r="E139" s="1136"/>
      <c r="F139" s="1136"/>
      <c r="G139" s="1144">
        <f>SUM(E138,F138,G138)/3</f>
        <v>2.7354224961451283</v>
      </c>
      <c r="H139" s="1136"/>
      <c r="I139" s="1136"/>
      <c r="J139" s="1144">
        <f>SUM(H138,I138,J138)/3</f>
        <v>3.1874135123074083</v>
      </c>
      <c r="K139" s="1136"/>
      <c r="L139" s="1136"/>
      <c r="M139" s="1144">
        <f>SUM(K138,L138,M138)/3</f>
        <v>6.2213306152282764</v>
      </c>
      <c r="N139" s="1145">
        <f>SUM(D139:M139)/4</f>
        <v>3.456066462353391</v>
      </c>
    </row>
    <row r="140" spans="1:14" x14ac:dyDescent="0.2">
      <c r="A140" s="1135" t="s">
        <v>911</v>
      </c>
      <c r="B140" s="1136"/>
      <c r="C140" s="1136"/>
      <c r="D140" s="1146"/>
      <c r="E140" s="1136"/>
      <c r="F140" s="1136"/>
      <c r="G140" s="1146"/>
      <c r="H140" s="1136"/>
      <c r="I140" s="1136"/>
      <c r="J140" s="1146"/>
      <c r="K140" s="1136"/>
      <c r="L140" s="1136"/>
      <c r="M140" s="1146"/>
      <c r="N140" s="1138">
        <f>SUM(D140:G140,J140,M140)/4</f>
        <v>0</v>
      </c>
    </row>
    <row r="141" spans="1:14" x14ac:dyDescent="0.2">
      <c r="A141" s="1135"/>
      <c r="B141" s="1136"/>
      <c r="C141" s="1136"/>
      <c r="D141" s="1136"/>
      <c r="E141" s="1136"/>
      <c r="F141" s="1136"/>
      <c r="G141" s="1136"/>
      <c r="H141" s="1136"/>
      <c r="I141" s="1136"/>
      <c r="J141" s="1136"/>
      <c r="K141" s="1136"/>
      <c r="L141" s="1136"/>
      <c r="M141" s="1136"/>
      <c r="N141" s="1136"/>
    </row>
    <row r="142" spans="1:14" x14ac:dyDescent="0.2">
      <c r="A142" s="1123" t="s">
        <v>912</v>
      </c>
      <c r="B142" s="1124">
        <f t="shared" ref="B142:M142" si="24">B129*100/B131</f>
        <v>5.1490246559065254</v>
      </c>
      <c r="C142" s="1124">
        <f t="shared" si="24"/>
        <v>8.3500334001336007</v>
      </c>
      <c r="D142" s="1124">
        <f t="shared" si="24"/>
        <v>8.3647549116888271</v>
      </c>
      <c r="E142" s="1124">
        <f t="shared" si="24"/>
        <v>1.9441317916709302</v>
      </c>
      <c r="F142" s="1124">
        <f t="shared" si="24"/>
        <v>1.1770200840728631</v>
      </c>
      <c r="G142" s="1124">
        <f t="shared" si="24"/>
        <v>0.23554814015114339</v>
      </c>
      <c r="H142" s="1124">
        <f t="shared" si="24"/>
        <v>0</v>
      </c>
      <c r="I142" s="1124">
        <f t="shared" si="24"/>
        <v>0</v>
      </c>
      <c r="J142" s="1124">
        <f t="shared" si="24"/>
        <v>0.87868480725623588</v>
      </c>
      <c r="K142" s="1124">
        <f t="shared" si="24"/>
        <v>1.6555269922879177</v>
      </c>
      <c r="L142" s="1124">
        <f t="shared" si="24"/>
        <v>4.8376085048278554</v>
      </c>
      <c r="M142" s="1124">
        <f t="shared" si="24"/>
        <v>2.0160775807069031</v>
      </c>
      <c r="N142" s="1138">
        <f>SUM(B142:M142)/12</f>
        <v>2.8840342390585669</v>
      </c>
    </row>
    <row r="143" spans="1:14" x14ac:dyDescent="0.2">
      <c r="A143" s="1123" t="s">
        <v>913</v>
      </c>
      <c r="B143" s="1124">
        <f t="shared" ref="B143:M143" si="25">B127*100/B131</f>
        <v>1.6635310426774927</v>
      </c>
      <c r="C143" s="1124">
        <f t="shared" si="25"/>
        <v>6.513026052104208</v>
      </c>
      <c r="D143" s="1124">
        <f t="shared" si="25"/>
        <v>0.47628497717801149</v>
      </c>
      <c r="E143" s="1124">
        <f t="shared" si="25"/>
        <v>2.0055254271973806</v>
      </c>
      <c r="F143" s="1124">
        <f t="shared" si="25"/>
        <v>1.9617001401214387</v>
      </c>
      <c r="G143" s="1124">
        <f t="shared" si="25"/>
        <v>4.1122779468053787</v>
      </c>
      <c r="H143" s="1124">
        <f t="shared" si="25"/>
        <v>3.8552321007081041</v>
      </c>
      <c r="I143" s="1124">
        <f t="shared" si="25"/>
        <v>1.9945602901178603</v>
      </c>
      <c r="J143" s="1124">
        <f t="shared" si="25"/>
        <v>5.1965230536659108</v>
      </c>
      <c r="K143" s="1124">
        <f t="shared" si="25"/>
        <v>7.033419023136247</v>
      </c>
      <c r="L143" s="1124">
        <f t="shared" si="25"/>
        <v>2.5163366819467474</v>
      </c>
      <c r="M143" s="1124">
        <f t="shared" si="25"/>
        <v>11.330866402960316</v>
      </c>
      <c r="N143" s="1138">
        <f>SUM(B143:M143)/12</f>
        <v>4.0549402615515913</v>
      </c>
    </row>
    <row r="144" spans="1:14" ht="13.5" thickBot="1" x14ac:dyDescent="0.25">
      <c r="A144" s="1123" t="s">
        <v>914</v>
      </c>
      <c r="B144" s="1124">
        <f t="shared" ref="B144:M144" si="26">B123*100/B131</f>
        <v>5.8619665313397364</v>
      </c>
      <c r="C144" s="1124">
        <f t="shared" si="26"/>
        <v>8.2386996214651518</v>
      </c>
      <c r="D144" s="1124">
        <f t="shared" si="26"/>
        <v>4.4750942647350662</v>
      </c>
      <c r="E144" s="1124">
        <f t="shared" si="26"/>
        <v>9.2704389644940139</v>
      </c>
      <c r="F144" s="1124">
        <f t="shared" si="26"/>
        <v>3.829985987856142</v>
      </c>
      <c r="G144" s="1124">
        <f t="shared" si="26"/>
        <v>3.2093434095593287</v>
      </c>
      <c r="H144" s="1124">
        <f t="shared" si="26"/>
        <v>120.29897718332022</v>
      </c>
      <c r="I144" s="1124">
        <f t="shared" si="26"/>
        <v>23.504079782411605</v>
      </c>
      <c r="J144" s="1124">
        <f t="shared" si="26"/>
        <v>1.398337112622827</v>
      </c>
      <c r="K144" s="1124">
        <f t="shared" si="26"/>
        <v>6.0874035989717221</v>
      </c>
      <c r="L144" s="1124">
        <f t="shared" si="26"/>
        <v>3.4916609772749441</v>
      </c>
      <c r="M144" s="1124">
        <f t="shared" si="26"/>
        <v>15.363021564374122</v>
      </c>
      <c r="N144" s="1138">
        <f>SUM(B144:M144)/12</f>
        <v>17.08575074986874</v>
      </c>
    </row>
    <row r="145" spans="1:14" ht="13.5" thickBot="1" x14ac:dyDescent="0.25">
      <c r="A145" s="1147" t="s">
        <v>915</v>
      </c>
      <c r="B145" s="1148">
        <f t="shared" ref="B145:M145" si="27">SUM(B120-B131)*100/B131</f>
        <v>14.308347361124865</v>
      </c>
      <c r="C145" s="1148">
        <f t="shared" si="27"/>
        <v>28.523714094856381</v>
      </c>
      <c r="D145" s="1148">
        <f t="shared" si="27"/>
        <v>14.546537011311768</v>
      </c>
      <c r="E145" s="1148">
        <f t="shared" si="27"/>
        <v>18.121354752890618</v>
      </c>
      <c r="F145" s="1148">
        <f t="shared" si="27"/>
        <v>7.8374591312470807</v>
      </c>
      <c r="G145" s="1148">
        <f t="shared" si="27"/>
        <v>13.29865541269997</v>
      </c>
      <c r="H145" s="1148">
        <f t="shared" si="27"/>
        <v>127.06530291109362</v>
      </c>
      <c r="I145" s="1148">
        <f t="shared" si="27"/>
        <v>30.825022665457841</v>
      </c>
      <c r="J145" s="1148">
        <f t="shared" si="27"/>
        <v>9.0702947845804989</v>
      </c>
      <c r="K145" s="1148">
        <f t="shared" si="27"/>
        <v>18.704370179948587</v>
      </c>
      <c r="L145" s="1148">
        <f t="shared" si="27"/>
        <v>12.591436652687019</v>
      </c>
      <c r="M145" s="1148">
        <f t="shared" si="27"/>
        <v>47.301263238484111</v>
      </c>
      <c r="N145" s="1149">
        <f>SUM(B145:M145)/12</f>
        <v>28.5161465163652</v>
      </c>
    </row>
    <row r="146" spans="1:14" x14ac:dyDescent="0.2">
      <c r="A146" s="1135"/>
      <c r="B146" s="1136"/>
      <c r="C146" s="1136"/>
      <c r="D146" s="1136"/>
      <c r="E146" s="1136"/>
      <c r="F146" s="1136"/>
      <c r="G146" s="1136"/>
      <c r="H146" s="1136"/>
      <c r="I146" s="1136"/>
      <c r="J146" s="1136"/>
      <c r="K146" s="1136"/>
      <c r="L146" s="1136"/>
      <c r="M146" s="1136"/>
      <c r="N146" s="1119"/>
    </row>
    <row r="147" spans="1:14" x14ac:dyDescent="0.2">
      <c r="A147" s="1150" t="s">
        <v>916</v>
      </c>
      <c r="B147" s="1136"/>
      <c r="C147" s="1136"/>
      <c r="D147" s="1136"/>
      <c r="E147" s="1136"/>
      <c r="F147" s="1136"/>
      <c r="G147" s="1136"/>
      <c r="H147" s="1136"/>
      <c r="I147" s="1136"/>
      <c r="J147" s="1136"/>
      <c r="K147" s="1136"/>
      <c r="L147" s="1136"/>
      <c r="M147" s="1136"/>
      <c r="N147" s="1119"/>
    </row>
    <row r="148" spans="1:14" x14ac:dyDescent="0.2">
      <c r="A148" s="1123" t="s">
        <v>917</v>
      </c>
      <c r="B148" s="1151">
        <v>18</v>
      </c>
      <c r="C148" s="1151">
        <f t="shared" ref="C148:N148" si="28">B151</f>
        <v>18</v>
      </c>
      <c r="D148" s="1151">
        <f t="shared" si="28"/>
        <v>18</v>
      </c>
      <c r="E148" s="1151">
        <f t="shared" si="28"/>
        <v>18</v>
      </c>
      <c r="F148" s="1151">
        <f t="shared" si="28"/>
        <v>18</v>
      </c>
      <c r="G148" s="1151">
        <f t="shared" si="28"/>
        <v>18</v>
      </c>
      <c r="H148" s="1151">
        <f t="shared" si="28"/>
        <v>18</v>
      </c>
      <c r="I148" s="1151">
        <f t="shared" si="28"/>
        <v>18</v>
      </c>
      <c r="J148" s="1151">
        <f t="shared" si="28"/>
        <v>18</v>
      </c>
      <c r="K148" s="1151">
        <f t="shared" si="28"/>
        <v>18</v>
      </c>
      <c r="L148" s="1151">
        <f t="shared" si="28"/>
        <v>18</v>
      </c>
      <c r="M148" s="1151">
        <f t="shared" si="28"/>
        <v>18</v>
      </c>
      <c r="N148" s="1151">
        <f t="shared" si="28"/>
        <v>18</v>
      </c>
    </row>
    <row r="149" spans="1:14" x14ac:dyDescent="0.2">
      <c r="A149" s="1123" t="s">
        <v>918</v>
      </c>
      <c r="B149" s="1151"/>
      <c r="C149" s="1151"/>
      <c r="D149" s="1151"/>
      <c r="E149" s="1151"/>
      <c r="F149" s="1151"/>
      <c r="G149" s="1151"/>
      <c r="H149" s="1151"/>
      <c r="I149" s="1151"/>
      <c r="J149" s="1151"/>
      <c r="K149" s="1151"/>
      <c r="L149" s="1151"/>
      <c r="M149" s="1151"/>
      <c r="N149" s="1151">
        <f>SUM(B149:M149)/12</f>
        <v>0</v>
      </c>
    </row>
    <row r="150" spans="1:14" x14ac:dyDescent="0.2">
      <c r="A150" s="1123" t="s">
        <v>919</v>
      </c>
      <c r="B150" s="1151"/>
      <c r="C150" s="1151"/>
      <c r="D150" s="1151"/>
      <c r="E150" s="1151"/>
      <c r="F150" s="1151"/>
      <c r="G150" s="1151"/>
      <c r="H150" s="1151"/>
      <c r="I150" s="1151"/>
      <c r="J150" s="1151"/>
      <c r="K150" s="1151"/>
      <c r="L150" s="1151"/>
      <c r="M150" s="1151"/>
      <c r="N150" s="1151">
        <f>SUM(B149:M149)/12</f>
        <v>0</v>
      </c>
    </row>
    <row r="151" spans="1:14" x14ac:dyDescent="0.2">
      <c r="A151" s="1123" t="s">
        <v>916</v>
      </c>
      <c r="B151" s="1151">
        <f t="shared" ref="B151:M151" si="29">SUM(B148+B149-B150)</f>
        <v>18</v>
      </c>
      <c r="C151" s="1151">
        <f t="shared" si="29"/>
        <v>18</v>
      </c>
      <c r="D151" s="1151">
        <f t="shared" si="29"/>
        <v>18</v>
      </c>
      <c r="E151" s="1151">
        <f t="shared" si="29"/>
        <v>18</v>
      </c>
      <c r="F151" s="1151">
        <f t="shared" si="29"/>
        <v>18</v>
      </c>
      <c r="G151" s="1151">
        <f t="shared" si="29"/>
        <v>18</v>
      </c>
      <c r="H151" s="1151">
        <f t="shared" si="29"/>
        <v>18</v>
      </c>
      <c r="I151" s="1151">
        <f t="shared" si="29"/>
        <v>18</v>
      </c>
      <c r="J151" s="1151">
        <f t="shared" si="29"/>
        <v>18</v>
      </c>
      <c r="K151" s="1151">
        <f t="shared" si="29"/>
        <v>18</v>
      </c>
      <c r="L151" s="1151">
        <f t="shared" si="29"/>
        <v>18</v>
      </c>
      <c r="M151" s="1151">
        <f t="shared" si="29"/>
        <v>18</v>
      </c>
      <c r="N151" s="1151">
        <f>SUM(B150:M150)/12</f>
        <v>0</v>
      </c>
    </row>
    <row r="152" spans="1:14" x14ac:dyDescent="0.2">
      <c r="A152" s="1123" t="s">
        <v>920</v>
      </c>
      <c r="B152" s="1152">
        <f t="shared" ref="B152:M152" si="30">SUM(B151*100)/B148-100</f>
        <v>0</v>
      </c>
      <c r="C152" s="1152">
        <f t="shared" si="30"/>
        <v>0</v>
      </c>
      <c r="D152" s="1152">
        <f t="shared" si="30"/>
        <v>0</v>
      </c>
      <c r="E152" s="1152">
        <f t="shared" si="30"/>
        <v>0</v>
      </c>
      <c r="F152" s="1152">
        <f t="shared" si="30"/>
        <v>0</v>
      </c>
      <c r="G152" s="1152">
        <f t="shared" si="30"/>
        <v>0</v>
      </c>
      <c r="H152" s="1152">
        <f t="shared" si="30"/>
        <v>0</v>
      </c>
      <c r="I152" s="1152">
        <f t="shared" si="30"/>
        <v>0</v>
      </c>
      <c r="J152" s="1152">
        <f t="shared" si="30"/>
        <v>0</v>
      </c>
      <c r="K152" s="1152">
        <f t="shared" si="30"/>
        <v>0</v>
      </c>
      <c r="L152" s="1152">
        <f t="shared" si="30"/>
        <v>0</v>
      </c>
      <c r="M152" s="1152">
        <f t="shared" si="30"/>
        <v>0</v>
      </c>
      <c r="N152" s="1151"/>
    </row>
    <row r="153" spans="1:14" x14ac:dyDescent="0.2">
      <c r="A153" s="1135" t="s">
        <v>921</v>
      </c>
      <c r="B153" s="1153"/>
      <c r="C153" s="1153"/>
      <c r="D153" s="1154">
        <f>SUM(B152:D152/3)</f>
        <v>0</v>
      </c>
      <c r="E153" s="1153"/>
      <c r="F153" s="1153"/>
      <c r="G153" s="1154">
        <f>SUM(E152:G152)/3</f>
        <v>0</v>
      </c>
      <c r="H153" s="1153"/>
      <c r="I153" s="1153"/>
      <c r="J153" s="1154">
        <f>SUM(H152:J152)/3</f>
        <v>0</v>
      </c>
      <c r="K153" s="1153"/>
      <c r="L153" s="1153"/>
      <c r="M153" s="1154">
        <f>SUM(K152:M152)/3</f>
        <v>0</v>
      </c>
      <c r="N153" s="1153"/>
    </row>
    <row r="154" spans="1:14" x14ac:dyDescent="0.2">
      <c r="A154" s="1135"/>
      <c r="B154" s="1136"/>
      <c r="C154" s="1136"/>
      <c r="D154" s="1136"/>
      <c r="E154" s="1136"/>
      <c r="F154" s="1136"/>
      <c r="G154" s="1136"/>
      <c r="H154" s="1136"/>
      <c r="I154" s="1136"/>
      <c r="J154" s="1136"/>
      <c r="K154" s="1136"/>
      <c r="L154" s="1136"/>
      <c r="M154" s="1136"/>
      <c r="N154" s="1119"/>
    </row>
    <row r="155" spans="1:14" ht="15.75" x14ac:dyDescent="0.25">
      <c r="A155" s="1150"/>
      <c r="B155" s="1218"/>
      <c r="C155" s="1218"/>
      <c r="D155" s="1218"/>
      <c r="E155" s="1218"/>
      <c r="F155" s="1218"/>
      <c r="G155" s="1247"/>
      <c r="H155" s="1218"/>
      <c r="I155" s="1218"/>
      <c r="J155" s="1218"/>
      <c r="K155" s="1218"/>
      <c r="L155" s="1218"/>
      <c r="M155" s="1218"/>
      <c r="N155" s="1119"/>
    </row>
    <row r="156" spans="1:14" x14ac:dyDescent="0.2">
      <c r="A156" s="1220" t="s">
        <v>1014</v>
      </c>
      <c r="B156" s="1124" t="s">
        <v>863</v>
      </c>
      <c r="C156" s="1124" t="s">
        <v>864</v>
      </c>
      <c r="D156" s="1124" t="s">
        <v>865</v>
      </c>
      <c r="E156" s="1124" t="s">
        <v>866</v>
      </c>
      <c r="F156" s="1124" t="s">
        <v>867</v>
      </c>
      <c r="G156" s="1124" t="s">
        <v>868</v>
      </c>
      <c r="H156" s="1124" t="s">
        <v>857</v>
      </c>
      <c r="I156" s="1124" t="s">
        <v>858</v>
      </c>
      <c r="J156" s="1124" t="s">
        <v>859</v>
      </c>
      <c r="K156" s="1124" t="s">
        <v>860</v>
      </c>
      <c r="L156" s="1124" t="s">
        <v>861</v>
      </c>
      <c r="M156" s="1124" t="s">
        <v>862</v>
      </c>
      <c r="N156" s="1120" t="s">
        <v>137</v>
      </c>
    </row>
    <row r="157" spans="1:14" x14ac:dyDescent="0.2">
      <c r="A157" s="1123" t="s">
        <v>1036</v>
      </c>
      <c r="B157" s="1221">
        <v>81500</v>
      </c>
      <c r="C157" s="1221">
        <v>81500</v>
      </c>
      <c r="D157" s="1221">
        <v>81500</v>
      </c>
      <c r="E157" s="1221">
        <v>81500</v>
      </c>
      <c r="F157" s="1221">
        <v>81500</v>
      </c>
      <c r="G157" s="1221">
        <v>81500</v>
      </c>
      <c r="H157" s="1221">
        <v>81500</v>
      </c>
      <c r="I157" s="1221">
        <v>81500</v>
      </c>
      <c r="J157" s="1221">
        <v>81500</v>
      </c>
      <c r="K157" s="1221">
        <v>81500</v>
      </c>
      <c r="L157" s="1221">
        <v>81500</v>
      </c>
      <c r="M157" s="1221">
        <v>81500</v>
      </c>
      <c r="N157" s="1221">
        <f>SUM(B157:M157)</f>
        <v>978000</v>
      </c>
    </row>
    <row r="158" spans="1:14" x14ac:dyDescent="0.2">
      <c r="A158" s="1123" t="s">
        <v>1123</v>
      </c>
      <c r="B158" s="1221">
        <v>0</v>
      </c>
      <c r="C158" s="1221">
        <v>0</v>
      </c>
      <c r="D158" s="1221">
        <v>0</v>
      </c>
      <c r="E158" s="1221">
        <v>0</v>
      </c>
      <c r="F158" s="1221">
        <v>0</v>
      </c>
      <c r="G158" s="1221">
        <v>0</v>
      </c>
      <c r="H158" s="1221">
        <v>0</v>
      </c>
      <c r="I158" s="1221">
        <v>0</v>
      </c>
      <c r="J158" s="1221">
        <v>0</v>
      </c>
      <c r="K158" s="1221">
        <v>0</v>
      </c>
      <c r="L158" s="1221">
        <v>0</v>
      </c>
      <c r="M158" s="1221">
        <v>0</v>
      </c>
      <c r="N158" s="1221">
        <f>SUM(B158:M158)</f>
        <v>0</v>
      </c>
    </row>
    <row r="159" spans="1:14" ht="13.5" thickBot="1" x14ac:dyDescent="0.25">
      <c r="A159" s="1248" t="s">
        <v>1038</v>
      </c>
      <c r="B159" s="1249">
        <v>87000</v>
      </c>
      <c r="C159" s="1249">
        <v>87000</v>
      </c>
      <c r="D159" s="1249">
        <v>87000</v>
      </c>
      <c r="E159" s="1249">
        <v>87000</v>
      </c>
      <c r="F159" s="1249">
        <v>87000</v>
      </c>
      <c r="G159" s="1249">
        <v>87000</v>
      </c>
      <c r="H159" s="1249">
        <v>87000</v>
      </c>
      <c r="I159" s="1249">
        <v>87000</v>
      </c>
      <c r="J159" s="1249">
        <v>87000</v>
      </c>
      <c r="K159" s="1249">
        <v>87000</v>
      </c>
      <c r="L159" s="1249">
        <v>87000</v>
      </c>
      <c r="M159" s="1249">
        <v>87000</v>
      </c>
      <c r="N159" s="1221">
        <f>SUM(B159:M159)</f>
        <v>1044000</v>
      </c>
    </row>
    <row r="160" spans="1:14" ht="13.5" thickBot="1" x14ac:dyDescent="0.25">
      <c r="A160" s="1225" t="s">
        <v>1039</v>
      </c>
      <c r="B160" s="1226">
        <f t="shared" ref="B160:N160" si="31">SUM(B157:B159)</f>
        <v>168500</v>
      </c>
      <c r="C160" s="1226">
        <f t="shared" si="31"/>
        <v>168500</v>
      </c>
      <c r="D160" s="1226">
        <f t="shared" si="31"/>
        <v>168500</v>
      </c>
      <c r="E160" s="1226">
        <f t="shared" si="31"/>
        <v>168500</v>
      </c>
      <c r="F160" s="1226">
        <f t="shared" si="31"/>
        <v>168500</v>
      </c>
      <c r="G160" s="1226">
        <f t="shared" si="31"/>
        <v>168500</v>
      </c>
      <c r="H160" s="1226">
        <f t="shared" si="31"/>
        <v>168500</v>
      </c>
      <c r="I160" s="1226">
        <f t="shared" si="31"/>
        <v>168500</v>
      </c>
      <c r="J160" s="1226">
        <f t="shared" si="31"/>
        <v>168500</v>
      </c>
      <c r="K160" s="1226">
        <f t="shared" si="31"/>
        <v>168500</v>
      </c>
      <c r="L160" s="1226">
        <f t="shared" si="31"/>
        <v>168500</v>
      </c>
      <c r="M160" s="1226">
        <f t="shared" si="31"/>
        <v>168500</v>
      </c>
      <c r="N160" s="1226">
        <f t="shared" si="31"/>
        <v>2022000</v>
      </c>
    </row>
    <row r="161" spans="1:15" x14ac:dyDescent="0.2">
      <c r="A161" s="1120" t="s">
        <v>1040</v>
      </c>
      <c r="B161" s="1221">
        <v>14495</v>
      </c>
      <c r="C161" s="1221">
        <v>9312</v>
      </c>
      <c r="D161" s="1221">
        <v>8101</v>
      </c>
      <c r="E161" s="1221">
        <v>7537</v>
      </c>
      <c r="F161" s="1221">
        <v>4775</v>
      </c>
      <c r="G161" s="1250">
        <v>4875</v>
      </c>
      <c r="H161" s="1221"/>
      <c r="I161" s="1221">
        <v>11075</v>
      </c>
      <c r="J161" s="1221">
        <v>15550</v>
      </c>
      <c r="K161" s="1221">
        <v>8700</v>
      </c>
      <c r="L161" s="1221">
        <v>11812</v>
      </c>
      <c r="M161" s="1221">
        <v>6250</v>
      </c>
      <c r="N161" s="1221">
        <f>SUM(B161:M161)</f>
        <v>102482</v>
      </c>
    </row>
    <row r="162" spans="1:15" x14ac:dyDescent="0.2">
      <c r="A162" s="1120" t="s">
        <v>1023</v>
      </c>
      <c r="B162" s="1221"/>
      <c r="C162" s="1221"/>
      <c r="D162" s="1221"/>
      <c r="E162" s="1221"/>
      <c r="F162" s="1221"/>
      <c r="G162" s="1250"/>
      <c r="H162" s="1221"/>
      <c r="I162" s="1221"/>
      <c r="J162" s="1221"/>
      <c r="K162" s="1221"/>
      <c r="L162" s="1221"/>
      <c r="M162" s="1221"/>
      <c r="N162" s="1221">
        <f>SUM(B162:M162)</f>
        <v>0</v>
      </c>
    </row>
    <row r="163" spans="1:15" x14ac:dyDescent="0.2">
      <c r="A163" s="1120" t="s">
        <v>1041</v>
      </c>
      <c r="B163" s="1221">
        <v>920</v>
      </c>
      <c r="C163" s="1221">
        <v>8340</v>
      </c>
      <c r="D163" s="1221"/>
      <c r="E163" s="1221">
        <v>6980</v>
      </c>
      <c r="F163" s="1221">
        <v>6380</v>
      </c>
      <c r="G163" s="1250">
        <v>4620</v>
      </c>
      <c r="H163" s="1221">
        <v>2370</v>
      </c>
      <c r="I163" s="1221">
        <v>5840</v>
      </c>
      <c r="J163" s="1221">
        <v>6920</v>
      </c>
      <c r="K163" s="1221">
        <v>10010</v>
      </c>
      <c r="L163" s="1221">
        <v>7350</v>
      </c>
      <c r="M163" s="1221">
        <v>3680</v>
      </c>
      <c r="N163" s="1221">
        <f>SUM(B163:M163)</f>
        <v>63410</v>
      </c>
    </row>
    <row r="164" spans="1:15" x14ac:dyDescent="0.2">
      <c r="A164" s="1120" t="s">
        <v>1021</v>
      </c>
      <c r="B164" s="1221">
        <v>170625</v>
      </c>
      <c r="C164" s="1221">
        <v>63780</v>
      </c>
      <c r="D164" s="1221">
        <v>170078.38</v>
      </c>
      <c r="E164" s="1221">
        <v>70987.5</v>
      </c>
      <c r="F164" s="1221">
        <v>258475</v>
      </c>
      <c r="G164" s="1221">
        <v>67114.63</v>
      </c>
      <c r="H164" s="1221">
        <v>34300</v>
      </c>
      <c r="I164" s="1221">
        <v>127060.63</v>
      </c>
      <c r="J164" s="1221">
        <v>135309.63</v>
      </c>
      <c r="K164" s="1221">
        <v>209023.26</v>
      </c>
      <c r="L164" s="1221">
        <v>154475</v>
      </c>
      <c r="M164" s="1223">
        <v>71525</v>
      </c>
      <c r="N164" s="1221">
        <f>SUM(B164:M164)</f>
        <v>1532754.03</v>
      </c>
    </row>
    <row r="165" spans="1:15" ht="13.5" thickBot="1" x14ac:dyDescent="0.25">
      <c r="A165" s="1251" t="s">
        <v>1042</v>
      </c>
      <c r="B165" s="1249">
        <v>14183.75</v>
      </c>
      <c r="C165" s="1249">
        <v>40815.5</v>
      </c>
      <c r="D165" s="1249">
        <v>36826.25</v>
      </c>
      <c r="E165" s="1249">
        <v>12117.5</v>
      </c>
      <c r="F165" s="1249">
        <v>41857</v>
      </c>
      <c r="G165" s="1249">
        <v>14393.5</v>
      </c>
      <c r="H165" s="1249">
        <v>7770</v>
      </c>
      <c r="I165" s="1249">
        <v>23860</v>
      </c>
      <c r="J165" s="1249">
        <v>19108</v>
      </c>
      <c r="K165" s="1249">
        <v>37921.5</v>
      </c>
      <c r="L165" s="1249">
        <v>12583</v>
      </c>
      <c r="M165" s="1221">
        <v>5432.25</v>
      </c>
      <c r="N165" s="1221">
        <f>SUM(B165:M165)</f>
        <v>266868.25</v>
      </c>
    </row>
    <row r="166" spans="1:15" ht="13.5" thickBot="1" x14ac:dyDescent="0.25">
      <c r="A166" s="1252" t="s">
        <v>1028</v>
      </c>
      <c r="B166" s="1253">
        <f t="shared" ref="B166:N166" si="32">SUM(B161:B165)</f>
        <v>200223.75</v>
      </c>
      <c r="C166" s="1253">
        <f t="shared" si="32"/>
        <v>122247.5</v>
      </c>
      <c r="D166" s="1253">
        <f t="shared" si="32"/>
        <v>215005.63</v>
      </c>
      <c r="E166" s="1253">
        <f t="shared" si="32"/>
        <v>97622</v>
      </c>
      <c r="F166" s="1253">
        <f t="shared" si="32"/>
        <v>311487</v>
      </c>
      <c r="G166" s="1253">
        <f t="shared" si="32"/>
        <v>91003.13</v>
      </c>
      <c r="H166" s="1253">
        <f t="shared" si="32"/>
        <v>44440</v>
      </c>
      <c r="I166" s="1253">
        <f t="shared" si="32"/>
        <v>167835.63</v>
      </c>
      <c r="J166" s="1253">
        <f t="shared" si="32"/>
        <v>176887.63</v>
      </c>
      <c r="K166" s="1253">
        <f t="shared" si="32"/>
        <v>265654.76</v>
      </c>
      <c r="L166" s="1253">
        <f t="shared" si="32"/>
        <v>186220</v>
      </c>
      <c r="M166" s="1254">
        <f t="shared" si="32"/>
        <v>86887.25</v>
      </c>
      <c r="N166" s="1253">
        <f t="shared" si="32"/>
        <v>1965514.28</v>
      </c>
    </row>
    <row r="167" spans="1:15" x14ac:dyDescent="0.2">
      <c r="A167" s="1120" t="s">
        <v>1029</v>
      </c>
      <c r="B167" s="1223">
        <v>0</v>
      </c>
      <c r="C167" s="1223">
        <v>0</v>
      </c>
      <c r="D167" s="1223">
        <v>0</v>
      </c>
      <c r="E167" s="1223">
        <v>0</v>
      </c>
      <c r="F167" s="1223">
        <v>0</v>
      </c>
      <c r="G167" s="1223">
        <v>3770</v>
      </c>
      <c r="H167" s="1223">
        <v>0</v>
      </c>
      <c r="I167" s="1223">
        <v>0</v>
      </c>
      <c r="J167" s="1223">
        <v>0</v>
      </c>
      <c r="K167" s="1223">
        <v>0</v>
      </c>
      <c r="L167" s="1223">
        <v>0</v>
      </c>
      <c r="M167" s="1249">
        <v>0</v>
      </c>
      <c r="N167" s="1223">
        <f>SUM(B167:M167)</f>
        <v>3770</v>
      </c>
      <c r="O167" s="1183"/>
    </row>
    <row r="168" spans="1:15" x14ac:dyDescent="0.2">
      <c r="A168" s="1255" t="s">
        <v>1030</v>
      </c>
      <c r="B168" s="1256">
        <f t="shared" ref="B168:N168" si="33">SUM(B160,B166,B167)</f>
        <v>368723.75</v>
      </c>
      <c r="C168" s="1256">
        <f t="shared" si="33"/>
        <v>290747.5</v>
      </c>
      <c r="D168" s="1256">
        <f t="shared" si="33"/>
        <v>383505.63</v>
      </c>
      <c r="E168" s="1256">
        <f t="shared" si="33"/>
        <v>266122</v>
      </c>
      <c r="F168" s="1256">
        <f t="shared" si="33"/>
        <v>479987</v>
      </c>
      <c r="G168" s="1256">
        <f t="shared" si="33"/>
        <v>263273.13</v>
      </c>
      <c r="H168" s="1256">
        <f t="shared" si="33"/>
        <v>212940</v>
      </c>
      <c r="I168" s="1256">
        <f t="shared" si="33"/>
        <v>336335.63</v>
      </c>
      <c r="J168" s="1256">
        <f t="shared" si="33"/>
        <v>345387.63</v>
      </c>
      <c r="K168" s="1256">
        <f t="shared" si="33"/>
        <v>434154.76</v>
      </c>
      <c r="L168" s="1256">
        <f t="shared" si="33"/>
        <v>354720</v>
      </c>
      <c r="M168" s="1256">
        <f t="shared" si="33"/>
        <v>255387.25</v>
      </c>
      <c r="N168" s="1256">
        <f t="shared" si="33"/>
        <v>3991284.2800000003</v>
      </c>
    </row>
    <row r="169" spans="1:15" x14ac:dyDescent="0.2">
      <c r="A169" s="1228" t="s">
        <v>1031</v>
      </c>
      <c r="B169" s="1257">
        <v>624553.92000000004</v>
      </c>
      <c r="C169" s="1257">
        <v>526378</v>
      </c>
      <c r="D169" s="1257">
        <v>527314</v>
      </c>
      <c r="E169" s="1257">
        <v>555869</v>
      </c>
      <c r="F169" s="1257">
        <v>435878</v>
      </c>
      <c r="G169" s="1257">
        <v>316460</v>
      </c>
      <c r="H169" s="1257">
        <v>516198</v>
      </c>
      <c r="I169" s="1257">
        <v>681669</v>
      </c>
      <c r="J169" s="1257">
        <v>539618</v>
      </c>
      <c r="K169" s="1257">
        <v>369562</v>
      </c>
      <c r="L169" s="1257">
        <v>548986</v>
      </c>
      <c r="M169" s="1257">
        <v>372400</v>
      </c>
      <c r="N169" s="1258">
        <f>SUM(B169:M169)</f>
        <v>6014885.9199999999</v>
      </c>
    </row>
    <row r="170" spans="1:15" x14ac:dyDescent="0.2">
      <c r="A170" s="1259" t="s">
        <v>1033</v>
      </c>
      <c r="B170" s="1260">
        <f t="shared" ref="B170:N170" si="34">SUM(B168-B169)</f>
        <v>-255830.17000000004</v>
      </c>
      <c r="C170" s="1260">
        <f t="shared" si="34"/>
        <v>-235630.5</v>
      </c>
      <c r="D170" s="1260">
        <f t="shared" si="34"/>
        <v>-143808.37</v>
      </c>
      <c r="E170" s="1260">
        <f t="shared" si="34"/>
        <v>-289747</v>
      </c>
      <c r="F170" s="1260">
        <f t="shared" si="34"/>
        <v>44109</v>
      </c>
      <c r="G170" s="1260">
        <f t="shared" si="34"/>
        <v>-53186.869999999995</v>
      </c>
      <c r="H170" s="1260">
        <f t="shared" si="34"/>
        <v>-303258</v>
      </c>
      <c r="I170" s="1260">
        <f t="shared" si="34"/>
        <v>-345333.37</v>
      </c>
      <c r="J170" s="1260">
        <f t="shared" si="34"/>
        <v>-194230.37</v>
      </c>
      <c r="K170" s="1260">
        <f t="shared" si="34"/>
        <v>64592.760000000009</v>
      </c>
      <c r="L170" s="1260">
        <f t="shared" si="34"/>
        <v>-194266</v>
      </c>
      <c r="M170" s="1260">
        <f t="shared" si="34"/>
        <v>-117012.75</v>
      </c>
      <c r="N170" s="1260">
        <f t="shared" si="34"/>
        <v>-2023601.6399999997</v>
      </c>
    </row>
    <row r="171" spans="1:15" ht="13.5" thickBot="1" x14ac:dyDescent="0.25">
      <c r="A171" s="1261">
        <v>206552</v>
      </c>
      <c r="B171" s="1261"/>
      <c r="C171" s="1261"/>
      <c r="D171" s="1261"/>
      <c r="E171" s="1261"/>
      <c r="F171" s="1261"/>
      <c r="G171" s="1261"/>
      <c r="H171" s="1261"/>
      <c r="I171" s="1261"/>
      <c r="J171" s="1261"/>
      <c r="K171" s="1261"/>
      <c r="L171" s="1261"/>
      <c r="M171" s="1261"/>
      <c r="N171" s="1261"/>
    </row>
    <row r="172" spans="1:15" ht="13.5" thickBot="1" x14ac:dyDescent="0.25"/>
    <row r="173" spans="1:15" ht="20.25" x14ac:dyDescent="0.3">
      <c r="A173" s="1795" t="s">
        <v>1124</v>
      </c>
      <c r="B173" s="1795"/>
      <c r="C173" s="1795"/>
      <c r="D173" s="1795"/>
      <c r="E173" s="1795"/>
      <c r="F173" s="1795"/>
      <c r="G173" s="1795"/>
      <c r="H173" s="1795"/>
      <c r="I173" s="1795"/>
      <c r="J173" s="1795"/>
      <c r="K173" s="1795"/>
      <c r="L173" s="1795"/>
      <c r="M173" s="1795"/>
      <c r="N173" s="1795"/>
    </row>
    <row r="174" spans="1:15" x14ac:dyDescent="0.2">
      <c r="A174" s="1119"/>
      <c r="B174" s="1119"/>
      <c r="C174" s="1119"/>
      <c r="D174" s="1119"/>
      <c r="E174" s="1119"/>
      <c r="F174" s="1119"/>
      <c r="G174" s="1119"/>
      <c r="H174" s="1119"/>
      <c r="I174" s="1119"/>
      <c r="J174" s="1119"/>
      <c r="K174" s="1119"/>
      <c r="L174" s="1119"/>
      <c r="M174" s="1119"/>
    </row>
    <row r="175" spans="1:15" x14ac:dyDescent="0.2">
      <c r="A175" s="1120"/>
      <c r="B175" s="1121" t="s">
        <v>863</v>
      </c>
      <c r="C175" s="1121" t="s">
        <v>864</v>
      </c>
      <c r="D175" s="1122" t="s">
        <v>865</v>
      </c>
      <c r="E175" s="1121" t="s">
        <v>866</v>
      </c>
      <c r="F175" s="1121" t="s">
        <v>867</v>
      </c>
      <c r="G175" s="1122" t="s">
        <v>868</v>
      </c>
      <c r="H175" s="1121" t="s">
        <v>857</v>
      </c>
      <c r="I175" s="1121" t="s">
        <v>858</v>
      </c>
      <c r="J175" s="1121" t="s">
        <v>859</v>
      </c>
      <c r="K175" s="1121" t="s">
        <v>860</v>
      </c>
      <c r="L175" s="1121" t="s">
        <v>861</v>
      </c>
      <c r="M175" s="1121" t="s">
        <v>862</v>
      </c>
      <c r="N175" s="1120" t="s">
        <v>137</v>
      </c>
    </row>
    <row r="176" spans="1:15" x14ac:dyDescent="0.2">
      <c r="A176" s="1123" t="s">
        <v>332</v>
      </c>
      <c r="B176" s="1124">
        <v>1924</v>
      </c>
      <c r="C176" s="1124">
        <v>1924</v>
      </c>
      <c r="D176" s="1124">
        <v>1924</v>
      </c>
      <c r="E176" s="1124">
        <v>1924</v>
      </c>
      <c r="F176" s="1124">
        <v>1924</v>
      </c>
      <c r="G176" s="1124">
        <v>1924</v>
      </c>
      <c r="H176" s="1124">
        <v>1924</v>
      </c>
      <c r="I176" s="1124">
        <v>1924</v>
      </c>
      <c r="J176" s="1124">
        <v>1924</v>
      </c>
      <c r="K176" s="1124">
        <v>1924</v>
      </c>
      <c r="L176" s="1124">
        <v>1924</v>
      </c>
      <c r="M176" s="1124">
        <v>1924</v>
      </c>
      <c r="N176" s="1124">
        <f t="shared" ref="N176:N187" si="35">SUM(B176:M176)</f>
        <v>23088</v>
      </c>
    </row>
    <row r="177" spans="1:14" x14ac:dyDescent="0.2">
      <c r="A177" s="1123" t="s">
        <v>893</v>
      </c>
      <c r="B177" s="1124"/>
      <c r="C177" s="1124">
        <v>6.75</v>
      </c>
      <c r="D177" s="1124"/>
      <c r="E177" s="1124"/>
      <c r="F177" s="1124"/>
      <c r="G177" s="1125"/>
      <c r="H177" s="1124"/>
      <c r="I177" s="1124"/>
      <c r="J177" s="1126">
        <v>9.5</v>
      </c>
      <c r="K177" s="1124"/>
      <c r="L177" s="1124"/>
      <c r="M177" s="1124"/>
      <c r="N177" s="1124">
        <f t="shared" si="35"/>
        <v>16.25</v>
      </c>
    </row>
    <row r="178" spans="1:14" x14ac:dyDescent="0.2">
      <c r="A178" s="1123" t="s">
        <v>894</v>
      </c>
      <c r="B178" s="1124"/>
      <c r="C178" s="1124"/>
      <c r="D178" s="1124"/>
      <c r="E178" s="1124"/>
      <c r="F178" s="1124"/>
      <c r="G178" s="1125"/>
      <c r="H178" s="1124"/>
      <c r="I178" s="1124"/>
      <c r="J178" s="1124"/>
      <c r="K178" s="1124"/>
      <c r="L178" s="1124"/>
      <c r="M178" s="1120"/>
      <c r="N178" s="1124">
        <f t="shared" si="35"/>
        <v>0</v>
      </c>
    </row>
    <row r="179" spans="1:14" x14ac:dyDescent="0.2">
      <c r="A179" s="1123" t="s">
        <v>896</v>
      </c>
      <c r="B179" s="1124">
        <v>229</v>
      </c>
      <c r="C179" s="1124">
        <v>74</v>
      </c>
      <c r="D179" s="1124">
        <v>86.5</v>
      </c>
      <c r="E179" s="1124">
        <v>133.5</v>
      </c>
      <c r="F179" s="1124">
        <v>7.75</v>
      </c>
      <c r="G179" s="1125">
        <v>68</v>
      </c>
      <c r="H179" s="1124">
        <v>594</v>
      </c>
      <c r="I179" s="1124">
        <v>414.75</v>
      </c>
      <c r="J179" s="1124">
        <v>100</v>
      </c>
      <c r="K179" s="1124">
        <v>148.25</v>
      </c>
      <c r="L179" s="1124"/>
      <c r="M179" s="1124">
        <v>35.25</v>
      </c>
      <c r="N179" s="1124">
        <f t="shared" si="35"/>
        <v>1891</v>
      </c>
    </row>
    <row r="180" spans="1:14" x14ac:dyDescent="0.2">
      <c r="A180" s="1123" t="s">
        <v>897</v>
      </c>
      <c r="B180" s="1124"/>
      <c r="C180" s="1124"/>
      <c r="D180" s="1124">
        <v>47.25</v>
      </c>
      <c r="E180" s="1124">
        <v>171.75</v>
      </c>
      <c r="F180" s="1124">
        <v>28.5</v>
      </c>
      <c r="G180" s="1125"/>
      <c r="H180" s="1124"/>
      <c r="I180" s="1124"/>
      <c r="J180" s="1124"/>
      <c r="K180" s="1124"/>
      <c r="L180" s="1124"/>
      <c r="M180" s="1124"/>
      <c r="N180" s="1124">
        <f t="shared" si="35"/>
        <v>247.5</v>
      </c>
    </row>
    <row r="181" spans="1:14" x14ac:dyDescent="0.2">
      <c r="A181" s="1123" t="s">
        <v>898</v>
      </c>
      <c r="B181" s="1124">
        <v>212.5</v>
      </c>
      <c r="C181" s="1124">
        <v>51.5</v>
      </c>
      <c r="D181" s="1124">
        <v>45.25</v>
      </c>
      <c r="E181" s="1124">
        <v>30</v>
      </c>
      <c r="F181" s="1124">
        <v>7.75</v>
      </c>
      <c r="G181" s="1125"/>
      <c r="H181" s="1124"/>
      <c r="I181" s="1124">
        <v>31</v>
      </c>
      <c r="J181" s="1124">
        <v>96</v>
      </c>
      <c r="K181" s="1124">
        <v>60.25</v>
      </c>
      <c r="L181" s="1124">
        <v>125.25</v>
      </c>
      <c r="M181" s="1124">
        <v>29</v>
      </c>
      <c r="N181" s="1124">
        <f t="shared" si="35"/>
        <v>688.5</v>
      </c>
    </row>
    <row r="182" spans="1:14" x14ac:dyDescent="0.2">
      <c r="A182" s="1123" t="s">
        <v>899</v>
      </c>
      <c r="B182" s="1124"/>
      <c r="C182" s="1124">
        <v>7.75</v>
      </c>
      <c r="D182" s="1124">
        <v>7.5</v>
      </c>
      <c r="E182" s="1124"/>
      <c r="F182" s="1124"/>
      <c r="G182" s="1125">
        <v>8</v>
      </c>
      <c r="H182" s="1124">
        <v>7.5</v>
      </c>
      <c r="I182" s="1124"/>
      <c r="J182" s="1124"/>
      <c r="K182" s="1124">
        <v>15.5</v>
      </c>
      <c r="L182" s="1124"/>
      <c r="M182" s="1124"/>
      <c r="N182" s="1124">
        <f t="shared" si="35"/>
        <v>46.25</v>
      </c>
    </row>
    <row r="183" spans="1:14" x14ac:dyDescent="0.2">
      <c r="A183" s="1123" t="s">
        <v>900</v>
      </c>
      <c r="B183" s="1124">
        <v>15.5</v>
      </c>
      <c r="C183" s="1124">
        <v>13.75</v>
      </c>
      <c r="D183" s="1124"/>
      <c r="E183" s="1124">
        <v>15</v>
      </c>
      <c r="F183" s="1124"/>
      <c r="G183" s="1125">
        <v>14</v>
      </c>
      <c r="H183" s="1124">
        <v>37</v>
      </c>
      <c r="I183" s="1124">
        <v>58.5</v>
      </c>
      <c r="J183" s="1124">
        <v>23.25</v>
      </c>
      <c r="K183" s="1124">
        <v>46.75</v>
      </c>
      <c r="L183" s="1124">
        <v>36.25</v>
      </c>
      <c r="M183" s="1124">
        <v>7.5</v>
      </c>
      <c r="N183" s="1124">
        <f t="shared" si="35"/>
        <v>267.5</v>
      </c>
    </row>
    <row r="184" spans="1:14" x14ac:dyDescent="0.2">
      <c r="A184" s="1123" t="s">
        <v>901</v>
      </c>
      <c r="B184" s="1124"/>
      <c r="C184" s="1124"/>
      <c r="D184" s="1124"/>
      <c r="E184" s="1124"/>
      <c r="F184" s="1124"/>
      <c r="G184" s="1125"/>
      <c r="H184" s="1124"/>
      <c r="I184" s="1124"/>
      <c r="J184" s="1124"/>
      <c r="K184" s="1124"/>
      <c r="L184" s="1124"/>
      <c r="M184" s="1124"/>
      <c r="N184" s="1124">
        <f t="shared" si="35"/>
        <v>0</v>
      </c>
    </row>
    <row r="185" spans="1:14" x14ac:dyDescent="0.2">
      <c r="A185" s="1123" t="s">
        <v>902</v>
      </c>
      <c r="B185" s="1124">
        <v>46</v>
      </c>
      <c r="C185" s="1124">
        <v>67.5</v>
      </c>
      <c r="D185" s="1124">
        <v>46.5</v>
      </c>
      <c r="E185" s="1124"/>
      <c r="F185" s="1124">
        <v>30.25</v>
      </c>
      <c r="G185" s="1125"/>
      <c r="H185" s="1124"/>
      <c r="I185" s="1124"/>
      <c r="J185" s="1124"/>
      <c r="K185" s="1124">
        <v>11.5</v>
      </c>
      <c r="L185" s="1124"/>
      <c r="M185" s="1124">
        <v>30.5</v>
      </c>
      <c r="N185" s="1124">
        <f t="shared" si="35"/>
        <v>232.25</v>
      </c>
    </row>
    <row r="186" spans="1:14" ht="13.5" thickBot="1" x14ac:dyDescent="0.25">
      <c r="A186" s="1127" t="s">
        <v>903</v>
      </c>
      <c r="B186" s="1128"/>
      <c r="C186" s="1128"/>
      <c r="D186" s="1128"/>
      <c r="E186" s="1128"/>
      <c r="F186" s="1128"/>
      <c r="G186" s="1129"/>
      <c r="H186" s="1128"/>
      <c r="I186" s="1128"/>
      <c r="J186" s="1128">
        <v>6</v>
      </c>
      <c r="K186" s="1128">
        <v>7.75</v>
      </c>
      <c r="L186" s="1128"/>
      <c r="M186" s="1128">
        <v>15.5</v>
      </c>
      <c r="N186" s="1130">
        <f t="shared" si="35"/>
        <v>29.25</v>
      </c>
    </row>
    <row r="187" spans="1:14" ht="13.5" thickBot="1" x14ac:dyDescent="0.25">
      <c r="A187" s="1131" t="s">
        <v>904</v>
      </c>
      <c r="B187" s="1132">
        <f t="shared" ref="B187:M187" si="36">SUM(B176+B177+B178-B179-B180-B181-B183-B184-B185-B186)</f>
        <v>1421</v>
      </c>
      <c r="C187" s="1132">
        <f t="shared" si="36"/>
        <v>1724</v>
      </c>
      <c r="D187" s="1132">
        <f t="shared" si="36"/>
        <v>1698.5</v>
      </c>
      <c r="E187" s="1132">
        <f t="shared" si="36"/>
        <v>1573.75</v>
      </c>
      <c r="F187" s="1132">
        <f t="shared" si="36"/>
        <v>1849.75</v>
      </c>
      <c r="G187" s="1246">
        <f t="shared" si="36"/>
        <v>1842</v>
      </c>
      <c r="H187" s="1132">
        <f t="shared" si="36"/>
        <v>1293</v>
      </c>
      <c r="I187" s="1132">
        <f t="shared" si="36"/>
        <v>1419.75</v>
      </c>
      <c r="J187" s="1132">
        <f t="shared" si="36"/>
        <v>1708.25</v>
      </c>
      <c r="K187" s="1132">
        <f t="shared" si="36"/>
        <v>1649.5</v>
      </c>
      <c r="L187" s="1132">
        <f t="shared" si="36"/>
        <v>1762.5</v>
      </c>
      <c r="M187" s="1133">
        <f t="shared" si="36"/>
        <v>1806.25</v>
      </c>
      <c r="N187" s="1134">
        <f t="shared" si="35"/>
        <v>19748.25</v>
      </c>
    </row>
    <row r="188" spans="1:14" x14ac:dyDescent="0.2">
      <c r="A188" s="1135"/>
      <c r="B188" s="1136"/>
      <c r="C188" s="1136"/>
      <c r="D188" s="1136"/>
      <c r="E188" s="1136"/>
      <c r="F188" s="1136"/>
      <c r="G188" s="1136"/>
      <c r="H188" s="1136"/>
      <c r="I188" s="1136"/>
      <c r="J188" s="1136"/>
      <c r="K188" s="1136"/>
      <c r="L188" s="1136"/>
      <c r="M188" s="1136"/>
      <c r="N188" s="1136"/>
    </row>
    <row r="189" spans="1:14" x14ac:dyDescent="0.2">
      <c r="A189" s="1135"/>
      <c r="B189" s="1136"/>
      <c r="C189" s="1136"/>
      <c r="D189" s="1136"/>
      <c r="E189" s="1136"/>
      <c r="F189" s="1136"/>
      <c r="G189" s="1136"/>
      <c r="H189" s="1136"/>
      <c r="I189" s="1136"/>
      <c r="J189" s="1136"/>
      <c r="K189" s="1136"/>
      <c r="L189" s="1136"/>
      <c r="M189" s="1136"/>
      <c r="N189" s="1137" t="s">
        <v>905</v>
      </c>
    </row>
    <row r="190" spans="1:14" x14ac:dyDescent="0.2">
      <c r="A190" s="1123" t="s">
        <v>906</v>
      </c>
      <c r="B190" s="1124">
        <f t="shared" ref="B190:M190" si="37">SUM(B177*100/B187)</f>
        <v>0</v>
      </c>
      <c r="C190" s="1124">
        <f t="shared" si="37"/>
        <v>0.39153132250580047</v>
      </c>
      <c r="D190" s="1124">
        <f t="shared" si="37"/>
        <v>0</v>
      </c>
      <c r="E190" s="1124">
        <f t="shared" si="37"/>
        <v>0</v>
      </c>
      <c r="F190" s="1124">
        <f t="shared" si="37"/>
        <v>0</v>
      </c>
      <c r="G190" s="1124">
        <f t="shared" si="37"/>
        <v>0</v>
      </c>
      <c r="H190" s="1124">
        <f t="shared" si="37"/>
        <v>0</v>
      </c>
      <c r="I190" s="1124">
        <f t="shared" si="37"/>
        <v>0</v>
      </c>
      <c r="J190" s="1124">
        <f t="shared" si="37"/>
        <v>0.55612468900921996</v>
      </c>
      <c r="K190" s="1124">
        <f t="shared" si="37"/>
        <v>0</v>
      </c>
      <c r="L190" s="1124">
        <f t="shared" si="37"/>
        <v>0</v>
      </c>
      <c r="M190" s="1124">
        <f t="shared" si="37"/>
        <v>0</v>
      </c>
      <c r="N190" s="1138">
        <f>SUM(B190:M190)/12</f>
        <v>7.8971334292918374E-2</v>
      </c>
    </row>
    <row r="191" spans="1:14" x14ac:dyDescent="0.2">
      <c r="A191" s="1135"/>
      <c r="B191" s="1136"/>
      <c r="C191" s="1136"/>
      <c r="D191" s="1136"/>
      <c r="E191" s="1136"/>
      <c r="F191" s="1136"/>
      <c r="G191" s="1136"/>
      <c r="H191" s="1136"/>
      <c r="I191" s="1136"/>
      <c r="J191" s="1136"/>
      <c r="K191" s="1136"/>
      <c r="L191" s="1136"/>
      <c r="M191" s="1136"/>
      <c r="N191" s="1119"/>
    </row>
    <row r="192" spans="1:14" x14ac:dyDescent="0.2">
      <c r="A192" s="1123" t="s">
        <v>907</v>
      </c>
      <c r="B192" s="1124">
        <f t="shared" ref="B192:M192" si="38">SUM(B181*100/B187)</f>
        <v>14.954257565095004</v>
      </c>
      <c r="C192" s="1124">
        <f t="shared" si="38"/>
        <v>2.9872389791183296</v>
      </c>
      <c r="D192" s="1124">
        <f t="shared" si="38"/>
        <v>2.6641153959375918</v>
      </c>
      <c r="E192" s="1124">
        <f t="shared" si="38"/>
        <v>1.9062748212867355</v>
      </c>
      <c r="F192" s="1124">
        <f t="shared" si="38"/>
        <v>0.41897553723476144</v>
      </c>
      <c r="G192" s="1124">
        <f t="shared" si="38"/>
        <v>0</v>
      </c>
      <c r="H192" s="1124">
        <f t="shared" si="38"/>
        <v>0</v>
      </c>
      <c r="I192" s="1124">
        <f t="shared" si="38"/>
        <v>2.1834830075717555</v>
      </c>
      <c r="J192" s="1124">
        <f t="shared" si="38"/>
        <v>5.6197863310405385</v>
      </c>
      <c r="K192" s="1124">
        <f t="shared" si="38"/>
        <v>3.6526220066686874</v>
      </c>
      <c r="L192" s="1124">
        <f t="shared" si="38"/>
        <v>7.1063829787234045</v>
      </c>
      <c r="M192" s="1124">
        <f t="shared" si="38"/>
        <v>1.6055363321799307</v>
      </c>
      <c r="N192" s="1138">
        <f>SUM(B192:M192)/12</f>
        <v>3.591556079571395</v>
      </c>
    </row>
    <row r="193" spans="1:14" ht="13.5" thickBot="1" x14ac:dyDescent="0.25">
      <c r="A193" s="1139" t="s">
        <v>908</v>
      </c>
      <c r="B193" s="1130">
        <f t="shared" ref="B193:M193" si="39">SUM(B182*100/B187)</f>
        <v>0</v>
      </c>
      <c r="C193" s="1130">
        <f t="shared" si="39"/>
        <v>0.44953596287703018</v>
      </c>
      <c r="D193" s="1130">
        <f t="shared" si="39"/>
        <v>0.44156608772446276</v>
      </c>
      <c r="E193" s="1130">
        <f t="shared" si="39"/>
        <v>0</v>
      </c>
      <c r="F193" s="1130">
        <f t="shared" si="39"/>
        <v>0</v>
      </c>
      <c r="G193" s="1130">
        <f t="shared" si="39"/>
        <v>0.43431053203040176</v>
      </c>
      <c r="H193" s="1130">
        <f t="shared" si="39"/>
        <v>0.58004640371229699</v>
      </c>
      <c r="I193" s="1130">
        <f t="shared" si="39"/>
        <v>0</v>
      </c>
      <c r="J193" s="1130">
        <f t="shared" si="39"/>
        <v>0</v>
      </c>
      <c r="K193" s="1130">
        <f t="shared" si="39"/>
        <v>0.93967869051227648</v>
      </c>
      <c r="L193" s="1130">
        <f t="shared" si="39"/>
        <v>0</v>
      </c>
      <c r="M193" s="1130">
        <f t="shared" si="39"/>
        <v>0</v>
      </c>
      <c r="N193" s="1138">
        <f>SUM(B193:M193)/12</f>
        <v>0.23709480640470568</v>
      </c>
    </row>
    <row r="194" spans="1:14" ht="13.5" thickBot="1" x14ac:dyDescent="0.25">
      <c r="A194" s="1141" t="s">
        <v>909</v>
      </c>
      <c r="B194" s="1142">
        <f t="shared" ref="B194:M194" si="40">SUM(B192:B192)</f>
        <v>14.954257565095004</v>
      </c>
      <c r="C194" s="1142">
        <f t="shared" si="40"/>
        <v>2.9872389791183296</v>
      </c>
      <c r="D194" s="1142">
        <f t="shared" si="40"/>
        <v>2.6641153959375918</v>
      </c>
      <c r="E194" s="1142">
        <f t="shared" si="40"/>
        <v>1.9062748212867355</v>
      </c>
      <c r="F194" s="1142">
        <f t="shared" si="40"/>
        <v>0.41897553723476144</v>
      </c>
      <c r="G194" s="1142">
        <f t="shared" si="40"/>
        <v>0</v>
      </c>
      <c r="H194" s="1142">
        <f t="shared" si="40"/>
        <v>0</v>
      </c>
      <c r="I194" s="1142">
        <f t="shared" si="40"/>
        <v>2.1834830075717555</v>
      </c>
      <c r="J194" s="1142">
        <f t="shared" si="40"/>
        <v>5.6197863310405385</v>
      </c>
      <c r="K194" s="1142">
        <f t="shared" si="40"/>
        <v>3.6526220066686874</v>
      </c>
      <c r="L194" s="1142">
        <f t="shared" si="40"/>
        <v>7.1063829787234045</v>
      </c>
      <c r="M194" s="1142">
        <f t="shared" si="40"/>
        <v>1.6055363321799307</v>
      </c>
      <c r="N194" s="1143">
        <f>SUM(N192:N193)</f>
        <v>3.8286508859761006</v>
      </c>
    </row>
    <row r="195" spans="1:14" x14ac:dyDescent="0.2">
      <c r="A195" s="1135" t="s">
        <v>910</v>
      </c>
      <c r="B195" s="1136"/>
      <c r="C195" s="1136"/>
      <c r="D195" s="1144">
        <f>SUM(B194:D194)/3</f>
        <v>6.8685373133836416</v>
      </c>
      <c r="E195" s="1136"/>
      <c r="F195" s="1136"/>
      <c r="G195" s="1144">
        <f>SUM(E194,F194,G194)/3</f>
        <v>0.77508345284049895</v>
      </c>
      <c r="H195" s="1136"/>
      <c r="I195" s="1136"/>
      <c r="J195" s="1144">
        <f>SUM(H194,I194,J194)/3</f>
        <v>2.6010897795374315</v>
      </c>
      <c r="K195" s="1136"/>
      <c r="L195" s="1136"/>
      <c r="M195" s="1144">
        <f>SUM(K194,L194,M194)/3</f>
        <v>4.1215137725240076</v>
      </c>
      <c r="N195" s="1145">
        <f>SUM(D195:M195)/4</f>
        <v>3.591556079571395</v>
      </c>
    </row>
    <row r="196" spans="1:14" x14ac:dyDescent="0.2">
      <c r="A196" s="1135" t="s">
        <v>911</v>
      </c>
      <c r="B196" s="1136"/>
      <c r="C196" s="1136"/>
      <c r="D196" s="1146"/>
      <c r="E196" s="1136"/>
      <c r="F196" s="1136"/>
      <c r="G196" s="1146"/>
      <c r="H196" s="1136"/>
      <c r="I196" s="1136"/>
      <c r="J196" s="1146"/>
      <c r="K196" s="1136"/>
      <c r="L196" s="1136"/>
      <c r="M196" s="1146"/>
      <c r="N196" s="1138">
        <f>SUM(D196:G196,J196,M196)/4</f>
        <v>0</v>
      </c>
    </row>
    <row r="197" spans="1:14" x14ac:dyDescent="0.2">
      <c r="A197" s="1135"/>
      <c r="B197" s="1136"/>
      <c r="C197" s="1136"/>
      <c r="D197" s="1136"/>
      <c r="E197" s="1136"/>
      <c r="F197" s="1136"/>
      <c r="G197" s="1136"/>
      <c r="H197" s="1136"/>
      <c r="I197" s="1136"/>
      <c r="J197" s="1136"/>
      <c r="K197" s="1136"/>
      <c r="L197" s="1136"/>
      <c r="M197" s="1136"/>
      <c r="N197" s="1136"/>
    </row>
    <row r="198" spans="1:14" x14ac:dyDescent="0.2">
      <c r="A198" s="1123" t="s">
        <v>912</v>
      </c>
      <c r="B198" s="1124">
        <f t="shared" ref="B198:M198" si="41">B185*100/B187</f>
        <v>3.2371569317382125</v>
      </c>
      <c r="C198" s="1124">
        <f t="shared" si="41"/>
        <v>3.9153132250580045</v>
      </c>
      <c r="D198" s="1124">
        <f t="shared" si="41"/>
        <v>2.7377097438916693</v>
      </c>
      <c r="E198" s="1124">
        <f t="shared" si="41"/>
        <v>0</v>
      </c>
      <c r="F198" s="1124">
        <f t="shared" si="41"/>
        <v>1.6353561292066496</v>
      </c>
      <c r="G198" s="1124">
        <f t="shared" si="41"/>
        <v>0</v>
      </c>
      <c r="H198" s="1124">
        <f t="shared" si="41"/>
        <v>0</v>
      </c>
      <c r="I198" s="1124">
        <f t="shared" si="41"/>
        <v>0</v>
      </c>
      <c r="J198" s="1124">
        <f t="shared" si="41"/>
        <v>0</v>
      </c>
      <c r="K198" s="1124">
        <f t="shared" si="41"/>
        <v>0.69718096392846318</v>
      </c>
      <c r="L198" s="1124">
        <f t="shared" si="41"/>
        <v>0</v>
      </c>
      <c r="M198" s="1124">
        <f t="shared" si="41"/>
        <v>1.6885813148788926</v>
      </c>
      <c r="N198" s="1138">
        <f>SUM(B198:M198)/12</f>
        <v>1.1592748590584909</v>
      </c>
    </row>
    <row r="199" spans="1:14" x14ac:dyDescent="0.2">
      <c r="A199" s="1123" t="s">
        <v>913</v>
      </c>
      <c r="B199" s="1124">
        <f t="shared" ref="B199:M199" si="42">B183*100/B187</f>
        <v>1.0907811400422238</v>
      </c>
      <c r="C199" s="1124">
        <f t="shared" si="42"/>
        <v>0.79756380510440839</v>
      </c>
      <c r="D199" s="1124">
        <f t="shared" si="42"/>
        <v>0</v>
      </c>
      <c r="E199" s="1124">
        <f t="shared" si="42"/>
        <v>0.95313741064336777</v>
      </c>
      <c r="F199" s="1124">
        <f t="shared" si="42"/>
        <v>0</v>
      </c>
      <c r="G199" s="1124">
        <f t="shared" si="42"/>
        <v>0.76004343105320304</v>
      </c>
      <c r="H199" s="1124">
        <f t="shared" si="42"/>
        <v>2.8615622583139984</v>
      </c>
      <c r="I199" s="1124">
        <f t="shared" si="42"/>
        <v>4.1204437400950873</v>
      </c>
      <c r="J199" s="1124">
        <f t="shared" si="42"/>
        <v>1.3610420020488805</v>
      </c>
      <c r="K199" s="1124">
        <f t="shared" si="42"/>
        <v>2.8341921794483178</v>
      </c>
      <c r="L199" s="1124">
        <f t="shared" si="42"/>
        <v>2.0567375886524824</v>
      </c>
      <c r="M199" s="1124">
        <f t="shared" si="42"/>
        <v>0.41522491349480967</v>
      </c>
      <c r="N199" s="1138">
        <f>SUM(B199:M199)/12</f>
        <v>1.4375607057413984</v>
      </c>
    </row>
    <row r="200" spans="1:14" ht="13.5" thickBot="1" x14ac:dyDescent="0.25">
      <c r="A200" s="1123" t="s">
        <v>914</v>
      </c>
      <c r="B200" s="1124">
        <f t="shared" ref="B200:M200" si="43">B179*100/B187</f>
        <v>16.115411681914146</v>
      </c>
      <c r="C200" s="1124">
        <f t="shared" si="43"/>
        <v>4.2923433874709973</v>
      </c>
      <c r="D200" s="1124">
        <f t="shared" si="43"/>
        <v>5.092728878422137</v>
      </c>
      <c r="E200" s="1124">
        <f t="shared" si="43"/>
        <v>8.4829229547259732</v>
      </c>
      <c r="F200" s="1124">
        <f t="shared" si="43"/>
        <v>0.41897553723476144</v>
      </c>
      <c r="G200" s="1124">
        <f t="shared" si="43"/>
        <v>3.6916395222584146</v>
      </c>
      <c r="H200" s="1124">
        <f t="shared" si="43"/>
        <v>45.939675174013921</v>
      </c>
      <c r="I200" s="1124">
        <f t="shared" si="43"/>
        <v>29.212889593238245</v>
      </c>
      <c r="J200" s="1124">
        <f t="shared" si="43"/>
        <v>5.8539440948338948</v>
      </c>
      <c r="K200" s="1124">
        <f t="shared" si="43"/>
        <v>8.9875719915125796</v>
      </c>
      <c r="L200" s="1124">
        <f t="shared" si="43"/>
        <v>0</v>
      </c>
      <c r="M200" s="1124">
        <f t="shared" si="43"/>
        <v>1.9515570934256055</v>
      </c>
      <c r="N200" s="1140">
        <f>SUM(B200:M200)/12</f>
        <v>10.836638325754222</v>
      </c>
    </row>
    <row r="201" spans="1:14" ht="13.5" thickBot="1" x14ac:dyDescent="0.25">
      <c r="A201" s="1147" t="s">
        <v>915</v>
      </c>
      <c r="B201" s="1148">
        <f t="shared" ref="B201:M201" si="44">SUM(B176-B187)*100/B187</f>
        <v>35.397607318789582</v>
      </c>
      <c r="C201" s="1148">
        <f t="shared" si="44"/>
        <v>11.600928074245939</v>
      </c>
      <c r="D201" s="1148">
        <f t="shared" si="44"/>
        <v>13.276420370915513</v>
      </c>
      <c r="E201" s="1148">
        <f t="shared" si="44"/>
        <v>22.255758538522638</v>
      </c>
      <c r="F201" s="1148">
        <f t="shared" si="44"/>
        <v>4.0140559535072304</v>
      </c>
      <c r="G201" s="1148">
        <f t="shared" si="44"/>
        <v>4.451682953311618</v>
      </c>
      <c r="H201" s="1148">
        <f t="shared" si="44"/>
        <v>48.801237432327916</v>
      </c>
      <c r="I201" s="1148">
        <f t="shared" si="44"/>
        <v>35.516816340905088</v>
      </c>
      <c r="J201" s="1148">
        <f t="shared" si="44"/>
        <v>12.629884384604127</v>
      </c>
      <c r="K201" s="1148">
        <f t="shared" si="44"/>
        <v>16.641406486814187</v>
      </c>
      <c r="L201" s="1148">
        <f t="shared" si="44"/>
        <v>9.163120567375886</v>
      </c>
      <c r="M201" s="1262">
        <f t="shared" si="44"/>
        <v>6.5190311418685125</v>
      </c>
      <c r="N201" s="1263">
        <f>SUM(B201:M201)/12</f>
        <v>18.355662463599021</v>
      </c>
    </row>
    <row r="202" spans="1:14" x14ac:dyDescent="0.2">
      <c r="A202" s="1135"/>
      <c r="B202" s="1136"/>
      <c r="C202" s="1136"/>
      <c r="D202" s="1136"/>
      <c r="E202" s="1136"/>
      <c r="F202" s="1136"/>
      <c r="G202" s="1136"/>
      <c r="H202" s="1136"/>
      <c r="I202" s="1136"/>
      <c r="J202" s="1136"/>
      <c r="K202" s="1136"/>
      <c r="L202" s="1136"/>
      <c r="M202" s="1136"/>
      <c r="N202" s="1119"/>
    </row>
    <row r="203" spans="1:14" x14ac:dyDescent="0.2">
      <c r="A203" s="1150" t="s">
        <v>916</v>
      </c>
      <c r="B203" s="1136"/>
      <c r="C203" s="1136"/>
      <c r="D203" s="1136"/>
      <c r="E203" s="1136"/>
      <c r="F203" s="1136"/>
      <c r="G203" s="1136"/>
      <c r="H203" s="1136"/>
      <c r="I203" s="1136"/>
      <c r="J203" s="1136"/>
      <c r="K203" s="1136"/>
      <c r="L203" s="1136"/>
      <c r="M203" s="1136"/>
      <c r="N203" s="1119"/>
    </row>
    <row r="204" spans="1:14" x14ac:dyDescent="0.2">
      <c r="A204" s="1123" t="s">
        <v>917</v>
      </c>
      <c r="B204" s="1151">
        <v>12</v>
      </c>
      <c r="C204" s="1151">
        <f t="shared" ref="C204:N204" si="45">B207</f>
        <v>13</v>
      </c>
      <c r="D204" s="1151">
        <f t="shared" si="45"/>
        <v>13</v>
      </c>
      <c r="E204" s="1151">
        <f t="shared" si="45"/>
        <v>13</v>
      </c>
      <c r="F204" s="1151">
        <f t="shared" si="45"/>
        <v>13</v>
      </c>
      <c r="G204" s="1151">
        <f t="shared" si="45"/>
        <v>13</v>
      </c>
      <c r="H204" s="1151">
        <f t="shared" si="45"/>
        <v>13</v>
      </c>
      <c r="I204" s="1151">
        <f t="shared" si="45"/>
        <v>13</v>
      </c>
      <c r="J204" s="1151">
        <f t="shared" si="45"/>
        <v>13</v>
      </c>
      <c r="K204" s="1151">
        <f t="shared" si="45"/>
        <v>13</v>
      </c>
      <c r="L204" s="1151">
        <f t="shared" si="45"/>
        <v>13</v>
      </c>
      <c r="M204" s="1151">
        <f t="shared" si="45"/>
        <v>13</v>
      </c>
      <c r="N204" s="1151">
        <f t="shared" si="45"/>
        <v>13</v>
      </c>
    </row>
    <row r="205" spans="1:14" x14ac:dyDescent="0.2">
      <c r="A205" s="1123" t="s">
        <v>918</v>
      </c>
      <c r="B205" s="1151">
        <v>1</v>
      </c>
      <c r="C205" s="1151"/>
      <c r="D205" s="1151"/>
      <c r="E205" s="1151"/>
      <c r="F205" s="1151"/>
      <c r="G205" s="1151"/>
      <c r="H205" s="1151"/>
      <c r="I205" s="1151"/>
      <c r="J205" s="1151"/>
      <c r="K205" s="1151"/>
      <c r="L205" s="1151"/>
      <c r="M205" s="1151"/>
      <c r="N205" s="1151">
        <f>SUM(B205:M205)/12</f>
        <v>8.3333333333333329E-2</v>
      </c>
    </row>
    <row r="206" spans="1:14" x14ac:dyDescent="0.2">
      <c r="A206" s="1123" t="s">
        <v>919</v>
      </c>
      <c r="B206" s="1151"/>
      <c r="C206" s="1151"/>
      <c r="D206" s="1151"/>
      <c r="E206" s="1151"/>
      <c r="F206" s="1151"/>
      <c r="G206" s="1151"/>
      <c r="H206" s="1151"/>
      <c r="I206" s="1151"/>
      <c r="J206" s="1151"/>
      <c r="K206" s="1151"/>
      <c r="L206" s="1151"/>
      <c r="M206" s="1151"/>
      <c r="N206" s="1151">
        <f>SUM(B205:M205)/12</f>
        <v>8.3333333333333329E-2</v>
      </c>
    </row>
    <row r="207" spans="1:14" x14ac:dyDescent="0.2">
      <c r="A207" s="1123" t="s">
        <v>916</v>
      </c>
      <c r="B207" s="1151">
        <f t="shared" ref="B207:M207" si="46">SUM(B204+B205-B206)</f>
        <v>13</v>
      </c>
      <c r="C207" s="1151">
        <f t="shared" si="46"/>
        <v>13</v>
      </c>
      <c r="D207" s="1151">
        <f t="shared" si="46"/>
        <v>13</v>
      </c>
      <c r="E207" s="1151">
        <f t="shared" si="46"/>
        <v>13</v>
      </c>
      <c r="F207" s="1151">
        <f t="shared" si="46"/>
        <v>13</v>
      </c>
      <c r="G207" s="1151">
        <f t="shared" si="46"/>
        <v>13</v>
      </c>
      <c r="H207" s="1151">
        <f t="shared" si="46"/>
        <v>13</v>
      </c>
      <c r="I207" s="1151">
        <f t="shared" si="46"/>
        <v>13</v>
      </c>
      <c r="J207" s="1151">
        <f t="shared" si="46"/>
        <v>13</v>
      </c>
      <c r="K207" s="1151">
        <f t="shared" si="46"/>
        <v>13</v>
      </c>
      <c r="L207" s="1151">
        <f t="shared" si="46"/>
        <v>13</v>
      </c>
      <c r="M207" s="1151">
        <f t="shared" si="46"/>
        <v>13</v>
      </c>
      <c r="N207" s="1151">
        <f>SUM(B206:M206)/12</f>
        <v>0</v>
      </c>
    </row>
    <row r="208" spans="1:14" x14ac:dyDescent="0.2">
      <c r="A208" s="1123" t="s">
        <v>920</v>
      </c>
      <c r="B208" s="1152">
        <f t="shared" ref="B208:M208" si="47">SUM(B207*100)/B204-100</f>
        <v>8.3333333333333286</v>
      </c>
      <c r="C208" s="1152">
        <f t="shared" si="47"/>
        <v>0</v>
      </c>
      <c r="D208" s="1152">
        <f t="shared" si="47"/>
        <v>0</v>
      </c>
      <c r="E208" s="1152">
        <f t="shared" si="47"/>
        <v>0</v>
      </c>
      <c r="F208" s="1152">
        <f t="shared" si="47"/>
        <v>0</v>
      </c>
      <c r="G208" s="1152">
        <f t="shared" si="47"/>
        <v>0</v>
      </c>
      <c r="H208" s="1152">
        <f t="shared" si="47"/>
        <v>0</v>
      </c>
      <c r="I208" s="1152">
        <f t="shared" si="47"/>
        <v>0</v>
      </c>
      <c r="J208" s="1152">
        <f t="shared" si="47"/>
        <v>0</v>
      </c>
      <c r="K208" s="1152">
        <f t="shared" si="47"/>
        <v>0</v>
      </c>
      <c r="L208" s="1152">
        <f t="shared" si="47"/>
        <v>0</v>
      </c>
      <c r="M208" s="1152">
        <f t="shared" si="47"/>
        <v>0</v>
      </c>
      <c r="N208" s="1151"/>
    </row>
    <row r="209" spans="1:14" x14ac:dyDescent="0.2">
      <c r="A209" s="1135" t="s">
        <v>921</v>
      </c>
      <c r="B209" s="1153"/>
      <c r="C209" s="1153"/>
      <c r="D209" s="1154">
        <f>SUM(B208:D208/3)</f>
        <v>0</v>
      </c>
      <c r="E209" s="1153"/>
      <c r="F209" s="1153"/>
      <c r="G209" s="1154">
        <f>SUM(E208:G208)/3</f>
        <v>0</v>
      </c>
      <c r="H209" s="1153"/>
      <c r="I209" s="1153"/>
      <c r="J209" s="1154">
        <f>SUM(H208:J208)/3</f>
        <v>0</v>
      </c>
      <c r="K209" s="1153"/>
      <c r="L209" s="1153"/>
      <c r="M209" s="1154">
        <f>SUM(K208:M208)/3</f>
        <v>0</v>
      </c>
      <c r="N209" s="1153"/>
    </row>
    <row r="210" spans="1:14" ht="13.5" thickBot="1" x14ac:dyDescent="0.25">
      <c r="A210" s="1264"/>
      <c r="B210" s="1265"/>
      <c r="C210" s="1265"/>
      <c r="D210" s="1265"/>
      <c r="E210" s="1265"/>
      <c r="F210" s="1265"/>
      <c r="G210" s="1265"/>
      <c r="H210" s="1265"/>
      <c r="I210" s="1265"/>
      <c r="J210" s="1265"/>
      <c r="K210" s="1265"/>
      <c r="L210" s="1265"/>
      <c r="M210" s="1265"/>
      <c r="N210" s="1266"/>
    </row>
    <row r="211" spans="1:14" ht="15.75" x14ac:dyDescent="0.25">
      <c r="A211" s="1267" t="s">
        <v>1044</v>
      </c>
      <c r="B211" s="1267"/>
      <c r="C211" s="1267"/>
      <c r="D211" s="1267"/>
      <c r="E211" s="1267"/>
      <c r="F211" s="1267"/>
      <c r="G211" s="1267"/>
      <c r="H211" s="1267"/>
      <c r="I211" s="1267"/>
      <c r="J211" s="1267"/>
      <c r="K211" s="1267"/>
      <c r="L211" s="1267"/>
      <c r="M211" s="1267"/>
      <c r="N211" s="1267"/>
    </row>
    <row r="212" spans="1:14" ht="15.75" x14ac:dyDescent="0.25">
      <c r="E212" s="1174"/>
      <c r="M212" s="1136"/>
      <c r="N212" s="1119"/>
    </row>
    <row r="213" spans="1:14" x14ac:dyDescent="0.2">
      <c r="A213" s="1268" t="s">
        <v>1045</v>
      </c>
      <c r="B213" s="1269"/>
      <c r="C213" s="1270"/>
      <c r="D213" s="1184" t="s">
        <v>939</v>
      </c>
      <c r="I213" s="1175" t="s">
        <v>1046</v>
      </c>
      <c r="J213" s="1269"/>
      <c r="K213" s="1269"/>
      <c r="L213" s="1269"/>
      <c r="M213" s="1180"/>
      <c r="N213" s="1119"/>
    </row>
    <row r="214" spans="1:14" x14ac:dyDescent="0.2">
      <c r="A214" s="1271" t="s">
        <v>1047</v>
      </c>
      <c r="B214" s="1272"/>
      <c r="C214" s="1273"/>
      <c r="D214" s="1182">
        <v>270553</v>
      </c>
      <c r="E214" s="1183"/>
      <c r="I214" s="1754"/>
      <c r="J214" s="1754" t="s">
        <v>945</v>
      </c>
      <c r="K214" s="1772"/>
      <c r="L214" s="1162" t="s">
        <v>1048</v>
      </c>
      <c r="M214" s="1755" t="s">
        <v>946</v>
      </c>
      <c r="N214" s="1119"/>
    </row>
    <row r="215" spans="1:14" x14ac:dyDescent="0.2">
      <c r="A215" s="1271" t="s">
        <v>1049</v>
      </c>
      <c r="B215" s="1272"/>
      <c r="C215" s="1181"/>
      <c r="D215" s="1182">
        <v>374793</v>
      </c>
      <c r="E215" s="1183"/>
      <c r="I215" s="1178" t="s">
        <v>1050</v>
      </c>
      <c r="J215" s="1195"/>
      <c r="K215" s="1181"/>
      <c r="L215" s="1184"/>
      <c r="M215" s="1203">
        <v>409854</v>
      </c>
      <c r="N215" s="1119"/>
    </row>
    <row r="216" spans="1:14" x14ac:dyDescent="0.2">
      <c r="A216" s="1271" t="s">
        <v>1051</v>
      </c>
      <c r="B216" s="1272"/>
      <c r="C216" s="1181"/>
      <c r="D216" s="1182">
        <v>324584</v>
      </c>
      <c r="E216" s="1183"/>
      <c r="I216" s="1178"/>
      <c r="J216" s="1195"/>
      <c r="K216" s="1181"/>
      <c r="L216" s="1184"/>
      <c r="M216" s="1182"/>
      <c r="N216" s="1119"/>
    </row>
    <row r="217" spans="1:14" ht="13.5" thickBot="1" x14ac:dyDescent="0.25">
      <c r="A217" s="1271" t="s">
        <v>1052</v>
      </c>
      <c r="B217" s="1176"/>
      <c r="C217" s="1181" t="s">
        <v>1053</v>
      </c>
      <c r="D217" s="1182">
        <v>0</v>
      </c>
      <c r="E217" s="1183"/>
      <c r="I217" s="1201" t="s">
        <v>1054</v>
      </c>
      <c r="J217" s="1202" t="s">
        <v>1055</v>
      </c>
      <c r="K217" s="1206"/>
      <c r="L217" s="1204"/>
      <c r="M217" s="1773">
        <v>3371151</v>
      </c>
      <c r="N217" s="1119"/>
    </row>
    <row r="218" spans="1:14" ht="13.5" thickBot="1" x14ac:dyDescent="0.25">
      <c r="A218" s="1271" t="s">
        <v>1056</v>
      </c>
      <c r="B218" s="1176"/>
      <c r="C218" s="1181"/>
      <c r="D218" s="1182">
        <v>387378</v>
      </c>
      <c r="E218" s="1183"/>
      <c r="I218" s="1274" t="s">
        <v>154</v>
      </c>
      <c r="J218" s="1275"/>
      <c r="K218" s="1276"/>
      <c r="L218" s="1277"/>
      <c r="M218" s="1756">
        <f>SUM(M215:M217)</f>
        <v>3781005</v>
      </c>
      <c r="N218" s="1119"/>
    </row>
    <row r="219" spans="1:14" x14ac:dyDescent="0.2">
      <c r="A219" s="1271" t="s">
        <v>1057</v>
      </c>
      <c r="B219" s="1176"/>
      <c r="C219" s="1181"/>
      <c r="D219" s="1182">
        <v>366442</v>
      </c>
      <c r="E219" s="1183"/>
      <c r="I219" s="1178" t="s">
        <v>153</v>
      </c>
      <c r="J219" s="1176"/>
      <c r="K219" s="1176"/>
      <c r="L219" s="1278"/>
      <c r="M219" s="1285">
        <f>M218/12</f>
        <v>315083.75</v>
      </c>
      <c r="N219" s="1119"/>
    </row>
    <row r="220" spans="1:14" x14ac:dyDescent="0.2">
      <c r="A220" s="1178" t="s">
        <v>990</v>
      </c>
      <c r="B220" s="1176"/>
      <c r="C220" s="1181"/>
      <c r="D220" s="1182">
        <v>298900</v>
      </c>
      <c r="E220" s="1183"/>
      <c r="G220" s="1136"/>
      <c r="H220" s="1136"/>
      <c r="I220" s="1136"/>
      <c r="J220" s="1136"/>
      <c r="K220" s="1136"/>
      <c r="L220" s="1212"/>
      <c r="M220" s="1136"/>
      <c r="N220" s="1119"/>
    </row>
    <row r="221" spans="1:14" ht="13.5" thickBot="1" x14ac:dyDescent="0.25">
      <c r="A221" s="1279" t="s">
        <v>1058</v>
      </c>
      <c r="C221" s="1280"/>
      <c r="D221" s="1182">
        <v>26460</v>
      </c>
      <c r="E221" s="1183"/>
      <c r="G221" s="1136"/>
      <c r="H221" s="1136"/>
      <c r="I221" s="1136"/>
      <c r="J221" s="1136"/>
      <c r="K221" s="1136"/>
      <c r="L221" s="1212"/>
      <c r="M221" s="1136"/>
      <c r="N221" s="1119"/>
    </row>
    <row r="222" spans="1:14" ht="13.5" thickBot="1" x14ac:dyDescent="0.25">
      <c r="A222" s="1186" t="s">
        <v>154</v>
      </c>
      <c r="B222" s="1188"/>
      <c r="C222" s="1281"/>
      <c r="D222" s="1756">
        <f>SUM(D214:D221)</f>
        <v>2049110</v>
      </c>
      <c r="E222" s="1183"/>
      <c r="G222" s="1136"/>
      <c r="H222" s="1136"/>
      <c r="I222" s="1136"/>
      <c r="J222" s="1136"/>
      <c r="K222" s="1136"/>
      <c r="L222" s="1777"/>
      <c r="M222" s="1136"/>
      <c r="N222" s="1119"/>
    </row>
    <row r="223" spans="1:14" x14ac:dyDescent="0.2">
      <c r="A223" s="1282" t="s">
        <v>153</v>
      </c>
      <c r="B223" s="1283"/>
      <c r="C223" s="1284"/>
      <c r="D223" s="1285">
        <f>D222/12</f>
        <v>170759.16666666666</v>
      </c>
      <c r="E223" s="1183"/>
      <c r="G223" s="1136"/>
      <c r="H223" s="1136"/>
      <c r="I223" s="1136"/>
      <c r="J223" s="1136"/>
      <c r="K223" s="1136"/>
      <c r="L223" s="1777"/>
      <c r="M223" s="1136"/>
      <c r="N223" s="1119"/>
    </row>
    <row r="224" spans="1:14" x14ac:dyDescent="0.2">
      <c r="C224" s="1286"/>
      <c r="E224" s="1183"/>
      <c r="G224" s="1136"/>
      <c r="H224" s="1136"/>
      <c r="I224" s="1136"/>
      <c r="J224" s="1136"/>
      <c r="K224" s="1136"/>
      <c r="L224" s="1777"/>
      <c r="M224" s="1136"/>
      <c r="N224" s="1119"/>
    </row>
    <row r="225" spans="1:14" x14ac:dyDescent="0.2">
      <c r="C225" s="1286"/>
      <c r="E225" s="1183"/>
      <c r="G225" s="1136"/>
      <c r="H225" s="1136"/>
      <c r="I225" s="1136"/>
      <c r="J225" s="1136"/>
      <c r="K225" s="1136"/>
      <c r="L225" s="1777"/>
      <c r="M225" s="1136"/>
      <c r="N225" s="1119"/>
    </row>
    <row r="226" spans="1:14" x14ac:dyDescent="0.2">
      <c r="C226" s="1286"/>
      <c r="E226" s="1183"/>
      <c r="G226" s="1136"/>
      <c r="H226" s="1136"/>
      <c r="I226" s="1136"/>
      <c r="J226" s="1136"/>
      <c r="K226" s="1136"/>
      <c r="L226" s="1777"/>
      <c r="M226" s="1136"/>
      <c r="N226" s="1119"/>
    </row>
    <row r="227" spans="1:14" x14ac:dyDescent="0.2">
      <c r="C227" s="1286"/>
      <c r="E227" s="1183"/>
      <c r="G227" s="1136"/>
      <c r="H227" s="1136"/>
      <c r="I227" s="1136"/>
      <c r="J227" s="1136"/>
      <c r="K227" s="1136"/>
      <c r="L227" s="1777"/>
      <c r="M227" s="1136"/>
      <c r="N227" s="1119"/>
    </row>
    <row r="228" spans="1:14" x14ac:dyDescent="0.2">
      <c r="A228" s="1150" t="s">
        <v>1014</v>
      </c>
      <c r="B228" s="1136"/>
      <c r="C228" s="1136"/>
      <c r="D228" s="1136"/>
      <c r="E228" s="1136"/>
      <c r="F228" s="1136"/>
      <c r="G228" s="1136"/>
      <c r="H228" s="1136"/>
      <c r="I228" s="1136"/>
      <c r="J228" s="1136"/>
      <c r="K228" s="1136"/>
      <c r="L228" s="1136"/>
      <c r="M228" s="1136"/>
      <c r="N228" s="1119"/>
    </row>
    <row r="229" spans="1:14" x14ac:dyDescent="0.2">
      <c r="A229" s="1220"/>
      <c r="B229" s="1124" t="s">
        <v>863</v>
      </c>
      <c r="C229" s="1124" t="s">
        <v>864</v>
      </c>
      <c r="D229" s="1124" t="s">
        <v>865</v>
      </c>
      <c r="E229" s="1124" t="s">
        <v>866</v>
      </c>
      <c r="F229" s="1124" t="s">
        <v>867</v>
      </c>
      <c r="G229" s="1124" t="s">
        <v>868</v>
      </c>
      <c r="H229" s="1124" t="s">
        <v>857</v>
      </c>
      <c r="I229" s="1124" t="s">
        <v>858</v>
      </c>
      <c r="J229" s="1124" t="s">
        <v>859</v>
      </c>
      <c r="K229" s="1124" t="s">
        <v>860</v>
      </c>
      <c r="L229" s="1124" t="s">
        <v>861</v>
      </c>
      <c r="M229" s="1124" t="s">
        <v>862</v>
      </c>
      <c r="N229" s="1120"/>
    </row>
    <row r="230" spans="1:14" x14ac:dyDescent="0.2">
      <c r="A230" s="1123" t="s">
        <v>1015</v>
      </c>
      <c r="B230" s="1221">
        <f t="shared" ref="B230:M230" si="48">$D$223</f>
        <v>170759.16666666666</v>
      </c>
      <c r="C230" s="1221">
        <f t="shared" si="48"/>
        <v>170759.16666666666</v>
      </c>
      <c r="D230" s="1221">
        <f t="shared" si="48"/>
        <v>170759.16666666666</v>
      </c>
      <c r="E230" s="1221">
        <f t="shared" si="48"/>
        <v>170759.16666666666</v>
      </c>
      <c r="F230" s="1221">
        <f t="shared" si="48"/>
        <v>170759.16666666666</v>
      </c>
      <c r="G230" s="1221">
        <f t="shared" si="48"/>
        <v>170759.16666666666</v>
      </c>
      <c r="H230" s="1221">
        <f t="shared" si="48"/>
        <v>170759.16666666666</v>
      </c>
      <c r="I230" s="1221">
        <f t="shared" si="48"/>
        <v>170759.16666666666</v>
      </c>
      <c r="J230" s="1221">
        <f t="shared" si="48"/>
        <v>170759.16666666666</v>
      </c>
      <c r="K230" s="1221">
        <f t="shared" si="48"/>
        <v>170759.16666666666</v>
      </c>
      <c r="L230" s="1221">
        <f t="shared" si="48"/>
        <v>170759.16666666666</v>
      </c>
      <c r="M230" s="1221">
        <f t="shared" si="48"/>
        <v>170759.16666666666</v>
      </c>
      <c r="N230" s="1224">
        <f>SUM(B230:M230)</f>
        <v>2049110.0000000002</v>
      </c>
    </row>
    <row r="231" spans="1:14" ht="13.5" thickBot="1" x14ac:dyDescent="0.25">
      <c r="A231" s="1139" t="s">
        <v>1016</v>
      </c>
      <c r="B231" s="1223">
        <f t="shared" ref="B231:M231" si="49">$M$219</f>
        <v>315083.75</v>
      </c>
      <c r="C231" s="1223">
        <f t="shared" si="49"/>
        <v>315083.75</v>
      </c>
      <c r="D231" s="1223">
        <f t="shared" si="49"/>
        <v>315083.75</v>
      </c>
      <c r="E231" s="1223">
        <f t="shared" si="49"/>
        <v>315083.75</v>
      </c>
      <c r="F231" s="1223">
        <f t="shared" si="49"/>
        <v>315083.75</v>
      </c>
      <c r="G231" s="1223">
        <f t="shared" si="49"/>
        <v>315083.75</v>
      </c>
      <c r="H231" s="1223">
        <f t="shared" si="49"/>
        <v>315083.75</v>
      </c>
      <c r="I231" s="1223">
        <f t="shared" si="49"/>
        <v>315083.75</v>
      </c>
      <c r="J231" s="1223">
        <f t="shared" si="49"/>
        <v>315083.75</v>
      </c>
      <c r="K231" s="1223">
        <f t="shared" si="49"/>
        <v>315083.75</v>
      </c>
      <c r="L231" s="1223">
        <f t="shared" si="49"/>
        <v>315083.75</v>
      </c>
      <c r="M231" s="1223">
        <f t="shared" si="49"/>
        <v>315083.75</v>
      </c>
      <c r="N231" s="1224">
        <f>SUM(B231:M231)</f>
        <v>3781005</v>
      </c>
    </row>
    <row r="232" spans="1:14" ht="13.5" thickBot="1" x14ac:dyDescent="0.25">
      <c r="A232" s="1225" t="s">
        <v>1059</v>
      </c>
      <c r="B232" s="1287">
        <f t="shared" ref="B232:M232" si="50">SUM(B230,B231)</f>
        <v>485842.91666666663</v>
      </c>
      <c r="C232" s="1287">
        <f t="shared" si="50"/>
        <v>485842.91666666663</v>
      </c>
      <c r="D232" s="1287">
        <f t="shared" si="50"/>
        <v>485842.91666666663</v>
      </c>
      <c r="E232" s="1287">
        <f t="shared" si="50"/>
        <v>485842.91666666663</v>
      </c>
      <c r="F232" s="1287">
        <f t="shared" si="50"/>
        <v>485842.91666666663</v>
      </c>
      <c r="G232" s="1287">
        <f t="shared" si="50"/>
        <v>485842.91666666663</v>
      </c>
      <c r="H232" s="1287">
        <f t="shared" si="50"/>
        <v>485842.91666666663</v>
      </c>
      <c r="I232" s="1287">
        <f t="shared" si="50"/>
        <v>485842.91666666663</v>
      </c>
      <c r="J232" s="1287">
        <f t="shared" si="50"/>
        <v>485842.91666666663</v>
      </c>
      <c r="K232" s="1287">
        <f t="shared" si="50"/>
        <v>485842.91666666663</v>
      </c>
      <c r="L232" s="1287">
        <f t="shared" si="50"/>
        <v>485842.91666666663</v>
      </c>
      <c r="M232" s="1287">
        <f t="shared" si="50"/>
        <v>485842.91666666663</v>
      </c>
      <c r="N232" s="1288">
        <f>SUM(B230:M231)</f>
        <v>5830115</v>
      </c>
    </row>
    <row r="233" spans="1:14" x14ac:dyDescent="0.2">
      <c r="A233" s="1228" t="s">
        <v>1125</v>
      </c>
      <c r="B233" s="1229">
        <v>307674</v>
      </c>
      <c r="C233" s="1229">
        <v>266870</v>
      </c>
      <c r="D233" s="1229">
        <v>311446</v>
      </c>
      <c r="E233" s="1229">
        <v>236620</v>
      </c>
      <c r="F233" s="1229">
        <v>258896</v>
      </c>
      <c r="G233" s="1230">
        <v>267473</v>
      </c>
      <c r="H233" s="1229">
        <v>216929</v>
      </c>
      <c r="I233" s="1229">
        <v>241634</v>
      </c>
      <c r="J233" s="1229">
        <v>261942</v>
      </c>
      <c r="K233" s="1229">
        <v>211285</v>
      </c>
      <c r="L233" s="1229">
        <v>251087</v>
      </c>
      <c r="M233" s="1229">
        <v>239416</v>
      </c>
      <c r="N233" s="1236">
        <f t="shared" ref="N233:N240" si="51">SUM(B233:M233)</f>
        <v>3071272</v>
      </c>
    </row>
    <row r="234" spans="1:14" x14ac:dyDescent="0.2">
      <c r="A234" s="1120" t="s">
        <v>1061</v>
      </c>
      <c r="B234" s="1222"/>
      <c r="C234" s="1222">
        <v>7800</v>
      </c>
      <c r="D234" s="1222">
        <v>1050</v>
      </c>
      <c r="E234" s="1222"/>
      <c r="F234" s="1222"/>
      <c r="G234" s="1231">
        <v>4725</v>
      </c>
      <c r="H234" s="1222">
        <v>175</v>
      </c>
      <c r="I234" s="1222">
        <v>1050</v>
      </c>
      <c r="J234" s="1222">
        <v>28318</v>
      </c>
      <c r="K234" s="1222">
        <v>700</v>
      </c>
      <c r="L234" s="1222">
        <v>2056</v>
      </c>
      <c r="M234" s="1222">
        <v>6614</v>
      </c>
      <c r="N234" s="1236">
        <f t="shared" si="51"/>
        <v>52488</v>
      </c>
    </row>
    <row r="235" spans="1:14" ht="13.5" thickBot="1" x14ac:dyDescent="0.25">
      <c r="A235" s="1241" t="s">
        <v>1021</v>
      </c>
      <c r="B235" s="1222">
        <v>3675</v>
      </c>
      <c r="C235" s="1222"/>
      <c r="D235" s="1222">
        <v>4025</v>
      </c>
      <c r="E235" s="1222">
        <v>3300</v>
      </c>
      <c r="F235" s="1222">
        <v>17700</v>
      </c>
      <c r="G235" s="1231"/>
      <c r="H235" s="1222"/>
      <c r="I235" s="1222">
        <v>37500</v>
      </c>
      <c r="J235" s="1222">
        <v>14400</v>
      </c>
      <c r="K235" s="1222">
        <v>23550</v>
      </c>
      <c r="L235" s="1222">
        <v>4050</v>
      </c>
      <c r="M235" s="1222"/>
      <c r="N235" s="1236">
        <f t="shared" si="51"/>
        <v>108200</v>
      </c>
    </row>
    <row r="236" spans="1:14" ht="13.5" thickBot="1" x14ac:dyDescent="0.25">
      <c r="A236" s="1252" t="s">
        <v>1028</v>
      </c>
      <c r="B236" s="1253">
        <f t="shared" ref="B236:M236" si="52">SUM(B233:B235)</f>
        <v>311349</v>
      </c>
      <c r="C236" s="1253">
        <f t="shared" si="52"/>
        <v>274670</v>
      </c>
      <c r="D236" s="1253">
        <f t="shared" si="52"/>
        <v>316521</v>
      </c>
      <c r="E236" s="1253">
        <f t="shared" si="52"/>
        <v>239920</v>
      </c>
      <c r="F236" s="1253">
        <f t="shared" si="52"/>
        <v>276596</v>
      </c>
      <c r="G236" s="1253">
        <f t="shared" si="52"/>
        <v>272198</v>
      </c>
      <c r="H236" s="1253">
        <f t="shared" si="52"/>
        <v>217104</v>
      </c>
      <c r="I236" s="1253">
        <f t="shared" si="52"/>
        <v>280184</v>
      </c>
      <c r="J236" s="1253">
        <f t="shared" si="52"/>
        <v>304660</v>
      </c>
      <c r="K236" s="1253">
        <f t="shared" si="52"/>
        <v>235535</v>
      </c>
      <c r="L236" s="1253">
        <f t="shared" si="52"/>
        <v>257193</v>
      </c>
      <c r="M236" s="1253">
        <f t="shared" si="52"/>
        <v>246030</v>
      </c>
      <c r="N236" s="1289">
        <f t="shared" si="51"/>
        <v>3231960</v>
      </c>
    </row>
    <row r="237" spans="1:14" x14ac:dyDescent="0.2">
      <c r="A237" s="1120" t="s">
        <v>1029</v>
      </c>
      <c r="B237" s="1224"/>
      <c r="C237" s="1224"/>
      <c r="D237" s="1224"/>
      <c r="E237" s="1224"/>
      <c r="F237" s="1224"/>
      <c r="G237" s="1290"/>
      <c r="H237" s="1224"/>
      <c r="I237" s="1224"/>
      <c r="J237" s="1224"/>
      <c r="K237" s="1224"/>
      <c r="L237" s="1224"/>
      <c r="M237" s="1224"/>
      <c r="N237" s="1224">
        <f t="shared" si="51"/>
        <v>0</v>
      </c>
    </row>
    <row r="238" spans="1:14" x14ac:dyDescent="0.2">
      <c r="A238" s="1255" t="s">
        <v>1030</v>
      </c>
      <c r="B238" s="1291">
        <f t="shared" ref="B238:M238" si="53">SUM(B232,B236,B237)</f>
        <v>797191.91666666663</v>
      </c>
      <c r="C238" s="1291">
        <f t="shared" si="53"/>
        <v>760512.91666666663</v>
      </c>
      <c r="D238" s="1291">
        <f t="shared" si="53"/>
        <v>802363.91666666663</v>
      </c>
      <c r="E238" s="1291">
        <f t="shared" si="53"/>
        <v>725762.91666666663</v>
      </c>
      <c r="F238" s="1291">
        <f t="shared" si="53"/>
        <v>762438.91666666663</v>
      </c>
      <c r="G238" s="1291">
        <f t="shared" si="53"/>
        <v>758040.91666666663</v>
      </c>
      <c r="H238" s="1291">
        <f t="shared" si="53"/>
        <v>702946.91666666663</v>
      </c>
      <c r="I238" s="1291">
        <f t="shared" si="53"/>
        <v>766026.91666666663</v>
      </c>
      <c r="J238" s="1291">
        <f t="shared" si="53"/>
        <v>790502.91666666663</v>
      </c>
      <c r="K238" s="1291">
        <f t="shared" si="53"/>
        <v>721377.91666666663</v>
      </c>
      <c r="L238" s="1291">
        <f t="shared" si="53"/>
        <v>743035.91666666663</v>
      </c>
      <c r="M238" s="1291">
        <f t="shared" si="53"/>
        <v>731872.91666666663</v>
      </c>
      <c r="N238" s="1291">
        <f t="shared" si="51"/>
        <v>9062075.0000000019</v>
      </c>
    </row>
    <row r="239" spans="1:14" x14ac:dyDescent="0.2">
      <c r="A239" s="1292" t="s">
        <v>1063</v>
      </c>
      <c r="B239" s="1223">
        <v>325033.24</v>
      </c>
      <c r="C239" s="1223">
        <v>327566</v>
      </c>
      <c r="D239" s="1223">
        <v>315208</v>
      </c>
      <c r="E239" s="1223">
        <v>379949</v>
      </c>
      <c r="F239" s="1223">
        <v>597447</v>
      </c>
      <c r="G239" s="1223">
        <v>338174</v>
      </c>
      <c r="H239" s="1223">
        <v>334921</v>
      </c>
      <c r="I239" s="1223">
        <v>122704</v>
      </c>
      <c r="J239" s="1223">
        <v>301089</v>
      </c>
      <c r="K239" s="1223">
        <v>331354</v>
      </c>
      <c r="L239" s="1223">
        <v>325117</v>
      </c>
      <c r="M239" s="1223">
        <v>321381</v>
      </c>
      <c r="N239" s="1223">
        <f t="shared" si="51"/>
        <v>4019943.24</v>
      </c>
    </row>
    <row r="240" spans="1:14" x14ac:dyDescent="0.2">
      <c r="A240" s="1120" t="s">
        <v>1126</v>
      </c>
      <c r="B240" s="1221">
        <v>301161</v>
      </c>
      <c r="C240" s="1221">
        <v>284279</v>
      </c>
      <c r="D240" s="1221">
        <v>260659</v>
      </c>
      <c r="E240" s="1221">
        <v>234317</v>
      </c>
      <c r="F240" s="1221">
        <v>323528</v>
      </c>
      <c r="G240" s="1221">
        <v>364649</v>
      </c>
      <c r="H240" s="1221">
        <v>294059</v>
      </c>
      <c r="I240" s="1221">
        <v>297029</v>
      </c>
      <c r="J240" s="1221">
        <v>399667</v>
      </c>
      <c r="K240" s="1221">
        <v>323508</v>
      </c>
      <c r="L240" s="1221">
        <v>254239</v>
      </c>
      <c r="M240" s="1221">
        <v>254239</v>
      </c>
      <c r="N240" s="1223">
        <f t="shared" si="51"/>
        <v>3591334</v>
      </c>
    </row>
    <row r="241" spans="1:14" x14ac:dyDescent="0.2">
      <c r="A241" s="1259" t="s">
        <v>1033</v>
      </c>
      <c r="B241" s="1260">
        <f t="shared" ref="B241:N241" si="54">SUM(B238-B239-B240)</f>
        <v>170997.67666666664</v>
      </c>
      <c r="C241" s="1260">
        <f t="shared" si="54"/>
        <v>148667.91666666663</v>
      </c>
      <c r="D241" s="1260">
        <f t="shared" si="54"/>
        <v>226496.91666666663</v>
      </c>
      <c r="E241" s="1260">
        <f t="shared" si="54"/>
        <v>111496.91666666663</v>
      </c>
      <c r="F241" s="1260">
        <f t="shared" si="54"/>
        <v>-158536.08333333337</v>
      </c>
      <c r="G241" s="1260">
        <f t="shared" si="54"/>
        <v>55217.916666666628</v>
      </c>
      <c r="H241" s="1260">
        <f t="shared" si="54"/>
        <v>73966.916666666628</v>
      </c>
      <c r="I241" s="1260">
        <f t="shared" si="54"/>
        <v>346293.91666666663</v>
      </c>
      <c r="J241" s="1260">
        <f t="shared" si="54"/>
        <v>89746.916666666628</v>
      </c>
      <c r="K241" s="1260">
        <f t="shared" si="54"/>
        <v>66515.916666666628</v>
      </c>
      <c r="L241" s="1260">
        <f t="shared" si="54"/>
        <v>163679.91666666663</v>
      </c>
      <c r="M241" s="1260">
        <f t="shared" si="54"/>
        <v>156252.91666666663</v>
      </c>
      <c r="N241" s="1260">
        <f t="shared" si="54"/>
        <v>1450797.7600000016</v>
      </c>
    </row>
    <row r="242" spans="1:14" ht="13.5" thickBot="1" x14ac:dyDescent="0.25">
      <c r="A242" s="1293"/>
      <c r="B242" s="1294"/>
      <c r="C242" s="1294"/>
      <c r="D242" s="1294"/>
      <c r="E242" s="1294"/>
      <c r="F242" s="1294"/>
      <c r="G242" s="1294"/>
      <c r="H242" s="1294"/>
      <c r="I242" s="1294"/>
      <c r="J242" s="1294"/>
      <c r="K242" s="1294"/>
      <c r="L242" s="1294"/>
      <c r="M242" s="1294"/>
      <c r="N242" s="1294"/>
    </row>
    <row r="243" spans="1:14" ht="13.5" thickBot="1" x14ac:dyDescent="0.25">
      <c r="A243" s="1173"/>
      <c r="B243" s="1173"/>
      <c r="C243" s="1173"/>
      <c r="D243" s="1173"/>
      <c r="E243" s="1173"/>
      <c r="F243" s="1173"/>
      <c r="G243" s="1173"/>
      <c r="H243" s="1173"/>
      <c r="I243" s="1173"/>
      <c r="J243" s="1173"/>
      <c r="K243" s="1173"/>
      <c r="L243" s="1173"/>
      <c r="M243" s="1173"/>
      <c r="N243" s="1173"/>
    </row>
    <row r="244" spans="1:14" ht="20.25" x14ac:dyDescent="0.3">
      <c r="A244" s="1787" t="s">
        <v>1127</v>
      </c>
      <c r="B244" s="1787"/>
      <c r="C244" s="1787"/>
      <c r="D244" s="1787"/>
      <c r="E244" s="1787"/>
      <c r="F244" s="1787"/>
      <c r="G244" s="1787"/>
      <c r="H244" s="1787"/>
      <c r="I244" s="1787"/>
      <c r="J244" s="1787"/>
      <c r="K244" s="1787"/>
      <c r="L244" s="1787"/>
      <c r="M244" s="1787"/>
      <c r="N244" s="1787"/>
    </row>
    <row r="245" spans="1:14" x14ac:dyDescent="0.2">
      <c r="A245" s="1119"/>
      <c r="B245" s="1119"/>
      <c r="C245" s="1119"/>
      <c r="D245" s="1119"/>
      <c r="E245" s="1119"/>
      <c r="F245" s="1119"/>
      <c r="G245" s="1119"/>
      <c r="H245" s="1119"/>
      <c r="I245" s="1119"/>
      <c r="J245" s="1119"/>
      <c r="K245" s="1119"/>
      <c r="L245" s="1119"/>
      <c r="M245" s="1119"/>
    </row>
    <row r="246" spans="1:14" x14ac:dyDescent="0.2">
      <c r="A246" s="1120"/>
      <c r="B246" s="1121" t="s">
        <v>863</v>
      </c>
      <c r="C246" s="1121" t="s">
        <v>864</v>
      </c>
      <c r="D246" s="1122" t="s">
        <v>865</v>
      </c>
      <c r="E246" s="1121" t="s">
        <v>866</v>
      </c>
      <c r="F246" s="1121" t="s">
        <v>867</v>
      </c>
      <c r="G246" s="1122" t="s">
        <v>868</v>
      </c>
      <c r="H246" s="1121" t="s">
        <v>857</v>
      </c>
      <c r="I246" s="1121" t="s">
        <v>858</v>
      </c>
      <c r="J246" s="1121" t="s">
        <v>859</v>
      </c>
      <c r="K246" s="1121" t="s">
        <v>860</v>
      </c>
      <c r="L246" s="1121" t="s">
        <v>861</v>
      </c>
      <c r="M246" s="1121" t="s">
        <v>862</v>
      </c>
      <c r="N246" s="1120" t="s">
        <v>137</v>
      </c>
    </row>
    <row r="247" spans="1:14" x14ac:dyDescent="0.2">
      <c r="A247" s="1123" t="s">
        <v>332</v>
      </c>
      <c r="B247" s="1124">
        <v>2566</v>
      </c>
      <c r="C247" s="1124">
        <v>2566</v>
      </c>
      <c r="D247" s="1124">
        <v>2566</v>
      </c>
      <c r="E247" s="1124">
        <v>2566</v>
      </c>
      <c r="F247" s="1124">
        <v>2566</v>
      </c>
      <c r="G247" s="1124">
        <v>2566</v>
      </c>
      <c r="H247" s="1124">
        <v>2566</v>
      </c>
      <c r="I247" s="1124">
        <v>2566</v>
      </c>
      <c r="J247" s="1124">
        <v>2566</v>
      </c>
      <c r="K247" s="1124">
        <v>2566</v>
      </c>
      <c r="L247" s="1124">
        <v>2566</v>
      </c>
      <c r="M247" s="1124">
        <v>2566</v>
      </c>
      <c r="N247" s="1124">
        <f t="shared" ref="N247:N258" si="55">SUM(B247:M247)</f>
        <v>30792</v>
      </c>
    </row>
    <row r="248" spans="1:14" x14ac:dyDescent="0.2">
      <c r="A248" s="1123" t="s">
        <v>893</v>
      </c>
      <c r="B248" s="1124"/>
      <c r="C248" s="1124"/>
      <c r="D248" s="1124"/>
      <c r="E248" s="1124"/>
      <c r="F248" s="1124"/>
      <c r="G248" s="1125"/>
      <c r="H248" s="1124"/>
      <c r="I248" s="1124"/>
      <c r="J248" s="1126"/>
      <c r="K248" s="1124"/>
      <c r="L248" s="1124"/>
      <c r="M248" s="1124"/>
      <c r="N248" s="1124">
        <f t="shared" si="55"/>
        <v>0</v>
      </c>
    </row>
    <row r="249" spans="1:14" x14ac:dyDescent="0.2">
      <c r="A249" s="1123" t="s">
        <v>894</v>
      </c>
      <c r="B249" s="1124"/>
      <c r="C249" s="1124"/>
      <c r="D249" s="1124"/>
      <c r="E249" s="1124"/>
      <c r="F249" s="1124"/>
      <c r="G249" s="1125"/>
      <c r="H249" s="1124"/>
      <c r="I249" s="1124"/>
      <c r="J249" s="1124"/>
      <c r="K249" s="1124"/>
      <c r="L249" s="1124"/>
      <c r="M249" s="1120"/>
      <c r="N249" s="1124">
        <f t="shared" si="55"/>
        <v>0</v>
      </c>
    </row>
    <row r="250" spans="1:14" x14ac:dyDescent="0.2">
      <c r="A250" s="1123" t="s">
        <v>896</v>
      </c>
      <c r="B250" s="1124">
        <v>37</v>
      </c>
      <c r="C250" s="1124">
        <v>6</v>
      </c>
      <c r="D250" s="1124">
        <v>43</v>
      </c>
      <c r="E250" s="1124">
        <v>382</v>
      </c>
      <c r="F250" s="1124">
        <v>137.75</v>
      </c>
      <c r="G250" s="1125">
        <v>172</v>
      </c>
      <c r="H250" s="1124">
        <v>524</v>
      </c>
      <c r="I250" s="1124">
        <v>531.75</v>
      </c>
      <c r="J250" s="1124">
        <v>154</v>
      </c>
      <c r="K250" s="1124">
        <v>50.75</v>
      </c>
      <c r="L250" s="1124">
        <v>37</v>
      </c>
      <c r="M250" s="1124">
        <v>152.25</v>
      </c>
      <c r="N250" s="1124">
        <f t="shared" si="55"/>
        <v>2227.5</v>
      </c>
    </row>
    <row r="251" spans="1:14" x14ac:dyDescent="0.2">
      <c r="A251" s="1123" t="s">
        <v>897</v>
      </c>
      <c r="B251" s="1124">
        <v>7.75</v>
      </c>
      <c r="C251" s="1124">
        <v>31</v>
      </c>
      <c r="D251" s="1124">
        <v>7.75</v>
      </c>
      <c r="E251" s="1124">
        <v>117</v>
      </c>
      <c r="F251" s="1124"/>
      <c r="G251" s="1125"/>
      <c r="H251" s="1124"/>
      <c r="I251" s="1124">
        <v>6</v>
      </c>
      <c r="J251" s="1124"/>
      <c r="K251" s="1124">
        <v>6</v>
      </c>
      <c r="L251" s="1124"/>
      <c r="M251" s="1124">
        <v>37</v>
      </c>
      <c r="N251" s="1124">
        <f t="shared" si="55"/>
        <v>212.5</v>
      </c>
    </row>
    <row r="252" spans="1:14" x14ac:dyDescent="0.2">
      <c r="A252" s="1123" t="s">
        <v>898</v>
      </c>
      <c r="B252" s="1124">
        <v>231.5</v>
      </c>
      <c r="C252" s="1124">
        <v>237.5</v>
      </c>
      <c r="D252" s="1124">
        <v>111</v>
      </c>
      <c r="E252" s="1124">
        <v>80</v>
      </c>
      <c r="F252" s="1124">
        <v>81.75</v>
      </c>
      <c r="G252" s="1125"/>
      <c r="H252" s="1124">
        <v>7.75</v>
      </c>
      <c r="I252" s="1124">
        <v>15.5</v>
      </c>
      <c r="J252" s="1124">
        <v>243.5</v>
      </c>
      <c r="K252" s="1124">
        <v>132.5</v>
      </c>
      <c r="L252" s="1124">
        <v>81.75</v>
      </c>
      <c r="M252" s="1124">
        <v>64.5</v>
      </c>
      <c r="N252" s="1124">
        <f t="shared" si="55"/>
        <v>1287.25</v>
      </c>
    </row>
    <row r="253" spans="1:14" x14ac:dyDescent="0.2">
      <c r="A253" s="1123" t="s">
        <v>899</v>
      </c>
      <c r="B253" s="1124"/>
      <c r="C253" s="1124"/>
      <c r="D253" s="1124"/>
      <c r="E253" s="1124"/>
      <c r="F253" s="1124"/>
      <c r="G253" s="1125"/>
      <c r="H253" s="1124"/>
      <c r="I253" s="1124"/>
      <c r="J253" s="1124"/>
      <c r="K253" s="1124"/>
      <c r="L253" s="1124"/>
      <c r="M253" s="1124"/>
      <c r="N253" s="1124">
        <f t="shared" si="55"/>
        <v>0</v>
      </c>
    </row>
    <row r="254" spans="1:14" x14ac:dyDescent="0.2">
      <c r="A254" s="1123" t="s">
        <v>900</v>
      </c>
      <c r="B254" s="1124"/>
      <c r="C254" s="1124"/>
      <c r="D254" s="1124"/>
      <c r="E254" s="1124"/>
      <c r="F254" s="1124"/>
      <c r="G254" s="1125">
        <v>12</v>
      </c>
      <c r="H254" s="1124"/>
      <c r="I254" s="1124">
        <v>43</v>
      </c>
      <c r="J254" s="1124"/>
      <c r="K254" s="1124"/>
      <c r="L254" s="1124">
        <v>6</v>
      </c>
      <c r="M254" s="1124"/>
      <c r="N254" s="1124">
        <f t="shared" si="55"/>
        <v>61</v>
      </c>
    </row>
    <row r="255" spans="1:14" x14ac:dyDescent="0.2">
      <c r="A255" s="1123" t="s">
        <v>901</v>
      </c>
      <c r="B255" s="1124"/>
      <c r="C255" s="1124"/>
      <c r="D255" s="1124"/>
      <c r="E255" s="1124"/>
      <c r="F255" s="1124"/>
      <c r="G255" s="1125"/>
      <c r="H255" s="1124"/>
      <c r="I255" s="1124"/>
      <c r="J255" s="1124"/>
      <c r="K255" s="1124"/>
      <c r="L255" s="1124"/>
      <c r="M255" s="1124"/>
      <c r="N255" s="1124">
        <f t="shared" si="55"/>
        <v>0</v>
      </c>
    </row>
    <row r="256" spans="1:14" x14ac:dyDescent="0.2">
      <c r="A256" s="1123" t="s">
        <v>902</v>
      </c>
      <c r="B256" s="1124">
        <v>62</v>
      </c>
      <c r="C256" s="1124">
        <v>93</v>
      </c>
      <c r="D256" s="1124">
        <v>139.5</v>
      </c>
      <c r="E256" s="1124"/>
      <c r="F256" s="1124">
        <v>46.5</v>
      </c>
      <c r="G256" s="1125"/>
      <c r="H256" s="1124"/>
      <c r="I256" s="1124"/>
      <c r="J256" s="1124"/>
      <c r="K256" s="1124"/>
      <c r="L256" s="1124"/>
      <c r="M256" s="1124"/>
      <c r="N256" s="1124">
        <f t="shared" si="55"/>
        <v>341</v>
      </c>
    </row>
    <row r="257" spans="1:14" ht="13.5" thickBot="1" x14ac:dyDescent="0.25">
      <c r="A257" s="1127" t="s">
        <v>903</v>
      </c>
      <c r="B257" s="1128"/>
      <c r="C257" s="1128"/>
      <c r="D257" s="1128"/>
      <c r="E257" s="1128">
        <v>38.75</v>
      </c>
      <c r="F257" s="1128"/>
      <c r="G257" s="1129">
        <v>13.75</v>
      </c>
      <c r="H257" s="1128"/>
      <c r="I257" s="1128"/>
      <c r="J257" s="1128"/>
      <c r="K257" s="1128"/>
      <c r="L257" s="1128">
        <v>7.75</v>
      </c>
      <c r="M257" s="1128">
        <v>15.5</v>
      </c>
      <c r="N257" s="1130">
        <f t="shared" si="55"/>
        <v>75.75</v>
      </c>
    </row>
    <row r="258" spans="1:14" ht="13.5" thickBot="1" x14ac:dyDescent="0.25">
      <c r="A258" s="1131" t="s">
        <v>904</v>
      </c>
      <c r="B258" s="1132">
        <f t="shared" ref="B258:M258" si="56">SUM(B247+B248+B249-B250-B251-B252-B254-B255-B256-B257)</f>
        <v>2227.75</v>
      </c>
      <c r="C258" s="1132">
        <f t="shared" si="56"/>
        <v>2198.5</v>
      </c>
      <c r="D258" s="1132">
        <f t="shared" si="56"/>
        <v>2264.75</v>
      </c>
      <c r="E258" s="1132">
        <f t="shared" si="56"/>
        <v>1948.25</v>
      </c>
      <c r="F258" s="1132">
        <f t="shared" si="56"/>
        <v>2300</v>
      </c>
      <c r="G258" s="1246">
        <f t="shared" si="56"/>
        <v>2368.25</v>
      </c>
      <c r="H258" s="1132">
        <f t="shared" si="56"/>
        <v>2034.25</v>
      </c>
      <c r="I258" s="1132">
        <f t="shared" si="56"/>
        <v>1969.75</v>
      </c>
      <c r="J258" s="1132">
        <f t="shared" si="56"/>
        <v>2168.5</v>
      </c>
      <c r="K258" s="1132">
        <f t="shared" si="56"/>
        <v>2376.75</v>
      </c>
      <c r="L258" s="1132">
        <f t="shared" si="56"/>
        <v>2433.5</v>
      </c>
      <c r="M258" s="1133">
        <f t="shared" si="56"/>
        <v>2296.75</v>
      </c>
      <c r="N258" s="1134">
        <f t="shared" si="55"/>
        <v>26587</v>
      </c>
    </row>
    <row r="259" spans="1:14" x14ac:dyDescent="0.2">
      <c r="A259" s="1135"/>
      <c r="B259" s="1136"/>
      <c r="C259" s="1136"/>
      <c r="D259" s="1136"/>
      <c r="E259" s="1136"/>
      <c r="F259" s="1136"/>
      <c r="G259" s="1136"/>
      <c r="H259" s="1136"/>
      <c r="I259" s="1136"/>
      <c r="J259" s="1136"/>
      <c r="K259" s="1136"/>
      <c r="L259" s="1136"/>
      <c r="M259" s="1136"/>
      <c r="N259" s="1136"/>
    </row>
    <row r="260" spans="1:14" x14ac:dyDescent="0.2">
      <c r="A260" s="1135"/>
      <c r="B260" s="1136"/>
      <c r="C260" s="1136"/>
      <c r="D260" s="1136"/>
      <c r="E260" s="1136"/>
      <c r="F260" s="1136"/>
      <c r="G260" s="1136"/>
      <c r="H260" s="1136"/>
      <c r="I260" s="1136"/>
      <c r="J260" s="1136"/>
      <c r="K260" s="1136"/>
      <c r="L260" s="1136"/>
      <c r="M260" s="1136"/>
      <c r="N260" s="1137" t="s">
        <v>905</v>
      </c>
    </row>
    <row r="261" spans="1:14" x14ac:dyDescent="0.2">
      <c r="A261" s="1123" t="s">
        <v>906</v>
      </c>
      <c r="B261" s="1124">
        <f t="shared" ref="B261:M261" si="57">SUM(B248*100/B258)</f>
        <v>0</v>
      </c>
      <c r="C261" s="1124">
        <f t="shared" si="57"/>
        <v>0</v>
      </c>
      <c r="D261" s="1124">
        <f t="shared" si="57"/>
        <v>0</v>
      </c>
      <c r="E261" s="1124">
        <f t="shared" si="57"/>
        <v>0</v>
      </c>
      <c r="F261" s="1124">
        <f t="shared" si="57"/>
        <v>0</v>
      </c>
      <c r="G261" s="1124">
        <f t="shared" si="57"/>
        <v>0</v>
      </c>
      <c r="H261" s="1124">
        <f t="shared" si="57"/>
        <v>0</v>
      </c>
      <c r="I261" s="1124">
        <f t="shared" si="57"/>
        <v>0</v>
      </c>
      <c r="J261" s="1124">
        <f t="shared" si="57"/>
        <v>0</v>
      </c>
      <c r="K261" s="1124">
        <f t="shared" si="57"/>
        <v>0</v>
      </c>
      <c r="L261" s="1124">
        <f t="shared" si="57"/>
        <v>0</v>
      </c>
      <c r="M261" s="1124">
        <f t="shared" si="57"/>
        <v>0</v>
      </c>
      <c r="N261" s="1138">
        <f>SUM(B261:M261)/12</f>
        <v>0</v>
      </c>
    </row>
    <row r="262" spans="1:14" x14ac:dyDescent="0.2">
      <c r="A262" s="1135"/>
      <c r="B262" s="1136"/>
      <c r="C262" s="1136"/>
      <c r="D262" s="1136"/>
      <c r="E262" s="1136"/>
      <c r="F262" s="1136"/>
      <c r="G262" s="1136"/>
      <c r="H262" s="1136"/>
      <c r="I262" s="1136"/>
      <c r="J262" s="1136"/>
      <c r="K262" s="1136"/>
      <c r="L262" s="1136"/>
      <c r="M262" s="1136"/>
      <c r="N262" s="1119"/>
    </row>
    <row r="263" spans="1:14" x14ac:dyDescent="0.2">
      <c r="A263" s="1123" t="s">
        <v>907</v>
      </c>
      <c r="B263" s="1124">
        <f t="shared" ref="B263:M263" si="58">SUM(B252*100/B258)</f>
        <v>10.391650768712827</v>
      </c>
      <c r="C263" s="1124">
        <f t="shared" si="58"/>
        <v>10.802820104616783</v>
      </c>
      <c r="D263" s="1124">
        <f t="shared" si="58"/>
        <v>4.9012032233138312</v>
      </c>
      <c r="E263" s="1124">
        <f t="shared" si="58"/>
        <v>4.1062491979982036</v>
      </c>
      <c r="F263" s="1124">
        <f t="shared" si="58"/>
        <v>3.5543478260869565</v>
      </c>
      <c r="G263" s="1124">
        <f t="shared" si="58"/>
        <v>0</v>
      </c>
      <c r="H263" s="1124">
        <f t="shared" si="58"/>
        <v>0.38097578960304779</v>
      </c>
      <c r="I263" s="1124">
        <f t="shared" si="58"/>
        <v>0.78690189110293185</v>
      </c>
      <c r="J263" s="1124">
        <f t="shared" si="58"/>
        <v>11.228960110675581</v>
      </c>
      <c r="K263" s="1124">
        <f t="shared" si="58"/>
        <v>5.5748395918796678</v>
      </c>
      <c r="L263" s="1124">
        <f t="shared" si="58"/>
        <v>3.3593589480172592</v>
      </c>
      <c r="M263" s="1124">
        <f t="shared" si="58"/>
        <v>2.8083160988353106</v>
      </c>
      <c r="N263" s="1138">
        <f>SUM(B263:M263)/12</f>
        <v>4.8246352959035326</v>
      </c>
    </row>
    <row r="264" spans="1:14" ht="13.5" thickBot="1" x14ac:dyDescent="0.25">
      <c r="A264" s="1139" t="s">
        <v>908</v>
      </c>
      <c r="B264" s="1130">
        <f t="shared" ref="B264:M264" si="59">SUM(B253*100/B258)</f>
        <v>0</v>
      </c>
      <c r="C264" s="1130">
        <f t="shared" si="59"/>
        <v>0</v>
      </c>
      <c r="D264" s="1130">
        <f t="shared" si="59"/>
        <v>0</v>
      </c>
      <c r="E264" s="1130">
        <f t="shared" si="59"/>
        <v>0</v>
      </c>
      <c r="F264" s="1130">
        <f t="shared" si="59"/>
        <v>0</v>
      </c>
      <c r="G264" s="1130">
        <f t="shared" si="59"/>
        <v>0</v>
      </c>
      <c r="H264" s="1130">
        <f t="shared" si="59"/>
        <v>0</v>
      </c>
      <c r="I264" s="1130">
        <f t="shared" si="59"/>
        <v>0</v>
      </c>
      <c r="J264" s="1130">
        <f t="shared" si="59"/>
        <v>0</v>
      </c>
      <c r="K264" s="1130">
        <f t="shared" si="59"/>
        <v>0</v>
      </c>
      <c r="L264" s="1130">
        <f t="shared" si="59"/>
        <v>0</v>
      </c>
      <c r="M264" s="1130">
        <f t="shared" si="59"/>
        <v>0</v>
      </c>
      <c r="N264" s="1140">
        <f>SUM(B264:M264)/12</f>
        <v>0</v>
      </c>
    </row>
    <row r="265" spans="1:14" ht="13.5" thickBot="1" x14ac:dyDescent="0.25">
      <c r="A265" s="1141" t="s">
        <v>909</v>
      </c>
      <c r="B265" s="1142">
        <f t="shared" ref="B265:M265" si="60">SUM(B263:B263)</f>
        <v>10.391650768712827</v>
      </c>
      <c r="C265" s="1142">
        <f t="shared" si="60"/>
        <v>10.802820104616783</v>
      </c>
      <c r="D265" s="1142">
        <f t="shared" si="60"/>
        <v>4.9012032233138312</v>
      </c>
      <c r="E265" s="1142">
        <f t="shared" si="60"/>
        <v>4.1062491979982036</v>
      </c>
      <c r="F265" s="1142">
        <f t="shared" si="60"/>
        <v>3.5543478260869565</v>
      </c>
      <c r="G265" s="1142">
        <f t="shared" si="60"/>
        <v>0</v>
      </c>
      <c r="H265" s="1142">
        <f t="shared" si="60"/>
        <v>0.38097578960304779</v>
      </c>
      <c r="I265" s="1142">
        <f t="shared" si="60"/>
        <v>0.78690189110293185</v>
      </c>
      <c r="J265" s="1142">
        <f t="shared" si="60"/>
        <v>11.228960110675581</v>
      </c>
      <c r="K265" s="1142">
        <f t="shared" si="60"/>
        <v>5.5748395918796678</v>
      </c>
      <c r="L265" s="1142">
        <f t="shared" si="60"/>
        <v>3.3593589480172592</v>
      </c>
      <c r="M265" s="1142">
        <f t="shared" si="60"/>
        <v>2.8083160988353106</v>
      </c>
      <c r="N265" s="1143">
        <f>SUM(N263:N264)</f>
        <v>4.8246352959035326</v>
      </c>
    </row>
    <row r="266" spans="1:14" x14ac:dyDescent="0.2">
      <c r="A266" s="1135" t="s">
        <v>910</v>
      </c>
      <c r="B266" s="1136"/>
      <c r="C266" s="1136"/>
      <c r="D266" s="1144">
        <f>SUM(B265:D265)/4</f>
        <v>6.5239185241608606</v>
      </c>
      <c r="E266" s="1136"/>
      <c r="F266" s="1136"/>
      <c r="G266" s="1144">
        <f>SUM(E265,F265,G265)/4</f>
        <v>1.9151492560212899</v>
      </c>
      <c r="H266" s="1136"/>
      <c r="I266" s="1136"/>
      <c r="J266" s="1144">
        <f>SUM(H265,I265,J265)/3</f>
        <v>4.1322792637938539</v>
      </c>
      <c r="K266" s="1136"/>
      <c r="L266" s="1136"/>
      <c r="M266" s="1144">
        <f>SUM(K265,L265,M265)/3</f>
        <v>3.9141715462440794</v>
      </c>
      <c r="N266" s="1145">
        <f>SUM(D266:M266)/4</f>
        <v>4.1213796475550213</v>
      </c>
    </row>
    <row r="267" spans="1:14" x14ac:dyDescent="0.2">
      <c r="A267" s="1135" t="s">
        <v>911</v>
      </c>
      <c r="B267" s="1136"/>
      <c r="C267" s="1136"/>
      <c r="D267" s="1146"/>
      <c r="E267" s="1136"/>
      <c r="F267" s="1136"/>
      <c r="G267" s="1146"/>
      <c r="H267" s="1136"/>
      <c r="I267" s="1136"/>
      <c r="J267" s="1146"/>
      <c r="K267" s="1136"/>
      <c r="L267" s="1136"/>
      <c r="M267" s="1146"/>
      <c r="N267" s="1138">
        <f>SUM(D267:G267,J267,M267)/4</f>
        <v>0</v>
      </c>
    </row>
    <row r="268" spans="1:14" x14ac:dyDescent="0.2">
      <c r="A268" s="1135"/>
      <c r="B268" s="1136"/>
      <c r="C268" s="1136"/>
      <c r="D268" s="1136"/>
      <c r="E268" s="1136"/>
      <c r="F268" s="1136"/>
      <c r="G268" s="1136"/>
      <c r="H268" s="1136"/>
      <c r="I268" s="1136"/>
      <c r="J268" s="1136"/>
      <c r="K268" s="1136"/>
      <c r="L268" s="1136"/>
      <c r="M268" s="1136"/>
      <c r="N268" s="1136"/>
    </row>
    <row r="269" spans="1:14" x14ac:dyDescent="0.2">
      <c r="A269" s="1123" t="s">
        <v>912</v>
      </c>
      <c r="B269" s="1124">
        <f t="shared" ref="B269:M269" si="61">B256*100/B258</f>
        <v>2.7830770957243858</v>
      </c>
      <c r="C269" s="1124">
        <f t="shared" si="61"/>
        <v>4.2301569251762565</v>
      </c>
      <c r="D269" s="1124">
        <f t="shared" si="61"/>
        <v>6.1596202671376528</v>
      </c>
      <c r="E269" s="1124">
        <f t="shared" si="61"/>
        <v>0</v>
      </c>
      <c r="F269" s="1124">
        <f t="shared" si="61"/>
        <v>2.0217391304347827</v>
      </c>
      <c r="G269" s="1124">
        <f t="shared" si="61"/>
        <v>0</v>
      </c>
      <c r="H269" s="1124">
        <f t="shared" si="61"/>
        <v>0</v>
      </c>
      <c r="I269" s="1124">
        <f t="shared" si="61"/>
        <v>0</v>
      </c>
      <c r="J269" s="1124">
        <f t="shared" si="61"/>
        <v>0</v>
      </c>
      <c r="K269" s="1124">
        <f t="shared" si="61"/>
        <v>0</v>
      </c>
      <c r="L269" s="1124">
        <f t="shared" si="61"/>
        <v>0</v>
      </c>
      <c r="M269" s="1124">
        <f t="shared" si="61"/>
        <v>0</v>
      </c>
      <c r="N269" s="1138">
        <f>SUM(B269:M269)/12</f>
        <v>1.2662161182060898</v>
      </c>
    </row>
    <row r="270" spans="1:14" x14ac:dyDescent="0.2">
      <c r="A270" s="1123" t="s">
        <v>913</v>
      </c>
      <c r="B270" s="1124">
        <f t="shared" ref="B270:M270" si="62">B254*100/B258</f>
        <v>0</v>
      </c>
      <c r="C270" s="1124">
        <f t="shared" si="62"/>
        <v>0</v>
      </c>
      <c r="D270" s="1124">
        <f t="shared" si="62"/>
        <v>0</v>
      </c>
      <c r="E270" s="1124">
        <f t="shared" si="62"/>
        <v>0</v>
      </c>
      <c r="F270" s="1124">
        <f t="shared" si="62"/>
        <v>0</v>
      </c>
      <c r="G270" s="1124">
        <f t="shared" si="62"/>
        <v>0.50670326190224846</v>
      </c>
      <c r="H270" s="1124">
        <f t="shared" si="62"/>
        <v>0</v>
      </c>
      <c r="I270" s="1124">
        <f t="shared" si="62"/>
        <v>2.1830181495113594</v>
      </c>
      <c r="J270" s="1124">
        <f t="shared" si="62"/>
        <v>0</v>
      </c>
      <c r="K270" s="1124">
        <f t="shared" si="62"/>
        <v>0</v>
      </c>
      <c r="L270" s="1124">
        <f t="shared" si="62"/>
        <v>0.24655845490034928</v>
      </c>
      <c r="M270" s="1124">
        <f t="shared" si="62"/>
        <v>0</v>
      </c>
      <c r="N270" s="1138">
        <f>SUM(B270:M270)/12</f>
        <v>0.24468998885949642</v>
      </c>
    </row>
    <row r="271" spans="1:14" ht="13.5" thickBot="1" x14ac:dyDescent="0.25">
      <c r="A271" s="1123" t="s">
        <v>914</v>
      </c>
      <c r="B271" s="1124">
        <f t="shared" ref="B271:M271" si="63">B250*100/B258</f>
        <v>1.6608685893839075</v>
      </c>
      <c r="C271" s="1124">
        <f t="shared" si="63"/>
        <v>0.2729133500113714</v>
      </c>
      <c r="D271" s="1124">
        <f t="shared" si="63"/>
        <v>1.898664311734187</v>
      </c>
      <c r="E271" s="1124">
        <f t="shared" si="63"/>
        <v>19.607339920441422</v>
      </c>
      <c r="F271" s="1124">
        <f t="shared" si="63"/>
        <v>5.9891304347826084</v>
      </c>
      <c r="G271" s="1124">
        <f t="shared" si="63"/>
        <v>7.2627467539322286</v>
      </c>
      <c r="H271" s="1124">
        <f t="shared" si="63"/>
        <v>25.75887919380607</v>
      </c>
      <c r="I271" s="1124">
        <f t="shared" si="63"/>
        <v>26.995811651224773</v>
      </c>
      <c r="J271" s="1124">
        <f t="shared" si="63"/>
        <v>7.1016831911459537</v>
      </c>
      <c r="K271" s="1124">
        <f t="shared" si="63"/>
        <v>2.1352687493425897</v>
      </c>
      <c r="L271" s="1124">
        <f t="shared" si="63"/>
        <v>1.5204438052188207</v>
      </c>
      <c r="M271" s="1124">
        <f t="shared" si="63"/>
        <v>6.6289321867856756</v>
      </c>
      <c r="N271" s="1138">
        <f>SUM(B271:M271)/12</f>
        <v>8.9027235114841332</v>
      </c>
    </row>
    <row r="272" spans="1:14" ht="13.5" thickBot="1" x14ac:dyDescent="0.25">
      <c r="A272" s="1147" t="s">
        <v>915</v>
      </c>
      <c r="B272" s="1148">
        <f t="shared" ref="B272:M272" si="64">SUM(B247-B258)*100/B258</f>
        <v>15.183481090786668</v>
      </c>
      <c r="C272" s="1148">
        <f t="shared" si="64"/>
        <v>16.715942688196499</v>
      </c>
      <c r="D272" s="1148">
        <f t="shared" si="64"/>
        <v>13.301688928137764</v>
      </c>
      <c r="E272" s="1148">
        <f t="shared" si="64"/>
        <v>31.707943025792378</v>
      </c>
      <c r="F272" s="1148">
        <f t="shared" si="64"/>
        <v>11.565217391304348</v>
      </c>
      <c r="G272" s="1148">
        <f t="shared" si="64"/>
        <v>8.3500475034308028</v>
      </c>
      <c r="H272" s="1148">
        <f t="shared" si="64"/>
        <v>26.139854983409119</v>
      </c>
      <c r="I272" s="1148">
        <f t="shared" si="64"/>
        <v>30.270338875491813</v>
      </c>
      <c r="J272" s="1148">
        <f t="shared" si="64"/>
        <v>18.330643301821535</v>
      </c>
      <c r="K272" s="1148">
        <f t="shared" si="64"/>
        <v>7.9625539076469973</v>
      </c>
      <c r="L272" s="1148">
        <f t="shared" si="64"/>
        <v>5.4448325457160465</v>
      </c>
      <c r="M272" s="1148">
        <f t="shared" si="64"/>
        <v>11.723086970719494</v>
      </c>
      <c r="N272" s="1149">
        <f>SUM(B272:M272)/12</f>
        <v>16.39130260103779</v>
      </c>
    </row>
    <row r="273" spans="1:14" x14ac:dyDescent="0.2">
      <c r="A273" s="1135"/>
      <c r="B273" s="1136"/>
      <c r="C273" s="1136"/>
      <c r="D273" s="1136"/>
      <c r="E273" s="1136"/>
      <c r="F273" s="1136"/>
      <c r="G273" s="1136"/>
      <c r="H273" s="1136"/>
      <c r="I273" s="1136"/>
      <c r="J273" s="1136"/>
      <c r="K273" s="1136"/>
      <c r="L273" s="1136"/>
      <c r="M273" s="1136"/>
      <c r="N273" s="1119"/>
    </row>
    <row r="274" spans="1:14" x14ac:dyDescent="0.2">
      <c r="A274" s="1150" t="s">
        <v>916</v>
      </c>
      <c r="B274" s="1136"/>
      <c r="C274" s="1136"/>
      <c r="D274" s="1136"/>
      <c r="E274" s="1136"/>
      <c r="F274" s="1136"/>
      <c r="G274" s="1136"/>
      <c r="H274" s="1136"/>
      <c r="I274" s="1136"/>
      <c r="J274" s="1136"/>
      <c r="K274" s="1136"/>
      <c r="L274" s="1136"/>
      <c r="M274" s="1136"/>
      <c r="N274" s="1119"/>
    </row>
    <row r="275" spans="1:14" x14ac:dyDescent="0.2">
      <c r="A275" s="1123" t="s">
        <v>917</v>
      </c>
      <c r="B275" s="1151">
        <v>15</v>
      </c>
      <c r="C275" s="1151">
        <v>15</v>
      </c>
      <c r="D275" s="1151">
        <v>15</v>
      </c>
      <c r="E275" s="1151">
        <v>15</v>
      </c>
      <c r="F275" s="1151">
        <v>16</v>
      </c>
      <c r="G275" s="1151">
        <v>16</v>
      </c>
      <c r="H275" s="1151">
        <v>16</v>
      </c>
      <c r="I275" s="1151">
        <v>16</v>
      </c>
      <c r="J275" s="1151">
        <f>I278</f>
        <v>16</v>
      </c>
      <c r="K275" s="1151">
        <f>J278</f>
        <v>16</v>
      </c>
      <c r="L275" s="1151">
        <f>K278</f>
        <v>16</v>
      </c>
      <c r="M275" s="1151">
        <f>L278</f>
        <v>16</v>
      </c>
      <c r="N275" s="1151">
        <f>M278</f>
        <v>16</v>
      </c>
    </row>
    <row r="276" spans="1:14" x14ac:dyDescent="0.2">
      <c r="A276" s="1123" t="s">
        <v>918</v>
      </c>
      <c r="B276" s="1151"/>
      <c r="C276" s="1151"/>
      <c r="D276" s="1151"/>
      <c r="E276" s="1151">
        <v>1</v>
      </c>
      <c r="F276" s="1151"/>
      <c r="G276" s="1151"/>
      <c r="H276" s="1151"/>
      <c r="I276" s="1151"/>
      <c r="J276" s="1151"/>
      <c r="K276" s="1151"/>
      <c r="L276" s="1151"/>
      <c r="M276" s="1151"/>
      <c r="N276" s="1151">
        <f>SUM(B276:M276)/12</f>
        <v>8.3333333333333329E-2</v>
      </c>
    </row>
    <row r="277" spans="1:14" x14ac:dyDescent="0.2">
      <c r="A277" s="1123" t="s">
        <v>919</v>
      </c>
      <c r="B277" s="1151"/>
      <c r="C277" s="1151"/>
      <c r="D277" s="1151"/>
      <c r="E277" s="1151"/>
      <c r="F277" s="1151"/>
      <c r="G277" s="1151"/>
      <c r="H277" s="1151"/>
      <c r="I277" s="1151"/>
      <c r="J277" s="1151"/>
      <c r="K277" s="1151"/>
      <c r="L277" s="1151"/>
      <c r="M277" s="1151"/>
      <c r="N277" s="1151">
        <f>SUM(B276:M276)/12</f>
        <v>8.3333333333333329E-2</v>
      </c>
    </row>
    <row r="278" spans="1:14" x14ac:dyDescent="0.2">
      <c r="A278" s="1123" t="s">
        <v>916</v>
      </c>
      <c r="B278" s="1151">
        <f t="shared" ref="B278:M278" si="65">SUM(B275+B276-B277)</f>
        <v>15</v>
      </c>
      <c r="C278" s="1151">
        <f t="shared" si="65"/>
        <v>15</v>
      </c>
      <c r="D278" s="1151">
        <f t="shared" si="65"/>
        <v>15</v>
      </c>
      <c r="E278" s="1151">
        <f t="shared" si="65"/>
        <v>16</v>
      </c>
      <c r="F278" s="1151">
        <f t="shared" si="65"/>
        <v>16</v>
      </c>
      <c r="G278" s="1151">
        <f t="shared" si="65"/>
        <v>16</v>
      </c>
      <c r="H278" s="1151">
        <f t="shared" si="65"/>
        <v>16</v>
      </c>
      <c r="I278" s="1151">
        <f t="shared" si="65"/>
        <v>16</v>
      </c>
      <c r="J278" s="1151">
        <f t="shared" si="65"/>
        <v>16</v>
      </c>
      <c r="K278" s="1151">
        <f t="shared" si="65"/>
        <v>16</v>
      </c>
      <c r="L278" s="1151">
        <f t="shared" si="65"/>
        <v>16</v>
      </c>
      <c r="M278" s="1151">
        <f t="shared" si="65"/>
        <v>16</v>
      </c>
      <c r="N278" s="1151">
        <f>SUM(B277:M277)/12</f>
        <v>0</v>
      </c>
    </row>
    <row r="279" spans="1:14" x14ac:dyDescent="0.2">
      <c r="A279" s="1123" t="s">
        <v>920</v>
      </c>
      <c r="B279" s="1152">
        <f t="shared" ref="B279:M279" si="66">SUM(B278*100)/B275-100</f>
        <v>0</v>
      </c>
      <c r="C279" s="1152">
        <f t="shared" si="66"/>
        <v>0</v>
      </c>
      <c r="D279" s="1152">
        <f t="shared" si="66"/>
        <v>0</v>
      </c>
      <c r="E279" s="1152">
        <f t="shared" si="66"/>
        <v>6.6666666666666714</v>
      </c>
      <c r="F279" s="1152">
        <f t="shared" si="66"/>
        <v>0</v>
      </c>
      <c r="G279" s="1152">
        <f t="shared" si="66"/>
        <v>0</v>
      </c>
      <c r="H279" s="1152">
        <f t="shared" si="66"/>
        <v>0</v>
      </c>
      <c r="I279" s="1152">
        <f t="shared" si="66"/>
        <v>0</v>
      </c>
      <c r="J279" s="1152">
        <f t="shared" si="66"/>
        <v>0</v>
      </c>
      <c r="K279" s="1152">
        <f t="shared" si="66"/>
        <v>0</v>
      </c>
      <c r="L279" s="1152">
        <f t="shared" si="66"/>
        <v>0</v>
      </c>
      <c r="M279" s="1152">
        <f t="shared" si="66"/>
        <v>0</v>
      </c>
      <c r="N279" s="1151"/>
    </row>
    <row r="280" spans="1:14" x14ac:dyDescent="0.2">
      <c r="A280" s="1135" t="s">
        <v>921</v>
      </c>
      <c r="B280" s="1153"/>
      <c r="C280" s="1153"/>
      <c r="D280" s="1154">
        <f>SUM(B279:D279/3)</f>
        <v>0</v>
      </c>
      <c r="E280" s="1153"/>
      <c r="F280" s="1153"/>
      <c r="G280" s="1154">
        <f>SUM(E279:G279)/3</f>
        <v>2.2222222222222237</v>
      </c>
      <c r="H280" s="1153"/>
      <c r="I280" s="1153"/>
      <c r="J280" s="1154">
        <f>SUM(H279:J279)/3</f>
        <v>0</v>
      </c>
      <c r="K280" s="1153"/>
      <c r="L280" s="1153"/>
      <c r="M280" s="1154">
        <f>SUM(K279:M279)/3</f>
        <v>0</v>
      </c>
      <c r="N280" s="1153"/>
    </row>
    <row r="281" spans="1:14" ht="13.5" thickBot="1" x14ac:dyDescent="0.25">
      <c r="A281" s="1264"/>
      <c r="B281" s="1265"/>
      <c r="C281" s="1265"/>
      <c r="D281" s="1265"/>
      <c r="E281" s="1265"/>
      <c r="F281" s="1265"/>
      <c r="G281" s="1265"/>
      <c r="H281" s="1265"/>
      <c r="I281" s="1265"/>
      <c r="J281" s="1265"/>
      <c r="K281" s="1265"/>
      <c r="L281" s="1265"/>
      <c r="M281" s="1265"/>
      <c r="N281" s="1266"/>
    </row>
    <row r="282" spans="1:14" x14ac:dyDescent="0.2">
      <c r="A282" s="1135"/>
      <c r="B282" s="1136"/>
      <c r="C282" s="1136"/>
      <c r="D282" s="1136"/>
      <c r="E282" s="1136"/>
      <c r="F282" s="1136"/>
      <c r="G282" s="1136"/>
      <c r="H282" s="1136"/>
      <c r="I282" s="1136"/>
      <c r="J282" s="1136"/>
      <c r="K282" s="1136"/>
      <c r="L282" s="1136"/>
      <c r="M282" s="1136"/>
      <c r="N282" s="1119"/>
    </row>
    <row r="283" spans="1:14" ht="15.75" x14ac:dyDescent="0.25">
      <c r="A283" s="1295" t="s">
        <v>1071</v>
      </c>
      <c r="B283" s="1295"/>
      <c r="C283" s="1295"/>
      <c r="D283" s="1295"/>
      <c r="E283" s="1295"/>
      <c r="F283" s="1295"/>
      <c r="G283" s="1295"/>
      <c r="H283" s="1295"/>
      <c r="I283" s="1295"/>
      <c r="J283" s="1295"/>
      <c r="K283" s="1295"/>
      <c r="L283" s="1295"/>
      <c r="M283" s="1295"/>
      <c r="N283" s="1295"/>
    </row>
    <row r="284" spans="1:14" ht="15.75" x14ac:dyDescent="0.25">
      <c r="E284" s="1174"/>
      <c r="M284" s="1136"/>
      <c r="N284" s="1119"/>
    </row>
    <row r="285" spans="1:14" x14ac:dyDescent="0.2">
      <c r="A285" s="1268" t="s">
        <v>1045</v>
      </c>
      <c r="B285" s="1269"/>
      <c r="C285" s="1270"/>
      <c r="D285" s="1184" t="s">
        <v>939</v>
      </c>
      <c r="G285" s="1191"/>
      <c r="K285" s="1191"/>
      <c r="M285" s="1136"/>
      <c r="N285" s="1119"/>
    </row>
    <row r="286" spans="1:14" x14ac:dyDescent="0.2">
      <c r="A286" s="1271"/>
      <c r="B286" s="1272"/>
      <c r="C286" s="1273"/>
      <c r="D286" s="1182"/>
      <c r="E286" s="1183"/>
      <c r="G286" s="1762"/>
      <c r="H286" s="1762"/>
      <c r="I286" s="1762"/>
      <c r="J286" s="1762"/>
      <c r="K286" s="1762"/>
      <c r="M286" s="1136"/>
      <c r="N286" s="1119"/>
    </row>
    <row r="287" spans="1:14" ht="13.5" thickBot="1" x14ac:dyDescent="0.25">
      <c r="A287" s="1279"/>
      <c r="C287" s="1280"/>
      <c r="D287" s="1182"/>
      <c r="E287" s="1183"/>
      <c r="H287" s="1296"/>
      <c r="K287" s="1183"/>
      <c r="L287" s="1212"/>
      <c r="M287" s="1136"/>
      <c r="N287" s="1119"/>
    </row>
    <row r="288" spans="1:14" ht="13.5" thickBot="1" x14ac:dyDescent="0.25">
      <c r="A288" s="1186" t="s">
        <v>154</v>
      </c>
      <c r="B288" s="1188"/>
      <c r="C288" s="1281"/>
      <c r="D288" s="1756">
        <f>SUM(D286:D287)</f>
        <v>0</v>
      </c>
      <c r="E288" s="1183"/>
      <c r="H288" s="1296"/>
      <c r="K288" s="1183"/>
      <c r="L288" s="1212"/>
      <c r="M288" s="1136"/>
      <c r="N288" s="1119"/>
    </row>
    <row r="289" spans="1:14" x14ac:dyDescent="0.2">
      <c r="A289" s="1282" t="s">
        <v>153</v>
      </c>
      <c r="B289" s="1283"/>
      <c r="C289" s="1284"/>
      <c r="D289" s="1285">
        <f>D288/12</f>
        <v>0</v>
      </c>
      <c r="E289" s="1183"/>
      <c r="K289" s="1192"/>
      <c r="L289" s="1212"/>
      <c r="M289" s="1136"/>
      <c r="N289" s="1119"/>
    </row>
    <row r="290" spans="1:14" x14ac:dyDescent="0.2">
      <c r="C290" s="1286"/>
      <c r="E290" s="1183"/>
      <c r="J290" s="1286"/>
      <c r="K290" s="1192"/>
      <c r="L290" s="1777"/>
      <c r="M290" s="1136"/>
      <c r="N290" s="1119"/>
    </row>
    <row r="291" spans="1:14" x14ac:dyDescent="0.2">
      <c r="A291" s="1150" t="s">
        <v>1014</v>
      </c>
      <c r="B291" s="1136"/>
      <c r="C291" s="1136"/>
      <c r="D291" s="1136"/>
      <c r="E291" s="1136"/>
      <c r="F291" s="1136"/>
      <c r="G291" s="1136"/>
      <c r="H291" s="1136"/>
      <c r="I291" s="1136"/>
      <c r="J291" s="1136"/>
      <c r="K291" s="1136"/>
      <c r="L291" s="1136"/>
      <c r="M291" s="1136"/>
      <c r="N291" s="1119"/>
    </row>
    <row r="292" spans="1:14" x14ac:dyDescent="0.2">
      <c r="A292" s="1220"/>
      <c r="B292" s="1124" t="s">
        <v>863</v>
      </c>
      <c r="C292" s="1124" t="s">
        <v>864</v>
      </c>
      <c r="D292" s="1124" t="s">
        <v>865</v>
      </c>
      <c r="E292" s="1124" t="s">
        <v>866</v>
      </c>
      <c r="F292" s="1124" t="s">
        <v>867</v>
      </c>
      <c r="G292" s="1124" t="s">
        <v>868</v>
      </c>
      <c r="H292" s="1124" t="s">
        <v>857</v>
      </c>
      <c r="I292" s="1124" t="s">
        <v>858</v>
      </c>
      <c r="J292" s="1124" t="s">
        <v>859</v>
      </c>
      <c r="K292" s="1124" t="s">
        <v>860</v>
      </c>
      <c r="L292" s="1124" t="s">
        <v>861</v>
      </c>
      <c r="M292" s="1124" t="s">
        <v>862</v>
      </c>
      <c r="N292" s="1120"/>
    </row>
    <row r="293" spans="1:14" x14ac:dyDescent="0.2">
      <c r="A293" s="1123" t="s">
        <v>1015</v>
      </c>
      <c r="B293" s="1221">
        <f t="shared" ref="B293:M293" si="67">$D$289</f>
        <v>0</v>
      </c>
      <c r="C293" s="1221">
        <f t="shared" si="67"/>
        <v>0</v>
      </c>
      <c r="D293" s="1221">
        <f t="shared" si="67"/>
        <v>0</v>
      </c>
      <c r="E293" s="1221">
        <f t="shared" si="67"/>
        <v>0</v>
      </c>
      <c r="F293" s="1221">
        <f t="shared" si="67"/>
        <v>0</v>
      </c>
      <c r="G293" s="1221">
        <f t="shared" si="67"/>
        <v>0</v>
      </c>
      <c r="H293" s="1221">
        <f t="shared" si="67"/>
        <v>0</v>
      </c>
      <c r="I293" s="1221">
        <f t="shared" si="67"/>
        <v>0</v>
      </c>
      <c r="J293" s="1221">
        <f t="shared" si="67"/>
        <v>0</v>
      </c>
      <c r="K293" s="1221">
        <f t="shared" si="67"/>
        <v>0</v>
      </c>
      <c r="L293" s="1221">
        <f t="shared" si="67"/>
        <v>0</v>
      </c>
      <c r="M293" s="1221">
        <f t="shared" si="67"/>
        <v>0</v>
      </c>
      <c r="N293" s="1221">
        <f t="shared" ref="N293:N299" si="68">SUM(B293:M293)</f>
        <v>0</v>
      </c>
    </row>
    <row r="294" spans="1:14" ht="13.5" thickBot="1" x14ac:dyDescent="0.25">
      <c r="A294" s="1123" t="s">
        <v>1072</v>
      </c>
      <c r="B294" s="1221">
        <v>0</v>
      </c>
      <c r="C294" s="1221">
        <v>0</v>
      </c>
      <c r="D294" s="1221"/>
      <c r="E294" s="1221"/>
      <c r="F294" s="1221"/>
      <c r="G294" s="1250"/>
      <c r="H294" s="1221"/>
      <c r="I294" s="1221"/>
      <c r="J294" s="1221"/>
      <c r="K294" s="1221"/>
      <c r="L294" s="1221"/>
      <c r="M294" s="1221"/>
      <c r="N294" s="1221">
        <f t="shared" si="68"/>
        <v>0</v>
      </c>
    </row>
    <row r="295" spans="1:14" ht="13.5" thickBot="1" x14ac:dyDescent="0.25">
      <c r="A295" s="1225" t="s">
        <v>1059</v>
      </c>
      <c r="B295" s="1287">
        <f t="shared" ref="B295:M295" si="69">SUM(B293,B294)</f>
        <v>0</v>
      </c>
      <c r="C295" s="1287">
        <f t="shared" si="69"/>
        <v>0</v>
      </c>
      <c r="D295" s="1287">
        <f t="shared" si="69"/>
        <v>0</v>
      </c>
      <c r="E295" s="1287">
        <f t="shared" si="69"/>
        <v>0</v>
      </c>
      <c r="F295" s="1287">
        <f t="shared" si="69"/>
        <v>0</v>
      </c>
      <c r="G295" s="1287">
        <f t="shared" si="69"/>
        <v>0</v>
      </c>
      <c r="H295" s="1287">
        <f t="shared" si="69"/>
        <v>0</v>
      </c>
      <c r="I295" s="1287">
        <f t="shared" si="69"/>
        <v>0</v>
      </c>
      <c r="J295" s="1287">
        <f t="shared" si="69"/>
        <v>0</v>
      </c>
      <c r="K295" s="1287">
        <f t="shared" si="69"/>
        <v>0</v>
      </c>
      <c r="L295" s="1287">
        <f t="shared" si="69"/>
        <v>0</v>
      </c>
      <c r="M295" s="1287">
        <f t="shared" si="69"/>
        <v>0</v>
      </c>
      <c r="N295" s="1288">
        <f t="shared" si="68"/>
        <v>0</v>
      </c>
    </row>
    <row r="296" spans="1:14" x14ac:dyDescent="0.2">
      <c r="A296" s="1120" t="s">
        <v>1073</v>
      </c>
      <c r="B296" s="1222">
        <v>0</v>
      </c>
      <c r="C296" s="1222">
        <v>0</v>
      </c>
      <c r="D296" s="1222">
        <v>0</v>
      </c>
      <c r="E296" s="1222">
        <v>0</v>
      </c>
      <c r="F296" s="1222">
        <v>0</v>
      </c>
      <c r="G296" s="1222"/>
      <c r="H296" s="1222"/>
      <c r="I296" s="1222"/>
      <c r="J296" s="1222"/>
      <c r="K296" s="1222"/>
      <c r="L296" s="1222"/>
      <c r="M296" s="1222"/>
      <c r="N296" s="1222">
        <f t="shared" si="68"/>
        <v>0</v>
      </c>
    </row>
    <row r="297" spans="1:14" x14ac:dyDescent="0.2">
      <c r="A297" s="1241" t="s">
        <v>1074</v>
      </c>
      <c r="B297" s="1222"/>
      <c r="C297" s="1222">
        <v>10000</v>
      </c>
      <c r="D297" s="1222">
        <v>17000</v>
      </c>
      <c r="E297" s="1222"/>
      <c r="F297" s="1222">
        <v>10000</v>
      </c>
      <c r="G297" s="1222"/>
      <c r="H297" s="1222"/>
      <c r="I297" s="1222">
        <v>5000</v>
      </c>
      <c r="J297" s="1222">
        <v>35000</v>
      </c>
      <c r="K297" s="1222"/>
      <c r="L297" s="1222">
        <v>20000</v>
      </c>
      <c r="M297" s="1222">
        <v>10000</v>
      </c>
      <c r="N297" s="1222">
        <f t="shared" si="68"/>
        <v>107000</v>
      </c>
    </row>
    <row r="298" spans="1:14" x14ac:dyDescent="0.2">
      <c r="A298" s="1241" t="s">
        <v>1021</v>
      </c>
      <c r="B298" s="1222">
        <v>78225</v>
      </c>
      <c r="C298" s="1222">
        <v>87587.5</v>
      </c>
      <c r="D298" s="1222">
        <v>66325</v>
      </c>
      <c r="E298" s="1222">
        <v>15000</v>
      </c>
      <c r="F298" s="1222">
        <v>60800</v>
      </c>
      <c r="G298" s="1222">
        <v>19750</v>
      </c>
      <c r="H298" s="1222">
        <v>7550</v>
      </c>
      <c r="I298" s="1222">
        <v>58037.5</v>
      </c>
      <c r="J298" s="1222">
        <v>55725</v>
      </c>
      <c r="K298" s="1222">
        <v>109600</v>
      </c>
      <c r="L298" s="1222">
        <v>53950</v>
      </c>
      <c r="M298" s="1222">
        <v>44625</v>
      </c>
      <c r="N298" s="1222">
        <f t="shared" si="68"/>
        <v>657175</v>
      </c>
    </row>
    <row r="299" spans="1:14" ht="13.5" thickBot="1" x14ac:dyDescent="0.25">
      <c r="A299" s="1251" t="s">
        <v>1072</v>
      </c>
      <c r="B299" s="1236"/>
      <c r="C299" s="1236"/>
      <c r="D299" s="1236"/>
      <c r="E299" s="1236"/>
      <c r="F299" s="1236"/>
      <c r="G299" s="1236"/>
      <c r="H299" s="1236"/>
      <c r="I299" s="1236"/>
      <c r="J299" s="1236"/>
      <c r="K299" s="1236"/>
      <c r="L299" s="1236"/>
      <c r="M299" s="1236"/>
      <c r="N299" s="1222">
        <f t="shared" si="68"/>
        <v>0</v>
      </c>
    </row>
    <row r="300" spans="1:14" ht="13.5" thickBot="1" x14ac:dyDescent="0.25">
      <c r="A300" s="1252" t="s">
        <v>1028</v>
      </c>
      <c r="B300" s="1253">
        <f t="shared" ref="B300:N300" si="70">SUM(B296:B299)</f>
        <v>78225</v>
      </c>
      <c r="C300" s="1253">
        <f t="shared" si="70"/>
        <v>97587.5</v>
      </c>
      <c r="D300" s="1253">
        <f t="shared" si="70"/>
        <v>83325</v>
      </c>
      <c r="E300" s="1253">
        <f t="shared" si="70"/>
        <v>15000</v>
      </c>
      <c r="F300" s="1253">
        <f t="shared" si="70"/>
        <v>70800</v>
      </c>
      <c r="G300" s="1253">
        <f t="shared" si="70"/>
        <v>19750</v>
      </c>
      <c r="H300" s="1253">
        <f t="shared" si="70"/>
        <v>7550</v>
      </c>
      <c r="I300" s="1253">
        <f t="shared" si="70"/>
        <v>63037.5</v>
      </c>
      <c r="J300" s="1253">
        <f t="shared" si="70"/>
        <v>90725</v>
      </c>
      <c r="K300" s="1253">
        <f t="shared" si="70"/>
        <v>109600</v>
      </c>
      <c r="L300" s="1253">
        <f t="shared" si="70"/>
        <v>73950</v>
      </c>
      <c r="M300" s="1253">
        <f t="shared" si="70"/>
        <v>54625</v>
      </c>
      <c r="N300" s="1253">
        <f t="shared" si="70"/>
        <v>764175</v>
      </c>
    </row>
    <row r="301" spans="1:14" x14ac:dyDescent="0.2">
      <c r="A301" s="1120" t="s">
        <v>1029</v>
      </c>
      <c r="B301" s="1224"/>
      <c r="C301" s="1224"/>
      <c r="D301" s="1224"/>
      <c r="E301" s="1224"/>
      <c r="F301" s="1224"/>
      <c r="G301" s="1290"/>
      <c r="H301" s="1224"/>
      <c r="I301" s="1224"/>
      <c r="J301" s="1224"/>
      <c r="K301" s="1224"/>
      <c r="L301" s="1224"/>
      <c r="M301" s="1224"/>
      <c r="N301" s="1224">
        <f>SUM(B301:M301)</f>
        <v>0</v>
      </c>
    </row>
    <row r="302" spans="1:14" x14ac:dyDescent="0.2">
      <c r="A302" s="1255" t="s">
        <v>1030</v>
      </c>
      <c r="B302" s="1297">
        <f t="shared" ref="B302:N302" si="71">SUM(B295,B300,B301)</f>
        <v>78225</v>
      </c>
      <c r="C302" s="1297">
        <f t="shared" si="71"/>
        <v>97587.5</v>
      </c>
      <c r="D302" s="1297">
        <f t="shared" si="71"/>
        <v>83325</v>
      </c>
      <c r="E302" s="1297">
        <f t="shared" si="71"/>
        <v>15000</v>
      </c>
      <c r="F302" s="1297">
        <f t="shared" si="71"/>
        <v>70800</v>
      </c>
      <c r="G302" s="1297">
        <f t="shared" si="71"/>
        <v>19750</v>
      </c>
      <c r="H302" s="1297">
        <f t="shared" si="71"/>
        <v>7550</v>
      </c>
      <c r="I302" s="1297">
        <f t="shared" si="71"/>
        <v>63037.5</v>
      </c>
      <c r="J302" s="1297">
        <f t="shared" si="71"/>
        <v>90725</v>
      </c>
      <c r="K302" s="1297">
        <f t="shared" si="71"/>
        <v>109600</v>
      </c>
      <c r="L302" s="1297">
        <f t="shared" si="71"/>
        <v>73950</v>
      </c>
      <c r="M302" s="1297">
        <f t="shared" si="71"/>
        <v>54625</v>
      </c>
      <c r="N302" s="1297">
        <f t="shared" si="71"/>
        <v>764175</v>
      </c>
    </row>
    <row r="303" spans="1:14" x14ac:dyDescent="0.2">
      <c r="A303" s="1292" t="s">
        <v>1031</v>
      </c>
      <c r="B303" s="1224">
        <v>470429.24</v>
      </c>
      <c r="C303" s="1224">
        <v>448031</v>
      </c>
      <c r="D303" s="1224">
        <v>494316</v>
      </c>
      <c r="E303" s="1224">
        <v>609265</v>
      </c>
      <c r="F303" s="1224">
        <v>482089</v>
      </c>
      <c r="G303" s="1224">
        <v>476124</v>
      </c>
      <c r="H303" s="1224">
        <v>431742</v>
      </c>
      <c r="I303" s="1224">
        <v>438577</v>
      </c>
      <c r="J303" s="1224">
        <v>441760</v>
      </c>
      <c r="K303" s="1224">
        <v>445627</v>
      </c>
      <c r="L303" s="1224">
        <v>438584</v>
      </c>
      <c r="M303" s="1224">
        <v>442793</v>
      </c>
      <c r="N303" s="1224">
        <f>SUM(B303:M303)</f>
        <v>5619337.2400000002</v>
      </c>
    </row>
    <row r="304" spans="1:14" x14ac:dyDescent="0.2">
      <c r="A304" s="1120" t="s">
        <v>1032</v>
      </c>
      <c r="B304" s="1120">
        <v>8000</v>
      </c>
      <c r="C304" s="1120">
        <v>8000</v>
      </c>
      <c r="D304" s="1120">
        <v>8000</v>
      </c>
      <c r="E304" s="1120">
        <v>8000</v>
      </c>
      <c r="F304" s="1120">
        <v>8000</v>
      </c>
      <c r="G304" s="1120">
        <v>8000</v>
      </c>
      <c r="H304" s="1120">
        <v>8000</v>
      </c>
      <c r="I304" s="1120">
        <v>8000</v>
      </c>
      <c r="J304" s="1120">
        <v>8000</v>
      </c>
      <c r="K304" s="1120">
        <v>8000</v>
      </c>
      <c r="L304" s="1120">
        <v>8000</v>
      </c>
      <c r="M304" s="1120">
        <v>8000</v>
      </c>
      <c r="N304" s="1224">
        <f>SUM(B304:M304)</f>
        <v>96000</v>
      </c>
    </row>
    <row r="305" spans="1:14" x14ac:dyDescent="0.2">
      <c r="A305" s="1259" t="s">
        <v>1033</v>
      </c>
      <c r="B305" s="1260">
        <f t="shared" ref="B305:N305" si="72">SUM(B302-B303-B304)</f>
        <v>-400204.24</v>
      </c>
      <c r="C305" s="1260">
        <f t="shared" si="72"/>
        <v>-358443.5</v>
      </c>
      <c r="D305" s="1260">
        <f t="shared" si="72"/>
        <v>-418991</v>
      </c>
      <c r="E305" s="1260">
        <f t="shared" si="72"/>
        <v>-602265</v>
      </c>
      <c r="F305" s="1260">
        <f t="shared" si="72"/>
        <v>-419289</v>
      </c>
      <c r="G305" s="1260">
        <f t="shared" si="72"/>
        <v>-464374</v>
      </c>
      <c r="H305" s="1260">
        <f t="shared" si="72"/>
        <v>-432192</v>
      </c>
      <c r="I305" s="1260">
        <f t="shared" si="72"/>
        <v>-383539.5</v>
      </c>
      <c r="J305" s="1260">
        <f t="shared" si="72"/>
        <v>-359035</v>
      </c>
      <c r="K305" s="1260">
        <f t="shared" si="72"/>
        <v>-344027</v>
      </c>
      <c r="L305" s="1260">
        <f t="shared" si="72"/>
        <v>-372634</v>
      </c>
      <c r="M305" s="1260">
        <f t="shared" si="72"/>
        <v>-396168</v>
      </c>
      <c r="N305" s="1260">
        <f t="shared" si="72"/>
        <v>-4951162.24</v>
      </c>
    </row>
    <row r="306" spans="1:14" x14ac:dyDescent="0.2">
      <c r="A306" s="1298"/>
      <c r="B306" s="1299"/>
      <c r="C306" s="1299"/>
      <c r="D306" s="1299"/>
      <c r="E306" s="1299"/>
      <c r="F306" s="1299"/>
      <c r="G306" s="1299"/>
      <c r="H306" s="1299"/>
      <c r="I306" s="1299"/>
      <c r="J306" s="1299"/>
      <c r="K306" s="1299"/>
      <c r="L306" s="1299"/>
      <c r="M306" s="1299"/>
      <c r="N306" s="1299"/>
    </row>
    <row r="308" spans="1:14" x14ac:dyDescent="0.2">
      <c r="A308" s="1292" t="s">
        <v>1128</v>
      </c>
      <c r="B308" s="1124" t="s">
        <v>858</v>
      </c>
      <c r="C308" s="1124" t="s">
        <v>859</v>
      </c>
      <c r="D308" s="1124" t="s">
        <v>860</v>
      </c>
      <c r="E308" s="1124" t="s">
        <v>861</v>
      </c>
      <c r="F308" s="1124" t="s">
        <v>862</v>
      </c>
      <c r="G308" s="1124" t="s">
        <v>863</v>
      </c>
      <c r="H308" s="1124" t="s">
        <v>864</v>
      </c>
      <c r="I308" s="1124" t="s">
        <v>865</v>
      </c>
      <c r="J308" s="1124" t="s">
        <v>866</v>
      </c>
      <c r="K308" s="1124" t="s">
        <v>867</v>
      </c>
      <c r="L308" s="1124" t="s">
        <v>868</v>
      </c>
      <c r="M308" s="1124" t="s">
        <v>857</v>
      </c>
      <c r="N308" s="1299"/>
    </row>
    <row r="309" spans="1:14" x14ac:dyDescent="0.2">
      <c r="A309" s="1184" t="s">
        <v>1129</v>
      </c>
      <c r="B309" s="1184">
        <v>60</v>
      </c>
      <c r="C309" s="1184"/>
      <c r="D309" s="1184">
        <v>17</v>
      </c>
      <c r="E309" s="1184"/>
      <c r="F309" s="1184"/>
      <c r="G309" s="1184"/>
      <c r="H309" s="1184"/>
      <c r="I309" s="1184"/>
      <c r="J309" s="1184"/>
      <c r="K309" s="1184"/>
      <c r="L309" s="1184"/>
      <c r="M309" s="1184"/>
    </row>
    <row r="310" spans="1:14" x14ac:dyDescent="0.2">
      <c r="A310" s="1184" t="s">
        <v>1130</v>
      </c>
      <c r="B310" s="1184">
        <v>1616</v>
      </c>
      <c r="C310" s="1184"/>
      <c r="D310" s="1184">
        <v>217</v>
      </c>
      <c r="E310" s="1184"/>
      <c r="F310" s="1184"/>
      <c r="G310" s="1184"/>
      <c r="H310" s="1184"/>
      <c r="I310" s="1184"/>
      <c r="J310" s="1184"/>
      <c r="K310" s="1184"/>
      <c r="L310" s="1184"/>
      <c r="M310" s="1184"/>
    </row>
    <row r="311" spans="1:14" x14ac:dyDescent="0.2">
      <c r="A311" s="1184" t="s">
        <v>1131</v>
      </c>
      <c r="B311" s="1184">
        <v>11</v>
      </c>
      <c r="C311" s="1184"/>
      <c r="D311" s="1184"/>
      <c r="E311" s="1184"/>
      <c r="F311" s="1184"/>
      <c r="G311" s="1184"/>
      <c r="H311" s="1184"/>
      <c r="I311" s="1184"/>
      <c r="J311" s="1184"/>
      <c r="K311" s="1184"/>
      <c r="L311" s="1184"/>
      <c r="M311" s="1184"/>
    </row>
    <row r="312" spans="1:14" x14ac:dyDescent="0.2">
      <c r="A312" s="1184" t="s">
        <v>1130</v>
      </c>
      <c r="B312" s="1184">
        <v>520</v>
      </c>
      <c r="C312" s="1184"/>
      <c r="D312" s="1184"/>
      <c r="E312" s="1184"/>
      <c r="F312" s="1184"/>
      <c r="G312" s="1184"/>
      <c r="H312" s="1184"/>
      <c r="I312" s="1184"/>
      <c r="J312" s="1184"/>
      <c r="K312" s="1184"/>
      <c r="L312" s="1184"/>
      <c r="M312" s="1184"/>
    </row>
    <row r="313" spans="1:14" x14ac:dyDescent="0.2">
      <c r="A313" s="1300" t="s">
        <v>1132</v>
      </c>
      <c r="B313" s="1301"/>
      <c r="C313" s="1301"/>
      <c r="D313" s="1301"/>
      <c r="E313" s="1301"/>
      <c r="F313" s="1301"/>
      <c r="G313" s="1301"/>
      <c r="H313" s="1301"/>
      <c r="I313" s="1301"/>
      <c r="J313" s="1301"/>
      <c r="K313" s="1301"/>
      <c r="L313" s="1301"/>
      <c r="M313" s="1301"/>
    </row>
  </sheetData>
  <sheetProtection password="CC44" sheet="1" objects="1" scenarios="1"/>
  <mergeCells count="6">
    <mergeCell ref="A173:N173"/>
    <mergeCell ref="A244:N244"/>
    <mergeCell ref="A56:N56"/>
    <mergeCell ref="A1:N1"/>
    <mergeCell ref="I60:M60"/>
    <mergeCell ref="A117:N117"/>
  </mergeCells>
  <phoneticPr fontId="61" type="noConversion"/>
  <pageMargins left="0.19685039370078741" right="0" top="0.19685039370078741" bottom="0.19685039370078741" header="0.51181102362204722" footer="0.51181102362204722"/>
  <pageSetup paperSize="9" scale="80" orientation="landscape" horizontalDpi="4294967293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20"/>
  <dimension ref="A1:Q310"/>
  <sheetViews>
    <sheetView topLeftCell="A85" zoomScale="67" zoomScaleNormal="67" workbookViewId="0">
      <selection activeCell="P39" sqref="P39"/>
    </sheetView>
  </sheetViews>
  <sheetFormatPr defaultRowHeight="12.75" x14ac:dyDescent="0.2"/>
  <cols>
    <col min="1" max="1" width="23.85546875" customWidth="1"/>
    <col min="2" max="2" width="11.140625" customWidth="1"/>
    <col min="3" max="5" width="11.7109375" customWidth="1"/>
    <col min="6" max="6" width="12.28515625" customWidth="1"/>
    <col min="7" max="7" width="11.140625" customWidth="1"/>
    <col min="8" max="8" width="12.28515625" customWidth="1"/>
    <col min="9" max="9" width="13" customWidth="1"/>
    <col min="10" max="10" width="12.5703125" customWidth="1"/>
    <col min="11" max="11" width="12.140625" customWidth="1"/>
    <col min="12" max="12" width="11.140625" customWidth="1"/>
    <col min="13" max="13" width="10.7109375" customWidth="1"/>
    <col min="14" max="14" width="12" customWidth="1"/>
  </cols>
  <sheetData>
    <row r="1" spans="1:14" ht="20.25" x14ac:dyDescent="0.3">
      <c r="A1" s="1798" t="s">
        <v>1133</v>
      </c>
      <c r="B1" s="1798"/>
      <c r="C1" s="1798"/>
      <c r="D1" s="1798"/>
      <c r="E1" s="1798"/>
      <c r="F1" s="1798"/>
      <c r="G1" s="1798"/>
      <c r="H1" s="1798"/>
      <c r="I1" s="1798"/>
      <c r="J1" s="1798"/>
      <c r="K1" s="1798"/>
      <c r="L1" s="1798"/>
      <c r="M1" s="1798"/>
      <c r="N1" s="1798"/>
    </row>
    <row r="2" spans="1:14" x14ac:dyDescent="0.2">
      <c r="A2" s="828"/>
      <c r="B2" s="828"/>
      <c r="C2" s="828"/>
      <c r="D2" s="828"/>
      <c r="E2" s="828"/>
      <c r="F2" s="828"/>
      <c r="G2" s="828"/>
      <c r="H2" s="828"/>
      <c r="I2" s="828"/>
      <c r="J2" s="828"/>
      <c r="K2" s="828"/>
      <c r="L2" s="828"/>
      <c r="M2" s="828"/>
    </row>
    <row r="3" spans="1:14" x14ac:dyDescent="0.2">
      <c r="A3" s="829"/>
      <c r="B3" s="656" t="s">
        <v>863</v>
      </c>
      <c r="C3" s="656" t="s">
        <v>864</v>
      </c>
      <c r="D3" s="830" t="s">
        <v>865</v>
      </c>
      <c r="E3" s="656" t="s">
        <v>866</v>
      </c>
      <c r="F3" s="656" t="s">
        <v>867</v>
      </c>
      <c r="G3" s="830" t="s">
        <v>868</v>
      </c>
      <c r="H3" s="656" t="s">
        <v>857</v>
      </c>
      <c r="I3" s="656" t="s">
        <v>858</v>
      </c>
      <c r="J3" s="656" t="s">
        <v>859</v>
      </c>
      <c r="K3" s="656" t="s">
        <v>860</v>
      </c>
      <c r="L3" s="656" t="s">
        <v>861</v>
      </c>
      <c r="M3" s="656" t="s">
        <v>862</v>
      </c>
      <c r="N3" s="829" t="s">
        <v>137</v>
      </c>
    </row>
    <row r="4" spans="1:14" x14ac:dyDescent="0.2">
      <c r="A4" s="831" t="s">
        <v>332</v>
      </c>
      <c r="B4" s="832">
        <v>6575</v>
      </c>
      <c r="C4" s="832">
        <v>6575</v>
      </c>
      <c r="D4" s="832">
        <v>6575</v>
      </c>
      <c r="E4" s="832">
        <v>6575</v>
      </c>
      <c r="F4" s="832">
        <v>6575</v>
      </c>
      <c r="G4" s="832">
        <v>6575</v>
      </c>
      <c r="H4" s="832">
        <v>6575</v>
      </c>
      <c r="I4" s="832">
        <v>6575</v>
      </c>
      <c r="J4" s="832">
        <v>6575</v>
      </c>
      <c r="K4" s="832">
        <v>6575</v>
      </c>
      <c r="L4" s="832">
        <v>6575</v>
      </c>
      <c r="M4" s="832">
        <v>6575</v>
      </c>
      <c r="N4" s="832">
        <f t="shared" ref="N4:N16" si="0">SUM(B4:M4)</f>
        <v>78900</v>
      </c>
    </row>
    <row r="5" spans="1:14" x14ac:dyDescent="0.2">
      <c r="A5" s="831" t="s">
        <v>893</v>
      </c>
      <c r="B5" s="832">
        <v>78.75</v>
      </c>
      <c r="C5" s="832">
        <v>163</v>
      </c>
      <c r="D5" s="832">
        <v>58</v>
      </c>
      <c r="E5" s="832"/>
      <c r="F5" s="832">
        <v>13.5</v>
      </c>
      <c r="G5" s="833"/>
      <c r="H5" s="832">
        <v>80</v>
      </c>
      <c r="I5" s="832">
        <v>194</v>
      </c>
      <c r="J5" s="834">
        <v>125.75</v>
      </c>
      <c r="K5" s="832">
        <v>18.5</v>
      </c>
      <c r="L5" s="832">
        <v>164</v>
      </c>
      <c r="M5" s="832">
        <v>128.25</v>
      </c>
      <c r="N5" s="832">
        <f t="shared" si="0"/>
        <v>1023.75</v>
      </c>
    </row>
    <row r="6" spans="1:14" x14ac:dyDescent="0.2">
      <c r="A6" s="831" t="s">
        <v>894</v>
      </c>
      <c r="B6" s="832"/>
      <c r="C6" s="832"/>
      <c r="D6" s="832"/>
      <c r="E6" s="832"/>
      <c r="F6" s="832"/>
      <c r="G6" s="833"/>
      <c r="H6" s="832"/>
      <c r="I6" s="832"/>
      <c r="J6" s="832"/>
      <c r="K6" s="832"/>
      <c r="L6" s="832"/>
      <c r="M6" s="829"/>
      <c r="N6" s="832">
        <f t="shared" si="0"/>
        <v>0</v>
      </c>
    </row>
    <row r="7" spans="1:14" x14ac:dyDescent="0.2">
      <c r="A7" s="831" t="s">
        <v>895</v>
      </c>
      <c r="B7" s="832">
        <v>8</v>
      </c>
      <c r="C7" s="832">
        <v>12</v>
      </c>
      <c r="D7" s="832">
        <v>17</v>
      </c>
      <c r="E7" s="832">
        <v>8</v>
      </c>
      <c r="F7" s="832">
        <v>15</v>
      </c>
      <c r="G7" s="833">
        <v>12</v>
      </c>
      <c r="H7" s="832">
        <v>3</v>
      </c>
      <c r="I7" s="832">
        <v>5</v>
      </c>
      <c r="J7" s="832">
        <v>26.75</v>
      </c>
      <c r="K7" s="832">
        <v>4.5</v>
      </c>
      <c r="L7" s="832">
        <v>8</v>
      </c>
      <c r="M7" s="829"/>
      <c r="N7" s="832">
        <f t="shared" si="0"/>
        <v>119.25</v>
      </c>
    </row>
    <row r="8" spans="1:14" x14ac:dyDescent="0.2">
      <c r="A8" s="831" t="s">
        <v>896</v>
      </c>
      <c r="B8" s="832">
        <v>126</v>
      </c>
      <c r="C8" s="832">
        <v>598.5</v>
      </c>
      <c r="D8" s="832">
        <v>559.75</v>
      </c>
      <c r="E8" s="832">
        <v>617.75</v>
      </c>
      <c r="F8" s="832">
        <v>138.25</v>
      </c>
      <c r="G8" s="833">
        <v>887.75</v>
      </c>
      <c r="H8" s="832">
        <v>1344</v>
      </c>
      <c r="I8" s="832">
        <v>1278.5</v>
      </c>
      <c r="J8" s="832">
        <v>634.25</v>
      </c>
      <c r="K8" s="832">
        <v>491.75</v>
      </c>
      <c r="L8" s="832">
        <v>434.75</v>
      </c>
      <c r="M8" s="832">
        <v>280.25</v>
      </c>
      <c r="N8" s="832">
        <f t="shared" si="0"/>
        <v>7391.5</v>
      </c>
    </row>
    <row r="9" spans="1:14" x14ac:dyDescent="0.2">
      <c r="A9" s="831" t="s">
        <v>897</v>
      </c>
      <c r="B9" s="832">
        <v>59.5</v>
      </c>
      <c r="C9" s="832">
        <v>70.5</v>
      </c>
      <c r="D9" s="832">
        <v>53</v>
      </c>
      <c r="E9" s="832">
        <v>90.75</v>
      </c>
      <c r="F9" s="832">
        <v>40</v>
      </c>
      <c r="G9" s="833">
        <v>0</v>
      </c>
      <c r="H9" s="832">
        <v>0</v>
      </c>
      <c r="I9" s="832">
        <v>0</v>
      </c>
      <c r="J9" s="832">
        <v>0</v>
      </c>
      <c r="K9" s="832">
        <v>0</v>
      </c>
      <c r="L9" s="832">
        <v>0</v>
      </c>
      <c r="M9" s="832">
        <v>195.75</v>
      </c>
      <c r="N9" s="832">
        <f t="shared" si="0"/>
        <v>509.5</v>
      </c>
    </row>
    <row r="10" spans="1:14" x14ac:dyDescent="0.2">
      <c r="A10" s="831" t="s">
        <v>898</v>
      </c>
      <c r="B10" s="832">
        <v>312</v>
      </c>
      <c r="C10" s="832">
        <v>291.75</v>
      </c>
      <c r="D10" s="832">
        <v>182</v>
      </c>
      <c r="E10" s="832">
        <v>59.25</v>
      </c>
      <c r="F10" s="832">
        <v>244.5</v>
      </c>
      <c r="G10" s="833">
        <v>91.5</v>
      </c>
      <c r="H10" s="832">
        <v>32</v>
      </c>
      <c r="I10" s="832">
        <v>137</v>
      </c>
      <c r="J10" s="832">
        <v>183.75</v>
      </c>
      <c r="K10" s="832">
        <v>113.25</v>
      </c>
      <c r="L10" s="832">
        <v>270.25</v>
      </c>
      <c r="M10" s="832">
        <v>314</v>
      </c>
      <c r="N10" s="832">
        <f t="shared" si="0"/>
        <v>2231.25</v>
      </c>
    </row>
    <row r="11" spans="1:14" x14ac:dyDescent="0.2">
      <c r="A11" s="831" t="s">
        <v>899</v>
      </c>
      <c r="B11" s="832">
        <v>0</v>
      </c>
      <c r="C11" s="832">
        <v>0</v>
      </c>
      <c r="D11" s="832">
        <v>0</v>
      </c>
      <c r="E11" s="832">
        <v>0</v>
      </c>
      <c r="F11" s="832">
        <v>0</v>
      </c>
      <c r="G11" s="833">
        <v>0</v>
      </c>
      <c r="H11" s="832">
        <v>0</v>
      </c>
      <c r="I11" s="832">
        <v>0</v>
      </c>
      <c r="J11" s="832">
        <v>0</v>
      </c>
      <c r="K11" s="832">
        <v>0</v>
      </c>
      <c r="L11" s="832">
        <v>8</v>
      </c>
      <c r="M11" s="832">
        <v>0</v>
      </c>
      <c r="N11" s="832">
        <f t="shared" si="0"/>
        <v>8</v>
      </c>
    </row>
    <row r="12" spans="1:14" x14ac:dyDescent="0.2">
      <c r="A12" s="831" t="s">
        <v>900</v>
      </c>
      <c r="B12" s="832">
        <v>438</v>
      </c>
      <c r="C12" s="832">
        <v>156.75</v>
      </c>
      <c r="D12" s="832">
        <v>500</v>
      </c>
      <c r="E12" s="832">
        <v>336.75</v>
      </c>
      <c r="F12" s="832">
        <v>644.25</v>
      </c>
      <c r="G12" s="833">
        <v>326</v>
      </c>
      <c r="H12" s="832">
        <v>47</v>
      </c>
      <c r="I12" s="832">
        <v>203.75</v>
      </c>
      <c r="J12" s="832">
        <v>271.75</v>
      </c>
      <c r="K12" s="832">
        <v>464.75</v>
      </c>
      <c r="L12" s="832">
        <v>332.75</v>
      </c>
      <c r="M12" s="832">
        <v>460.25</v>
      </c>
      <c r="N12" s="832">
        <f t="shared" si="0"/>
        <v>4182</v>
      </c>
    </row>
    <row r="13" spans="1:14" x14ac:dyDescent="0.2">
      <c r="A13" s="831" t="s">
        <v>901</v>
      </c>
      <c r="B13" s="832">
        <v>0</v>
      </c>
      <c r="C13" s="832">
        <v>0</v>
      </c>
      <c r="D13" s="832">
        <v>0</v>
      </c>
      <c r="E13" s="832">
        <v>0</v>
      </c>
      <c r="F13" s="832">
        <v>0</v>
      </c>
      <c r="G13" s="833">
        <v>0</v>
      </c>
      <c r="H13" s="832">
        <v>0</v>
      </c>
      <c r="I13" s="832">
        <v>0</v>
      </c>
      <c r="J13" s="832">
        <v>0</v>
      </c>
      <c r="K13" s="832">
        <v>0</v>
      </c>
      <c r="L13" s="832">
        <v>0</v>
      </c>
      <c r="M13" s="832">
        <v>0</v>
      </c>
      <c r="N13" s="832">
        <f t="shared" si="0"/>
        <v>0</v>
      </c>
    </row>
    <row r="14" spans="1:14" x14ac:dyDescent="0.2">
      <c r="A14" s="831" t="s">
        <v>902</v>
      </c>
      <c r="B14" s="832">
        <v>144.25</v>
      </c>
      <c r="C14" s="832">
        <v>31</v>
      </c>
      <c r="D14" s="832">
        <v>104.75</v>
      </c>
      <c r="E14" s="832">
        <v>66.25</v>
      </c>
      <c r="F14" s="832">
        <v>89</v>
      </c>
      <c r="G14" s="833">
        <v>14.75</v>
      </c>
      <c r="H14" s="832">
        <v>32.5</v>
      </c>
      <c r="I14" s="832">
        <v>0</v>
      </c>
      <c r="J14" s="832">
        <v>14</v>
      </c>
      <c r="K14" s="832">
        <v>34.25</v>
      </c>
      <c r="L14" s="832">
        <v>301</v>
      </c>
      <c r="M14" s="832">
        <v>183.25</v>
      </c>
      <c r="N14" s="832">
        <f t="shared" si="0"/>
        <v>1015</v>
      </c>
    </row>
    <row r="15" spans="1:14" x14ac:dyDescent="0.2">
      <c r="A15" s="835" t="s">
        <v>903</v>
      </c>
      <c r="B15" s="836">
        <v>0</v>
      </c>
      <c r="C15" s="836">
        <v>0</v>
      </c>
      <c r="D15" s="836">
        <v>23.25</v>
      </c>
      <c r="E15" s="836">
        <v>0</v>
      </c>
      <c r="F15" s="836">
        <v>0</v>
      </c>
      <c r="G15" s="837">
        <v>0</v>
      </c>
      <c r="H15" s="836">
        <v>0</v>
      </c>
      <c r="I15" s="836">
        <v>0</v>
      </c>
      <c r="J15" s="836">
        <v>0</v>
      </c>
      <c r="K15" s="836">
        <v>0</v>
      </c>
      <c r="L15" s="836">
        <v>0</v>
      </c>
      <c r="M15" s="836"/>
      <c r="N15" s="838">
        <f t="shared" si="0"/>
        <v>23.25</v>
      </c>
    </row>
    <row r="16" spans="1:14" x14ac:dyDescent="0.2">
      <c r="A16" s="839" t="s">
        <v>904</v>
      </c>
      <c r="B16" s="840">
        <f t="shared" ref="B16:M16" si="1">SUM(B4+B5+B6+B7-B8-B9-B10-B12-B13-B14-B15)</f>
        <v>5582</v>
      </c>
      <c r="C16" s="840">
        <f t="shared" si="1"/>
        <v>5601.5</v>
      </c>
      <c r="D16" s="840">
        <f t="shared" si="1"/>
        <v>5227.25</v>
      </c>
      <c r="E16" s="840">
        <f t="shared" si="1"/>
        <v>5412.25</v>
      </c>
      <c r="F16" s="840">
        <f t="shared" si="1"/>
        <v>5447.5</v>
      </c>
      <c r="G16" s="840">
        <f t="shared" si="1"/>
        <v>5267</v>
      </c>
      <c r="H16" s="840">
        <f t="shared" si="1"/>
        <v>5202.5</v>
      </c>
      <c r="I16" s="840">
        <f t="shared" si="1"/>
        <v>5154.75</v>
      </c>
      <c r="J16" s="840">
        <f t="shared" si="1"/>
        <v>5623.75</v>
      </c>
      <c r="K16" s="840">
        <f t="shared" si="1"/>
        <v>5494</v>
      </c>
      <c r="L16" s="840">
        <f t="shared" si="1"/>
        <v>5408.25</v>
      </c>
      <c r="M16" s="841">
        <f t="shared" si="1"/>
        <v>5269.75</v>
      </c>
      <c r="N16" s="842">
        <f t="shared" si="0"/>
        <v>64690.5</v>
      </c>
    </row>
    <row r="17" spans="1:14" x14ac:dyDescent="0.2">
      <c r="A17" s="843"/>
      <c r="B17" s="844"/>
      <c r="C17" s="844"/>
      <c r="D17" s="844"/>
      <c r="E17" s="844"/>
      <c r="F17" s="844"/>
      <c r="G17" s="844"/>
      <c r="H17" s="844"/>
      <c r="I17" s="844"/>
      <c r="J17" s="844"/>
      <c r="K17" s="844"/>
      <c r="L17" s="844"/>
      <c r="M17" s="844"/>
      <c r="N17" s="844"/>
    </row>
    <row r="18" spans="1:14" x14ac:dyDescent="0.2">
      <c r="A18" s="843"/>
      <c r="B18" s="844"/>
      <c r="C18" s="844"/>
      <c r="D18" s="844"/>
      <c r="E18" s="844"/>
      <c r="F18" s="844"/>
      <c r="G18" s="844"/>
      <c r="H18" s="844"/>
      <c r="I18" s="844"/>
      <c r="J18" s="844"/>
      <c r="K18" s="844"/>
      <c r="L18" s="844"/>
      <c r="M18" s="844"/>
      <c r="N18" s="845" t="s">
        <v>905</v>
      </c>
    </row>
    <row r="19" spans="1:14" x14ac:dyDescent="0.2">
      <c r="A19" s="831" t="s">
        <v>906</v>
      </c>
      <c r="B19" s="832">
        <f t="shared" ref="B19:M19" si="2">SUM(B5*100/B16)</f>
        <v>1.4107846649946256</v>
      </c>
      <c r="C19" s="832">
        <f t="shared" si="2"/>
        <v>2.9099348388824424</v>
      </c>
      <c r="D19" s="832">
        <f t="shared" si="2"/>
        <v>1.1095700416088765</v>
      </c>
      <c r="E19" s="832">
        <f t="shared" si="2"/>
        <v>0</v>
      </c>
      <c r="F19" s="832">
        <f t="shared" si="2"/>
        <v>0.24782010096374485</v>
      </c>
      <c r="G19" s="832">
        <f t="shared" si="2"/>
        <v>0</v>
      </c>
      <c r="H19" s="832">
        <f t="shared" si="2"/>
        <v>1.5377222489187889</v>
      </c>
      <c r="I19" s="832">
        <f t="shared" si="2"/>
        <v>3.7635190843396868</v>
      </c>
      <c r="J19" s="832">
        <f t="shared" si="2"/>
        <v>2.2360524561013557</v>
      </c>
      <c r="K19" s="832">
        <f t="shared" si="2"/>
        <v>0.33673097925009099</v>
      </c>
      <c r="L19" s="832">
        <f t="shared" si="2"/>
        <v>3.0324041972911755</v>
      </c>
      <c r="M19" s="832">
        <f t="shared" si="2"/>
        <v>2.4337017885098913</v>
      </c>
      <c r="N19" s="846">
        <f>SUM(B19:M19)/12</f>
        <v>1.5848533667383897</v>
      </c>
    </row>
    <row r="20" spans="1:14" x14ac:dyDescent="0.2">
      <c r="A20" s="843"/>
      <c r="B20" s="844"/>
      <c r="C20" s="844"/>
      <c r="D20" s="844"/>
      <c r="E20" s="844"/>
      <c r="F20" s="844"/>
      <c r="G20" s="844"/>
      <c r="H20" s="844"/>
      <c r="I20" s="844"/>
      <c r="J20" s="844"/>
      <c r="K20" s="844"/>
      <c r="L20" s="844"/>
      <c r="M20" s="844"/>
      <c r="N20" s="828"/>
    </row>
    <row r="21" spans="1:14" x14ac:dyDescent="0.2">
      <c r="A21" s="831" t="s">
        <v>907</v>
      </c>
      <c r="B21" s="832">
        <f t="shared" ref="B21:M21" si="3">SUM(B10*100/B16)</f>
        <v>5.5893944822644217</v>
      </c>
      <c r="C21" s="832">
        <f t="shared" si="3"/>
        <v>5.2084263143800769</v>
      </c>
      <c r="D21" s="832">
        <f t="shared" si="3"/>
        <v>3.4817542684968195</v>
      </c>
      <c r="E21" s="832">
        <f t="shared" si="3"/>
        <v>1.0947387870109473</v>
      </c>
      <c r="F21" s="832">
        <f t="shared" si="3"/>
        <v>4.4882973841211564</v>
      </c>
      <c r="G21" s="832">
        <f t="shared" si="3"/>
        <v>1.7372318207708373</v>
      </c>
      <c r="H21" s="832">
        <f t="shared" si="3"/>
        <v>0.61508889956751567</v>
      </c>
      <c r="I21" s="832">
        <f t="shared" si="3"/>
        <v>2.6577428585285414</v>
      </c>
      <c r="J21" s="832">
        <f t="shared" si="3"/>
        <v>3.2673927539453214</v>
      </c>
      <c r="K21" s="832">
        <f t="shared" si="3"/>
        <v>2.0613396432471789</v>
      </c>
      <c r="L21" s="832">
        <f t="shared" si="3"/>
        <v>4.9969953312069526</v>
      </c>
      <c r="M21" s="832">
        <f t="shared" si="3"/>
        <v>5.9585369324920539</v>
      </c>
      <c r="N21" s="846">
        <f>SUM(B21:M21)/12</f>
        <v>3.4297449563359854</v>
      </c>
    </row>
    <row r="22" spans="1:14" x14ac:dyDescent="0.2">
      <c r="A22" s="847" t="s">
        <v>908</v>
      </c>
      <c r="B22" s="838">
        <f t="shared" ref="B22:M22" si="4">SUM(B11*100/B16)</f>
        <v>0</v>
      </c>
      <c r="C22" s="838">
        <f t="shared" si="4"/>
        <v>0</v>
      </c>
      <c r="D22" s="838">
        <f t="shared" si="4"/>
        <v>0</v>
      </c>
      <c r="E22" s="838">
        <f t="shared" si="4"/>
        <v>0</v>
      </c>
      <c r="F22" s="838">
        <f t="shared" si="4"/>
        <v>0</v>
      </c>
      <c r="G22" s="838">
        <f t="shared" si="4"/>
        <v>0</v>
      </c>
      <c r="H22" s="838">
        <f t="shared" si="4"/>
        <v>0</v>
      </c>
      <c r="I22" s="838">
        <f t="shared" si="4"/>
        <v>0</v>
      </c>
      <c r="J22" s="838">
        <f t="shared" si="4"/>
        <v>0</v>
      </c>
      <c r="K22" s="838">
        <f t="shared" si="4"/>
        <v>0</v>
      </c>
      <c r="L22" s="838">
        <f t="shared" si="4"/>
        <v>0.14792215596542319</v>
      </c>
      <c r="M22" s="838">
        <f t="shared" si="4"/>
        <v>0</v>
      </c>
      <c r="N22" s="848">
        <f>SUM(B22:M22)/12</f>
        <v>1.2326846330451932E-2</v>
      </c>
    </row>
    <row r="23" spans="1:14" x14ac:dyDescent="0.2">
      <c r="A23" s="849" t="s">
        <v>909</v>
      </c>
      <c r="B23" s="850">
        <f t="shared" ref="B23:M23" si="5">SUM(B21:B21)</f>
        <v>5.5893944822644217</v>
      </c>
      <c r="C23" s="850">
        <f t="shared" si="5"/>
        <v>5.2084263143800769</v>
      </c>
      <c r="D23" s="850">
        <f t="shared" si="5"/>
        <v>3.4817542684968195</v>
      </c>
      <c r="E23" s="850">
        <f t="shared" si="5"/>
        <v>1.0947387870109473</v>
      </c>
      <c r="F23" s="850">
        <f t="shared" si="5"/>
        <v>4.4882973841211564</v>
      </c>
      <c r="G23" s="850">
        <f t="shared" si="5"/>
        <v>1.7372318207708373</v>
      </c>
      <c r="H23" s="850">
        <f t="shared" si="5"/>
        <v>0.61508889956751567</v>
      </c>
      <c r="I23" s="850">
        <f t="shared" si="5"/>
        <v>2.6577428585285414</v>
      </c>
      <c r="J23" s="850">
        <f t="shared" si="5"/>
        <v>3.2673927539453214</v>
      </c>
      <c r="K23" s="850">
        <f t="shared" si="5"/>
        <v>2.0613396432471789</v>
      </c>
      <c r="L23" s="850">
        <f t="shared" si="5"/>
        <v>4.9969953312069526</v>
      </c>
      <c r="M23" s="850">
        <f t="shared" si="5"/>
        <v>5.9585369324920539</v>
      </c>
      <c r="N23" s="851">
        <f>SUM(N21:N22)</f>
        <v>3.4420718026664372</v>
      </c>
    </row>
    <row r="24" spans="1:14" x14ac:dyDescent="0.2">
      <c r="A24" s="843" t="s">
        <v>910</v>
      </c>
      <c r="B24" s="844"/>
      <c r="C24" s="844"/>
      <c r="D24" s="852">
        <f>SUM(B23:D23)/3</f>
        <v>4.7598583550471059</v>
      </c>
      <c r="E24" s="844"/>
      <c r="F24" s="844"/>
      <c r="G24" s="852">
        <f>SUM(E23,F23,G23)/3</f>
        <v>2.4400893306343137</v>
      </c>
      <c r="H24" s="844"/>
      <c r="I24" s="844"/>
      <c r="J24" s="852">
        <f>SUM(H23,I23,J23)/3</f>
        <v>2.1800748373471261</v>
      </c>
      <c r="K24" s="844"/>
      <c r="L24" s="844"/>
      <c r="M24" s="852">
        <f>SUM(K23,L23,M23)/3</f>
        <v>4.3389573023153956</v>
      </c>
      <c r="N24" s="853">
        <f>SUM(D24:M24)/4</f>
        <v>3.429744956335985</v>
      </c>
    </row>
    <row r="25" spans="1:14" x14ac:dyDescent="0.2">
      <c r="A25" s="843" t="s">
        <v>911</v>
      </c>
      <c r="B25" s="844"/>
      <c r="C25" s="844"/>
      <c r="D25" s="854"/>
      <c r="E25" s="844"/>
      <c r="F25" s="844"/>
      <c r="G25" s="854"/>
      <c r="H25" s="844"/>
      <c r="I25" s="844"/>
      <c r="J25" s="854"/>
      <c r="K25" s="844"/>
      <c r="L25" s="844"/>
      <c r="M25" s="854"/>
      <c r="N25" s="846">
        <f>SUM(D25:G25,J25,M25)/4</f>
        <v>0</v>
      </c>
    </row>
    <row r="26" spans="1:14" x14ac:dyDescent="0.2">
      <c r="A26" s="843"/>
      <c r="B26" s="844"/>
      <c r="C26" s="844"/>
      <c r="D26" s="844"/>
      <c r="E26" s="844"/>
      <c r="F26" s="844"/>
      <c r="G26" s="844"/>
      <c r="H26" s="844"/>
      <c r="I26" s="844"/>
      <c r="J26" s="844"/>
      <c r="K26" s="844"/>
      <c r="L26" s="844"/>
      <c r="M26" s="844"/>
      <c r="N26" s="844"/>
    </row>
    <row r="27" spans="1:14" x14ac:dyDescent="0.2">
      <c r="A27" s="831" t="s">
        <v>912</v>
      </c>
      <c r="B27" s="832">
        <f t="shared" ref="B27:M27" si="6">B14*100/B16</f>
        <v>2.5841992117520602</v>
      </c>
      <c r="C27" s="832">
        <f t="shared" si="6"/>
        <v>0.55342319021690622</v>
      </c>
      <c r="D27" s="832">
        <f t="shared" si="6"/>
        <v>2.0039217561815486</v>
      </c>
      <c r="E27" s="832">
        <f t="shared" si="6"/>
        <v>1.2240750150122408</v>
      </c>
      <c r="F27" s="832">
        <f t="shared" si="6"/>
        <v>1.6337769619091327</v>
      </c>
      <c r="G27" s="832">
        <f t="shared" si="6"/>
        <v>0.2800455667362825</v>
      </c>
      <c r="H27" s="832">
        <f t="shared" si="6"/>
        <v>0.62469966362325802</v>
      </c>
      <c r="I27" s="832">
        <f t="shared" si="6"/>
        <v>0</v>
      </c>
      <c r="J27" s="832">
        <f t="shared" si="6"/>
        <v>0.24894420982440543</v>
      </c>
      <c r="K27" s="832">
        <f t="shared" si="6"/>
        <v>0.62340735347651988</v>
      </c>
      <c r="L27" s="832">
        <f t="shared" si="6"/>
        <v>5.5655711181990482</v>
      </c>
      <c r="M27" s="832">
        <f t="shared" si="6"/>
        <v>3.477394563309455</v>
      </c>
      <c r="N27" s="846">
        <f>SUM(B27:M27)/12</f>
        <v>1.5682882175200714</v>
      </c>
    </row>
    <row r="28" spans="1:14" x14ac:dyDescent="0.2">
      <c r="A28" s="831" t="s">
        <v>913</v>
      </c>
      <c r="B28" s="832">
        <f t="shared" ref="B28:M28" si="7">B12*100/B16</f>
        <v>7.8466499462558223</v>
      </c>
      <c r="C28" s="832">
        <f t="shared" si="7"/>
        <v>2.7983575827903242</v>
      </c>
      <c r="D28" s="832">
        <f t="shared" si="7"/>
        <v>9.5652589793868668</v>
      </c>
      <c r="E28" s="832">
        <f t="shared" si="7"/>
        <v>6.2219963970622203</v>
      </c>
      <c r="F28" s="832">
        <f t="shared" si="7"/>
        <v>11.826525929325379</v>
      </c>
      <c r="G28" s="832">
        <f t="shared" si="7"/>
        <v>6.1894816783747864</v>
      </c>
      <c r="H28" s="832">
        <f t="shared" si="7"/>
        <v>0.90341182123978858</v>
      </c>
      <c r="I28" s="832">
        <f t="shared" si="7"/>
        <v>3.9526650177021194</v>
      </c>
      <c r="J28" s="832">
        <f t="shared" si="7"/>
        <v>4.8321849299844413</v>
      </c>
      <c r="K28" s="832">
        <f t="shared" si="7"/>
        <v>8.4592282489989081</v>
      </c>
      <c r="L28" s="832">
        <f t="shared" si="7"/>
        <v>6.1526371746868209</v>
      </c>
      <c r="M28" s="832">
        <f t="shared" si="7"/>
        <v>8.7338109018454393</v>
      </c>
      <c r="N28" s="846">
        <f>SUM(B28:M28)/12</f>
        <v>6.456850717304409</v>
      </c>
    </row>
    <row r="29" spans="1:14" x14ac:dyDescent="0.2">
      <c r="A29" s="831" t="s">
        <v>914</v>
      </c>
      <c r="B29" s="832">
        <f t="shared" ref="B29:M29" si="8">B8*100/B16</f>
        <v>2.2572554639914011</v>
      </c>
      <c r="C29" s="832">
        <f t="shared" si="8"/>
        <v>10.684638043381238</v>
      </c>
      <c r="D29" s="832">
        <f t="shared" si="8"/>
        <v>10.708307427423598</v>
      </c>
      <c r="E29" s="832">
        <f t="shared" si="8"/>
        <v>11.413922121114139</v>
      </c>
      <c r="F29" s="832">
        <f t="shared" si="8"/>
        <v>2.5378614043139054</v>
      </c>
      <c r="G29" s="832">
        <f t="shared" si="8"/>
        <v>16.854945889500666</v>
      </c>
      <c r="H29" s="832">
        <f t="shared" si="8"/>
        <v>25.833733781835654</v>
      </c>
      <c r="I29" s="832">
        <f t="shared" si="8"/>
        <v>24.802366749114896</v>
      </c>
      <c r="J29" s="832">
        <f t="shared" si="8"/>
        <v>11.278061791509224</v>
      </c>
      <c r="K29" s="832">
        <f t="shared" si="8"/>
        <v>8.9506734619585</v>
      </c>
      <c r="L29" s="832">
        <f t="shared" si="8"/>
        <v>8.0386446632459663</v>
      </c>
      <c r="M29" s="832">
        <f t="shared" si="8"/>
        <v>5.318089093410503</v>
      </c>
      <c r="N29" s="846">
        <f>SUM(B29:M29)/12</f>
        <v>11.556541657566642</v>
      </c>
    </row>
    <row r="30" spans="1:14" x14ac:dyDescent="0.2">
      <c r="A30" s="855" t="s">
        <v>915</v>
      </c>
      <c r="B30" s="856">
        <f t="shared" ref="B30:M30" si="9">SUM(B4-B16)*100/B16</f>
        <v>17.789322823360802</v>
      </c>
      <c r="C30" s="856">
        <f t="shared" si="9"/>
        <v>17.379273408908329</v>
      </c>
      <c r="D30" s="856">
        <f t="shared" si="9"/>
        <v>25.783155578937301</v>
      </c>
      <c r="E30" s="856">
        <f t="shared" si="9"/>
        <v>21.483671301214837</v>
      </c>
      <c r="F30" s="856">
        <f t="shared" si="9"/>
        <v>20.697567691601652</v>
      </c>
      <c r="G30" s="856">
        <f t="shared" si="9"/>
        <v>24.833871273970001</v>
      </c>
      <c r="H30" s="856">
        <f t="shared" si="9"/>
        <v>26.381547333012975</v>
      </c>
      <c r="I30" s="856">
        <f t="shared" si="9"/>
        <v>27.552257626461031</v>
      </c>
      <c r="J30" s="856">
        <f t="shared" si="9"/>
        <v>16.914869971104689</v>
      </c>
      <c r="K30" s="856">
        <f t="shared" si="9"/>
        <v>19.676010192937749</v>
      </c>
      <c r="L30" s="856">
        <f t="shared" si="9"/>
        <v>21.573521934082191</v>
      </c>
      <c r="M30" s="856">
        <f t="shared" si="9"/>
        <v>24.768727169220551</v>
      </c>
      <c r="N30" s="857">
        <f>SUM(B30:M30)/12</f>
        <v>22.069483025401009</v>
      </c>
    </row>
    <row r="31" spans="1:14" x14ac:dyDescent="0.2">
      <c r="A31" s="843"/>
      <c r="B31" s="844"/>
      <c r="C31" s="844"/>
      <c r="D31" s="844"/>
      <c r="E31" s="844"/>
      <c r="F31" s="844"/>
      <c r="G31" s="844"/>
      <c r="H31" s="844"/>
      <c r="I31" s="844"/>
      <c r="J31" s="844"/>
      <c r="K31" s="844"/>
      <c r="L31" s="844"/>
      <c r="M31" s="844"/>
      <c r="N31" s="828"/>
    </row>
    <row r="32" spans="1:14" x14ac:dyDescent="0.2">
      <c r="A32" s="858" t="s">
        <v>916</v>
      </c>
      <c r="B32" s="844"/>
      <c r="C32" s="844"/>
      <c r="D32" s="844"/>
      <c r="E32" s="844"/>
      <c r="F32" s="844"/>
      <c r="G32" s="844"/>
      <c r="H32" s="844"/>
      <c r="I32" s="844"/>
      <c r="J32" s="844"/>
      <c r="K32" s="844"/>
      <c r="L32" s="844"/>
      <c r="M32" s="844"/>
      <c r="N32" s="828"/>
    </row>
    <row r="33" spans="1:14" x14ac:dyDescent="0.2">
      <c r="A33" s="831" t="s">
        <v>917</v>
      </c>
      <c r="B33" s="859">
        <v>47</v>
      </c>
      <c r="C33" s="859">
        <f t="shared" ref="C33:N33" si="10">B36</f>
        <v>45</v>
      </c>
      <c r="D33" s="859">
        <f t="shared" si="10"/>
        <v>47</v>
      </c>
      <c r="E33" s="859">
        <f t="shared" si="10"/>
        <v>44</v>
      </c>
      <c r="F33" s="859">
        <f t="shared" si="10"/>
        <v>44</v>
      </c>
      <c r="G33" s="859">
        <f t="shared" si="10"/>
        <v>44</v>
      </c>
      <c r="H33" s="859">
        <f t="shared" si="10"/>
        <v>46</v>
      </c>
      <c r="I33" s="859">
        <f t="shared" si="10"/>
        <v>45</v>
      </c>
      <c r="J33" s="859">
        <f t="shared" si="10"/>
        <v>43</v>
      </c>
      <c r="K33" s="859">
        <f t="shared" si="10"/>
        <v>43</v>
      </c>
      <c r="L33" s="859">
        <f t="shared" si="10"/>
        <v>43</v>
      </c>
      <c r="M33" s="859">
        <f t="shared" si="10"/>
        <v>43</v>
      </c>
      <c r="N33" s="859">
        <f t="shared" si="10"/>
        <v>43</v>
      </c>
    </row>
    <row r="34" spans="1:14" x14ac:dyDescent="0.2">
      <c r="A34" s="831" t="s">
        <v>918</v>
      </c>
      <c r="B34" s="859">
        <v>1</v>
      </c>
      <c r="C34" s="859">
        <v>2</v>
      </c>
      <c r="D34" s="859"/>
      <c r="E34" s="859"/>
      <c r="F34" s="859"/>
      <c r="G34" s="859">
        <v>2</v>
      </c>
      <c r="H34" s="859">
        <v>1</v>
      </c>
      <c r="I34" s="859"/>
      <c r="J34" s="859"/>
      <c r="K34" s="859"/>
      <c r="L34" s="859"/>
      <c r="M34" s="859"/>
      <c r="N34" s="859"/>
    </row>
    <row r="35" spans="1:14" x14ac:dyDescent="0.2">
      <c r="A35" s="831" t="s">
        <v>919</v>
      </c>
      <c r="B35" s="859">
        <v>3</v>
      </c>
      <c r="C35" s="859"/>
      <c r="D35" s="859">
        <v>3</v>
      </c>
      <c r="E35" s="859"/>
      <c r="F35" s="859"/>
      <c r="G35" s="859"/>
      <c r="H35" s="859">
        <v>2</v>
      </c>
      <c r="I35" s="859">
        <v>2</v>
      </c>
      <c r="J35" s="859"/>
      <c r="K35" s="859"/>
      <c r="L35" s="859"/>
      <c r="M35" s="859"/>
      <c r="N35" s="859"/>
    </row>
    <row r="36" spans="1:14" x14ac:dyDescent="0.2">
      <c r="A36" s="831" t="s">
        <v>916</v>
      </c>
      <c r="B36" s="859">
        <f t="shared" ref="B36:M36" si="11">SUM(B33+B34-B35)</f>
        <v>45</v>
      </c>
      <c r="C36" s="859">
        <f t="shared" si="11"/>
        <v>47</v>
      </c>
      <c r="D36" s="859">
        <f t="shared" si="11"/>
        <v>44</v>
      </c>
      <c r="E36" s="859">
        <f t="shared" si="11"/>
        <v>44</v>
      </c>
      <c r="F36" s="859">
        <f t="shared" si="11"/>
        <v>44</v>
      </c>
      <c r="G36" s="859">
        <f t="shared" si="11"/>
        <v>46</v>
      </c>
      <c r="H36" s="859">
        <f t="shared" si="11"/>
        <v>45</v>
      </c>
      <c r="I36" s="859">
        <f t="shared" si="11"/>
        <v>43</v>
      </c>
      <c r="J36" s="859">
        <f t="shared" si="11"/>
        <v>43</v>
      </c>
      <c r="K36" s="859">
        <f t="shared" si="11"/>
        <v>43</v>
      </c>
      <c r="L36" s="859">
        <f t="shared" si="11"/>
        <v>43</v>
      </c>
      <c r="M36" s="859">
        <f t="shared" si="11"/>
        <v>43</v>
      </c>
      <c r="N36" s="859">
        <f>SUM(B36:M36)/12</f>
        <v>44.166666666666664</v>
      </c>
    </row>
    <row r="37" spans="1:14" x14ac:dyDescent="0.2">
      <c r="A37" s="831" t="s">
        <v>920</v>
      </c>
      <c r="B37" s="860">
        <f t="shared" ref="B37:M37" si="12">SUM(B36*100)/B33-100</f>
        <v>-4.2553191489361666</v>
      </c>
      <c r="C37" s="860">
        <f t="shared" si="12"/>
        <v>4.4444444444444429</v>
      </c>
      <c r="D37" s="860">
        <f t="shared" si="12"/>
        <v>-6.3829787234042499</v>
      </c>
      <c r="E37" s="860">
        <f t="shared" si="12"/>
        <v>0</v>
      </c>
      <c r="F37" s="860">
        <f t="shared" si="12"/>
        <v>0</v>
      </c>
      <c r="G37" s="860">
        <f t="shared" si="12"/>
        <v>4.5454545454545467</v>
      </c>
      <c r="H37" s="860">
        <f t="shared" si="12"/>
        <v>-2.1739130434782652</v>
      </c>
      <c r="I37" s="860">
        <f t="shared" si="12"/>
        <v>-4.4444444444444429</v>
      </c>
      <c r="J37" s="860">
        <f t="shared" si="12"/>
        <v>0</v>
      </c>
      <c r="K37" s="860">
        <f t="shared" si="12"/>
        <v>0</v>
      </c>
      <c r="L37" s="860">
        <f t="shared" si="12"/>
        <v>0</v>
      </c>
      <c r="M37" s="860">
        <f t="shared" si="12"/>
        <v>0</v>
      </c>
      <c r="N37" s="859"/>
    </row>
    <row r="38" spans="1:14" x14ac:dyDescent="0.2">
      <c r="A38" s="843" t="s">
        <v>921</v>
      </c>
      <c r="B38" s="861"/>
      <c r="C38" s="861"/>
      <c r="D38" s="862">
        <f>SUM(B37:D37/3)</f>
        <v>-2.1276595744680833</v>
      </c>
      <c r="E38" s="861"/>
      <c r="F38" s="861"/>
      <c r="G38" s="862">
        <f>SUM(E37:G37)/3</f>
        <v>1.5151515151515156</v>
      </c>
      <c r="H38" s="861"/>
      <c r="I38" s="861"/>
      <c r="J38" s="862">
        <f>SUM(H37:J37)/3</f>
        <v>-2.2061191626409027</v>
      </c>
      <c r="K38" s="861"/>
      <c r="L38" s="861"/>
      <c r="M38" s="862">
        <f>SUM(K37:M37)/3</f>
        <v>0</v>
      </c>
      <c r="N38" s="861"/>
    </row>
    <row r="39" spans="1:14" x14ac:dyDescent="0.2">
      <c r="A39" s="843"/>
      <c r="B39" s="844"/>
      <c r="C39" s="844"/>
      <c r="D39" s="844"/>
      <c r="E39" s="844"/>
      <c r="F39" s="844"/>
      <c r="G39" s="844"/>
      <c r="H39" s="844"/>
      <c r="I39" s="844"/>
      <c r="J39" s="844"/>
      <c r="K39" s="844"/>
      <c r="L39" s="844"/>
      <c r="M39" s="844"/>
      <c r="N39" s="828"/>
    </row>
    <row r="40" spans="1:14" ht="15.75" x14ac:dyDescent="0.25">
      <c r="E40" s="863" t="s">
        <v>922</v>
      </c>
      <c r="F40" s="864"/>
      <c r="G40" s="865">
        <v>2010</v>
      </c>
    </row>
    <row r="41" spans="1:14" x14ac:dyDescent="0.2">
      <c r="A41" s="866" t="s">
        <v>923</v>
      </c>
      <c r="B41" s="867" t="s">
        <v>863</v>
      </c>
      <c r="C41" s="867" t="s">
        <v>864</v>
      </c>
      <c r="D41" s="867" t="s">
        <v>865</v>
      </c>
      <c r="E41" s="867" t="s">
        <v>866</v>
      </c>
      <c r="F41" s="867" t="s">
        <v>867</v>
      </c>
      <c r="G41" s="867" t="s">
        <v>868</v>
      </c>
      <c r="H41" s="867" t="s">
        <v>857</v>
      </c>
      <c r="I41" s="867" t="s">
        <v>858</v>
      </c>
      <c r="J41" s="867" t="s">
        <v>859</v>
      </c>
      <c r="K41" s="867" t="s">
        <v>860</v>
      </c>
      <c r="L41" s="867" t="s">
        <v>861</v>
      </c>
      <c r="M41" s="867" t="s">
        <v>862</v>
      </c>
      <c r="N41" s="868" t="s">
        <v>137</v>
      </c>
    </row>
    <row r="42" spans="1:14" x14ac:dyDescent="0.2">
      <c r="A42" s="328" t="s">
        <v>924</v>
      </c>
      <c r="B42" s="1786">
        <v>25</v>
      </c>
      <c r="C42" s="1786">
        <v>45</v>
      </c>
      <c r="D42" s="1786">
        <v>39</v>
      </c>
      <c r="E42" s="1786">
        <v>42</v>
      </c>
      <c r="F42" s="1786">
        <v>42</v>
      </c>
      <c r="G42" s="1786">
        <v>67</v>
      </c>
      <c r="H42" s="1786">
        <v>44</v>
      </c>
      <c r="I42" s="1786">
        <v>38</v>
      </c>
      <c r="J42" s="1786">
        <v>45</v>
      </c>
      <c r="K42" s="1786">
        <v>68</v>
      </c>
      <c r="L42" s="1786">
        <v>58</v>
      </c>
      <c r="M42" s="1786">
        <v>28</v>
      </c>
      <c r="N42" s="344">
        <f>SUM(B42:M42)</f>
        <v>541</v>
      </c>
    </row>
    <row r="43" spans="1:14" x14ac:dyDescent="0.2">
      <c r="A43" s="328" t="s">
        <v>925</v>
      </c>
      <c r="B43" s="1786">
        <v>911</v>
      </c>
      <c r="C43" s="1786">
        <v>923</v>
      </c>
      <c r="D43" s="1786">
        <v>428</v>
      </c>
      <c r="E43" s="1786">
        <v>788</v>
      </c>
      <c r="F43" s="1786">
        <v>711</v>
      </c>
      <c r="G43" s="1786">
        <v>1895</v>
      </c>
      <c r="H43" s="1786">
        <v>1028</v>
      </c>
      <c r="I43" s="1786">
        <v>907</v>
      </c>
      <c r="J43" s="1786">
        <v>1109</v>
      </c>
      <c r="K43" s="1786">
        <v>2496</v>
      </c>
      <c r="L43" s="1786">
        <v>2238</v>
      </c>
      <c r="M43" s="1786">
        <v>1144</v>
      </c>
      <c r="N43" s="344">
        <f>SUM(B43:M43)</f>
        <v>14578</v>
      </c>
    </row>
    <row r="44" spans="1:14" x14ac:dyDescent="0.2">
      <c r="A44" s="328" t="s">
        <v>926</v>
      </c>
      <c r="B44" s="1786">
        <v>37</v>
      </c>
      <c r="C44" s="1786">
        <v>81</v>
      </c>
      <c r="D44" s="1786">
        <v>148</v>
      </c>
      <c r="E44" s="1786">
        <v>546</v>
      </c>
      <c r="F44" s="1786">
        <v>821</v>
      </c>
      <c r="G44" s="1786">
        <v>2832</v>
      </c>
      <c r="H44" s="1786">
        <v>3984</v>
      </c>
      <c r="I44" s="1786">
        <v>1989</v>
      </c>
      <c r="J44" s="1786">
        <v>706</v>
      </c>
      <c r="K44" s="1786">
        <v>580</v>
      </c>
      <c r="L44" s="1786">
        <v>250</v>
      </c>
      <c r="M44" s="1786">
        <v>41</v>
      </c>
      <c r="N44" s="344">
        <f>SUM(B44:M44)</f>
        <v>12015</v>
      </c>
    </row>
    <row r="45" spans="1:14" x14ac:dyDescent="0.2">
      <c r="A45" s="328" t="s">
        <v>927</v>
      </c>
      <c r="B45" s="1786">
        <v>278</v>
      </c>
      <c r="C45" s="1786">
        <v>360</v>
      </c>
      <c r="D45" s="1786">
        <v>211</v>
      </c>
      <c r="E45" s="1786">
        <v>365</v>
      </c>
      <c r="F45" s="1786">
        <v>364</v>
      </c>
      <c r="G45" s="1786">
        <v>793</v>
      </c>
      <c r="H45" s="1786">
        <v>386</v>
      </c>
      <c r="I45" s="1786">
        <v>542</v>
      </c>
      <c r="J45" s="1786">
        <v>525</v>
      </c>
      <c r="K45" s="1786">
        <v>746</v>
      </c>
      <c r="L45" s="1786">
        <v>796</v>
      </c>
      <c r="M45" s="1786">
        <v>420</v>
      </c>
      <c r="N45" s="344">
        <f>SUM(B45:M45)</f>
        <v>5786</v>
      </c>
    </row>
    <row r="46" spans="1:14" x14ac:dyDescent="0.2">
      <c r="A46" s="769" t="s">
        <v>936</v>
      </c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294">
        <f>SUM(B46:M46)</f>
        <v>0</v>
      </c>
    </row>
    <row r="48" spans="1:14" ht="15.75" x14ac:dyDescent="0.25">
      <c r="E48" s="863" t="s">
        <v>929</v>
      </c>
      <c r="F48" s="864"/>
      <c r="G48" s="865">
        <v>2010</v>
      </c>
    </row>
    <row r="49" spans="1:17" x14ac:dyDescent="0.2">
      <c r="A49" s="866" t="s">
        <v>930</v>
      </c>
      <c r="B49" s="867" t="s">
        <v>863</v>
      </c>
      <c r="C49" s="867" t="s">
        <v>864</v>
      </c>
      <c r="D49" s="867" t="s">
        <v>865</v>
      </c>
      <c r="E49" s="867" t="s">
        <v>866</v>
      </c>
      <c r="F49" s="867" t="s">
        <v>867</v>
      </c>
      <c r="G49" s="867" t="s">
        <v>868</v>
      </c>
      <c r="H49" s="867" t="s">
        <v>857</v>
      </c>
      <c r="I49" s="867" t="s">
        <v>858</v>
      </c>
      <c r="J49" s="867" t="s">
        <v>859</v>
      </c>
      <c r="K49" s="867" t="s">
        <v>860</v>
      </c>
      <c r="L49" s="867" t="s">
        <v>861</v>
      </c>
      <c r="M49" s="867" t="s">
        <v>862</v>
      </c>
      <c r="N49" s="868" t="s">
        <v>137</v>
      </c>
    </row>
    <row r="50" spans="1:17" x14ac:dyDescent="0.2">
      <c r="A50" s="363" t="s">
        <v>931</v>
      </c>
      <c r="B50" s="869"/>
      <c r="C50" s="869"/>
      <c r="D50" s="869">
        <v>1</v>
      </c>
      <c r="E50" s="869"/>
      <c r="F50" s="869"/>
      <c r="G50" s="869"/>
      <c r="H50" s="869"/>
      <c r="I50" s="869"/>
      <c r="J50" s="869"/>
      <c r="K50" s="869"/>
      <c r="L50" s="869"/>
      <c r="M50" s="869"/>
      <c r="N50" s="870">
        <f>SUM(B50:M50)</f>
        <v>1</v>
      </c>
    </row>
    <row r="51" spans="1:17" x14ac:dyDescent="0.2">
      <c r="A51" s="328" t="s">
        <v>932</v>
      </c>
      <c r="B51" s="871">
        <v>27</v>
      </c>
      <c r="C51" s="871">
        <v>19</v>
      </c>
      <c r="D51" s="871">
        <v>21</v>
      </c>
      <c r="E51" s="871">
        <v>19</v>
      </c>
      <c r="F51" s="871">
        <v>25</v>
      </c>
      <c r="G51" s="871">
        <v>18</v>
      </c>
      <c r="H51" s="871">
        <v>11</v>
      </c>
      <c r="I51" s="871">
        <v>23</v>
      </c>
      <c r="J51" s="871">
        <v>7</v>
      </c>
      <c r="K51" s="871">
        <v>18</v>
      </c>
      <c r="L51" s="871">
        <v>23</v>
      </c>
      <c r="M51" s="871">
        <v>63</v>
      </c>
      <c r="N51" s="870">
        <f>SUM(B51:M51)</f>
        <v>274</v>
      </c>
    </row>
    <row r="52" spans="1:17" x14ac:dyDescent="0.2">
      <c r="A52" s="328" t="s">
        <v>933</v>
      </c>
      <c r="B52" s="871">
        <v>25</v>
      </c>
      <c r="C52" s="871">
        <v>29</v>
      </c>
      <c r="D52" s="871">
        <v>22</v>
      </c>
      <c r="E52" s="871">
        <v>33</v>
      </c>
      <c r="F52" s="871">
        <v>57</v>
      </c>
      <c r="G52" s="871">
        <v>39</v>
      </c>
      <c r="H52" s="871">
        <v>40</v>
      </c>
      <c r="I52" s="871">
        <v>53</v>
      </c>
      <c r="J52" s="871">
        <v>53</v>
      </c>
      <c r="K52" s="871">
        <v>51</v>
      </c>
      <c r="L52" s="871">
        <v>51</v>
      </c>
      <c r="M52" s="871">
        <v>59</v>
      </c>
      <c r="N52" s="870">
        <f>SUM(B52:M52)</f>
        <v>512</v>
      </c>
    </row>
    <row r="53" spans="1:17" x14ac:dyDescent="0.2">
      <c r="A53" s="328" t="s">
        <v>934</v>
      </c>
      <c r="B53" s="872"/>
      <c r="C53" s="872">
        <v>2</v>
      </c>
      <c r="D53" s="872">
        <v>3</v>
      </c>
      <c r="E53" s="872">
        <v>5</v>
      </c>
      <c r="F53" s="872">
        <v>3</v>
      </c>
      <c r="G53" s="872">
        <v>4</v>
      </c>
      <c r="H53" s="872">
        <v>10</v>
      </c>
      <c r="I53" s="872">
        <v>2</v>
      </c>
      <c r="J53" s="872">
        <v>2</v>
      </c>
      <c r="K53" s="872">
        <v>3</v>
      </c>
      <c r="L53" s="872">
        <v>4</v>
      </c>
      <c r="M53" s="872">
        <v>5</v>
      </c>
      <c r="N53" s="870">
        <f>SUM(B53:M53)</f>
        <v>43</v>
      </c>
    </row>
    <row r="54" spans="1:17" x14ac:dyDescent="0.2">
      <c r="A54" s="769" t="s">
        <v>936</v>
      </c>
      <c r="B54" s="873">
        <v>54</v>
      </c>
      <c r="C54" s="873">
        <v>48</v>
      </c>
      <c r="D54" s="873">
        <v>23</v>
      </c>
      <c r="E54" s="873">
        <v>29</v>
      </c>
      <c r="F54" s="873">
        <v>53</v>
      </c>
      <c r="G54" s="873">
        <v>60</v>
      </c>
      <c r="H54" s="873">
        <v>31</v>
      </c>
      <c r="I54" s="873">
        <v>50</v>
      </c>
      <c r="J54" s="873">
        <v>44</v>
      </c>
      <c r="K54" s="873">
        <v>54</v>
      </c>
      <c r="L54" s="873">
        <v>65</v>
      </c>
      <c r="M54" s="873">
        <v>75</v>
      </c>
      <c r="N54" s="874">
        <f>SUM(B54:M54)</f>
        <v>586</v>
      </c>
    </row>
    <row r="55" spans="1:17" x14ac:dyDescent="0.2">
      <c r="A55" s="678"/>
      <c r="B55" s="678"/>
      <c r="C55" s="678"/>
      <c r="D55" s="678"/>
      <c r="E55" s="678"/>
      <c r="F55" s="678"/>
      <c r="G55" s="678"/>
      <c r="H55" s="678"/>
      <c r="I55" s="678"/>
      <c r="J55" s="678"/>
      <c r="K55" s="678"/>
      <c r="L55" s="678"/>
      <c r="M55" s="678"/>
      <c r="N55" s="678"/>
    </row>
    <row r="56" spans="1:17" ht="18" x14ac:dyDescent="0.25">
      <c r="A56" s="1799" t="s">
        <v>1134</v>
      </c>
      <c r="B56" s="1799"/>
      <c r="C56" s="1799"/>
      <c r="D56" s="1799"/>
      <c r="E56" s="1799"/>
      <c r="F56" s="1799"/>
      <c r="G56" s="1799"/>
      <c r="H56" s="1799"/>
      <c r="I56" s="1799"/>
      <c r="J56" s="1799"/>
      <c r="K56" s="1799"/>
      <c r="L56" s="1799"/>
      <c r="M56" s="1799"/>
      <c r="N56" s="1799"/>
    </row>
    <row r="57" spans="1:17" ht="15.75" x14ac:dyDescent="0.25">
      <c r="E57" s="654"/>
      <c r="M57" s="844"/>
      <c r="N57" s="828"/>
    </row>
    <row r="58" spans="1:17" x14ac:dyDescent="0.2">
      <c r="A58" s="494" t="s">
        <v>938</v>
      </c>
      <c r="B58" s="156"/>
      <c r="C58" s="875"/>
      <c r="D58" s="152" t="s">
        <v>939</v>
      </c>
      <c r="I58" s="154"/>
      <c r="J58" s="624" t="s">
        <v>940</v>
      </c>
      <c r="K58" s="156"/>
      <c r="L58" s="156"/>
      <c r="M58" s="156"/>
      <c r="N58" s="876"/>
      <c r="P58" s="844"/>
      <c r="Q58" s="828"/>
    </row>
    <row r="59" spans="1:17" x14ac:dyDescent="0.2">
      <c r="A59" s="154">
        <v>722</v>
      </c>
      <c r="B59" s="154" t="s">
        <v>941</v>
      </c>
      <c r="C59" s="488"/>
      <c r="D59" s="877">
        <v>9867745</v>
      </c>
      <c r="E59" s="784"/>
      <c r="F59" s="784"/>
      <c r="G59" s="784"/>
      <c r="H59" s="784"/>
      <c r="I59" s="152" t="s">
        <v>942</v>
      </c>
      <c r="J59" s="1786" t="s">
        <v>943</v>
      </c>
      <c r="K59" s="1786" t="s">
        <v>944</v>
      </c>
      <c r="L59" s="128" t="s">
        <v>945</v>
      </c>
      <c r="M59" s="878"/>
      <c r="N59" s="1786" t="s">
        <v>946</v>
      </c>
      <c r="P59" s="844"/>
      <c r="Q59" s="828"/>
    </row>
    <row r="60" spans="1:17" x14ac:dyDescent="0.2">
      <c r="A60" s="154"/>
      <c r="B60" s="154"/>
      <c r="C60" s="488"/>
      <c r="D60" s="877"/>
      <c r="E60" s="784"/>
      <c r="F60" s="784"/>
      <c r="G60" s="784"/>
      <c r="H60" s="784"/>
      <c r="I60" s="1800" t="s">
        <v>947</v>
      </c>
      <c r="J60" s="1800"/>
      <c r="K60" s="1800"/>
      <c r="L60" s="1800"/>
      <c r="M60" s="1800"/>
      <c r="N60" s="879">
        <f>F89</f>
        <v>3474196</v>
      </c>
      <c r="O60" s="784"/>
      <c r="P60" s="844"/>
      <c r="Q60" s="828"/>
    </row>
    <row r="61" spans="1:17" x14ac:dyDescent="0.2">
      <c r="A61" s="358" t="s">
        <v>154</v>
      </c>
      <c r="B61" s="65"/>
      <c r="C61" s="880"/>
      <c r="D61" s="881">
        <f>SUM(D59:D60)</f>
        <v>9867745</v>
      </c>
      <c r="E61" s="882"/>
      <c r="F61" s="882"/>
      <c r="G61" s="882"/>
      <c r="H61" s="784"/>
      <c r="I61" s="1786"/>
      <c r="J61" s="154"/>
      <c r="K61" s="883"/>
      <c r="L61" s="154"/>
      <c r="M61" s="488"/>
      <c r="N61" s="884"/>
      <c r="O61" s="885"/>
      <c r="P61" s="844"/>
      <c r="Q61" s="828"/>
    </row>
    <row r="62" spans="1:17" x14ac:dyDescent="0.2">
      <c r="A62" t="s">
        <v>153</v>
      </c>
      <c r="B62" s="1"/>
      <c r="C62" s="1"/>
      <c r="D62" s="882">
        <f>D61/12</f>
        <v>822312.08333333337</v>
      </c>
      <c r="E62" s="886"/>
      <c r="F62" s="886"/>
      <c r="G62" s="886"/>
      <c r="H62" s="784"/>
      <c r="I62" s="1786">
        <v>62011</v>
      </c>
      <c r="J62" s="154">
        <v>747</v>
      </c>
      <c r="K62" s="883">
        <v>38047</v>
      </c>
      <c r="L62" s="154" t="s">
        <v>1135</v>
      </c>
      <c r="M62" s="488"/>
      <c r="N62" s="887">
        <v>60690</v>
      </c>
      <c r="O62" s="888"/>
      <c r="P62" s="844"/>
      <c r="Q62" s="828"/>
    </row>
    <row r="63" spans="1:17" x14ac:dyDescent="0.2">
      <c r="B63" s="1"/>
      <c r="C63" s="1"/>
      <c r="H63" s="784"/>
      <c r="I63" s="1786">
        <v>62011</v>
      </c>
      <c r="J63" s="889" t="s">
        <v>950</v>
      </c>
      <c r="K63" s="883">
        <v>38048</v>
      </c>
      <c r="L63" s="154" t="s">
        <v>951</v>
      </c>
      <c r="M63" s="488"/>
      <c r="N63" s="887">
        <v>19215</v>
      </c>
      <c r="O63" s="888"/>
      <c r="P63" s="844"/>
      <c r="Q63" s="828"/>
    </row>
    <row r="64" spans="1:17" x14ac:dyDescent="0.2">
      <c r="B64" s="1"/>
      <c r="C64" s="1"/>
      <c r="H64" s="784"/>
      <c r="I64" s="1786" t="s">
        <v>952</v>
      </c>
      <c r="J64" s="889" t="s">
        <v>953</v>
      </c>
      <c r="K64" s="883">
        <v>38047</v>
      </c>
      <c r="L64" s="154" t="s">
        <v>954</v>
      </c>
      <c r="M64" s="488"/>
      <c r="N64" s="887">
        <v>19215</v>
      </c>
      <c r="O64" s="888"/>
      <c r="P64" s="844"/>
      <c r="Q64" s="828"/>
    </row>
    <row r="65" spans="1:17" x14ac:dyDescent="0.2">
      <c r="A65" s="154"/>
      <c r="B65" s="624" t="s">
        <v>940</v>
      </c>
      <c r="C65" s="156"/>
      <c r="D65" s="156"/>
      <c r="E65" s="156"/>
      <c r="F65" s="876"/>
      <c r="G65" s="1"/>
      <c r="H65" s="784" t="s">
        <v>955</v>
      </c>
      <c r="I65" s="890"/>
      <c r="J65" s="891"/>
      <c r="K65" s="892"/>
      <c r="L65" s="891"/>
      <c r="M65" s="893"/>
      <c r="N65" s="894"/>
      <c r="O65" s="784"/>
      <c r="P65" s="844"/>
      <c r="Q65" s="828"/>
    </row>
    <row r="66" spans="1:17" x14ac:dyDescent="0.2">
      <c r="A66" s="152" t="s">
        <v>942</v>
      </c>
      <c r="B66" s="1786" t="s">
        <v>943</v>
      </c>
      <c r="C66" s="1786" t="s">
        <v>944</v>
      </c>
      <c r="D66" s="128" t="s">
        <v>945</v>
      </c>
      <c r="E66" s="878"/>
      <c r="F66" s="1786" t="s">
        <v>946</v>
      </c>
      <c r="G66" s="72"/>
      <c r="H66" s="895" t="s">
        <v>956</v>
      </c>
      <c r="I66" s="767">
        <v>31400</v>
      </c>
      <c r="J66" s="896">
        <v>758</v>
      </c>
      <c r="K66" s="897">
        <v>37500</v>
      </c>
      <c r="L66" s="896" t="s">
        <v>957</v>
      </c>
      <c r="M66" s="898"/>
      <c r="N66" s="899">
        <v>38640</v>
      </c>
      <c r="O66" s="900"/>
      <c r="P66" s="844"/>
      <c r="Q66" s="828"/>
    </row>
    <row r="67" spans="1:17" x14ac:dyDescent="0.2">
      <c r="A67" s="901" t="s">
        <v>961</v>
      </c>
      <c r="B67" s="154">
        <v>112</v>
      </c>
      <c r="C67" s="883">
        <v>37956</v>
      </c>
      <c r="D67" s="154" t="s">
        <v>962</v>
      </c>
      <c r="E67" s="488"/>
      <c r="F67" s="887">
        <v>114030</v>
      </c>
      <c r="G67" s="888"/>
      <c r="H67" s="895" t="s">
        <v>959</v>
      </c>
      <c r="I67" s="767">
        <v>51302</v>
      </c>
      <c r="J67" s="896">
        <v>759</v>
      </c>
      <c r="K67" s="897">
        <v>37501</v>
      </c>
      <c r="L67" s="896" t="s">
        <v>960</v>
      </c>
      <c r="M67" s="898"/>
      <c r="N67" s="899">
        <v>16170</v>
      </c>
      <c r="O67" s="888"/>
      <c r="P67" s="844"/>
      <c r="Q67" s="828"/>
    </row>
    <row r="68" spans="1:17" x14ac:dyDescent="0.2">
      <c r="A68" s="901" t="s">
        <v>965</v>
      </c>
      <c r="B68" s="902">
        <v>113</v>
      </c>
      <c r="C68" s="903">
        <v>38012</v>
      </c>
      <c r="D68" s="902" t="s">
        <v>966</v>
      </c>
      <c r="E68" s="904"/>
      <c r="F68" s="905">
        <v>143325</v>
      </c>
      <c r="G68" s="784"/>
      <c r="H68" s="895" t="s">
        <v>963</v>
      </c>
      <c r="I68" s="767">
        <v>53204</v>
      </c>
      <c r="J68" s="896">
        <v>760</v>
      </c>
      <c r="K68" s="897">
        <v>37502</v>
      </c>
      <c r="L68" s="896" t="s">
        <v>964</v>
      </c>
      <c r="M68" s="898"/>
      <c r="N68" s="899">
        <v>34335</v>
      </c>
      <c r="O68" s="888"/>
      <c r="P68" s="844"/>
      <c r="Q68" s="828"/>
    </row>
    <row r="69" spans="1:17" x14ac:dyDescent="0.2">
      <c r="A69" s="1786">
        <v>23140</v>
      </c>
      <c r="B69" s="902">
        <v>116</v>
      </c>
      <c r="C69" s="903">
        <v>38412</v>
      </c>
      <c r="D69" s="902" t="s">
        <v>970</v>
      </c>
      <c r="E69" s="904"/>
      <c r="F69" s="905">
        <v>59220</v>
      </c>
      <c r="G69" s="784"/>
      <c r="I69" s="1786">
        <v>62014</v>
      </c>
      <c r="J69" s="154">
        <v>803</v>
      </c>
      <c r="K69" s="883">
        <v>39448</v>
      </c>
      <c r="L69" s="154" t="s">
        <v>967</v>
      </c>
      <c r="M69" s="488"/>
      <c r="N69" s="905">
        <v>48195</v>
      </c>
      <c r="O69" s="784"/>
      <c r="P69" s="844"/>
      <c r="Q69" s="828"/>
    </row>
    <row r="70" spans="1:17" x14ac:dyDescent="0.2">
      <c r="A70" s="1786" t="s">
        <v>952</v>
      </c>
      <c r="B70" s="154">
        <v>119</v>
      </c>
      <c r="C70" s="883">
        <v>38808</v>
      </c>
      <c r="D70" s="154" t="s">
        <v>972</v>
      </c>
      <c r="E70" s="488"/>
      <c r="F70" s="887">
        <v>1599570</v>
      </c>
      <c r="G70" s="784"/>
      <c r="H70" s="784"/>
      <c r="I70" s="1786">
        <v>62014</v>
      </c>
      <c r="J70" s="154">
        <v>811</v>
      </c>
      <c r="K70" s="883">
        <v>39448</v>
      </c>
      <c r="L70" s="154" t="s">
        <v>969</v>
      </c>
      <c r="M70" s="488"/>
      <c r="N70" s="905">
        <v>141015</v>
      </c>
      <c r="O70" s="784"/>
      <c r="P70" s="844"/>
      <c r="Q70" s="828"/>
    </row>
    <row r="71" spans="1:17" x14ac:dyDescent="0.2">
      <c r="A71" s="1786">
        <v>62005</v>
      </c>
      <c r="B71" s="154">
        <v>121</v>
      </c>
      <c r="C71" s="883">
        <v>39264</v>
      </c>
      <c r="D71" s="154" t="s">
        <v>974</v>
      </c>
      <c r="E71" s="488"/>
      <c r="F71" s="887">
        <v>96390</v>
      </c>
      <c r="G71" s="784"/>
      <c r="H71" s="784"/>
      <c r="I71" s="1786">
        <v>49500</v>
      </c>
      <c r="J71" s="902">
        <v>900</v>
      </c>
      <c r="K71" s="903">
        <v>38353</v>
      </c>
      <c r="L71" s="902" t="s">
        <v>971</v>
      </c>
      <c r="M71" s="904"/>
      <c r="N71" s="905">
        <v>3990</v>
      </c>
      <c r="O71" s="784"/>
      <c r="P71" s="844"/>
      <c r="Q71" s="828"/>
    </row>
    <row r="72" spans="1:17" x14ac:dyDescent="0.2">
      <c r="A72" s="1786">
        <v>38350</v>
      </c>
      <c r="B72" s="154">
        <v>122</v>
      </c>
      <c r="C72" s="883">
        <v>39264</v>
      </c>
      <c r="D72" s="154" t="s">
        <v>977</v>
      </c>
      <c r="E72" s="488"/>
      <c r="F72" s="887">
        <v>18165</v>
      </c>
      <c r="G72" s="784"/>
      <c r="H72" s="784"/>
      <c r="O72" s="784"/>
      <c r="P72" s="844"/>
      <c r="Q72" s="828"/>
    </row>
    <row r="73" spans="1:17" x14ac:dyDescent="0.2">
      <c r="A73" s="1786">
        <v>91100</v>
      </c>
      <c r="B73" s="906">
        <v>124</v>
      </c>
      <c r="C73" s="903">
        <v>39814</v>
      </c>
      <c r="D73" s="154" t="s">
        <v>1136</v>
      </c>
      <c r="E73" s="907"/>
      <c r="F73" s="905">
        <v>37710</v>
      </c>
      <c r="G73" s="784"/>
      <c r="H73" s="784"/>
      <c r="O73" s="784"/>
      <c r="P73" s="844"/>
      <c r="Q73" s="828"/>
    </row>
    <row r="74" spans="1:17" x14ac:dyDescent="0.2">
      <c r="A74" s="1786">
        <v>49500</v>
      </c>
      <c r="B74" s="906">
        <v>125</v>
      </c>
      <c r="C74" s="908">
        <v>40179</v>
      </c>
      <c r="D74" s="909" t="s">
        <v>1137</v>
      </c>
      <c r="E74" s="907"/>
      <c r="F74" s="910">
        <v>101146</v>
      </c>
      <c r="G74" s="784"/>
      <c r="H74" s="784"/>
      <c r="I74" s="1786" t="s">
        <v>1138</v>
      </c>
      <c r="J74" s="911">
        <v>134</v>
      </c>
      <c r="K74" s="908">
        <v>40263</v>
      </c>
      <c r="L74" s="891" t="s">
        <v>1139</v>
      </c>
      <c r="M74" s="912"/>
      <c r="N74" s="905">
        <v>32500</v>
      </c>
      <c r="O74" s="784"/>
      <c r="P74" s="844"/>
      <c r="Q74" s="828"/>
    </row>
    <row r="75" spans="1:17" x14ac:dyDescent="0.2">
      <c r="A75" s="1786">
        <v>49500</v>
      </c>
      <c r="B75" s="906">
        <v>126</v>
      </c>
      <c r="C75" s="908">
        <v>40179</v>
      </c>
      <c r="D75" s="909" t="s">
        <v>1140</v>
      </c>
      <c r="E75" s="907"/>
      <c r="F75" s="910">
        <v>101146</v>
      </c>
      <c r="G75" s="784"/>
      <c r="H75" s="913"/>
      <c r="I75" s="914">
        <v>19020</v>
      </c>
      <c r="J75" s="915">
        <v>131</v>
      </c>
      <c r="K75" s="908">
        <v>40238</v>
      </c>
      <c r="L75" s="916" t="s">
        <v>986</v>
      </c>
      <c r="N75" s="917">
        <v>202291</v>
      </c>
      <c r="O75" s="784"/>
      <c r="P75" s="844"/>
      <c r="Q75" s="828"/>
    </row>
    <row r="76" spans="1:17" x14ac:dyDescent="0.2">
      <c r="A76" s="1786">
        <v>60111</v>
      </c>
      <c r="B76" s="906">
        <v>128</v>
      </c>
      <c r="C76" s="903">
        <v>39815</v>
      </c>
      <c r="D76" s="154" t="s">
        <v>980</v>
      </c>
      <c r="E76" s="918"/>
      <c r="F76" s="877">
        <v>172149</v>
      </c>
      <c r="G76" s="784"/>
      <c r="H76" s="784"/>
      <c r="I76" s="1786"/>
      <c r="J76" s="902"/>
      <c r="K76" s="903"/>
      <c r="L76" s="902"/>
      <c r="M76" s="904"/>
      <c r="N76" s="905"/>
      <c r="O76" s="784"/>
      <c r="P76" s="844"/>
      <c r="Q76" s="828"/>
    </row>
    <row r="77" spans="1:17" x14ac:dyDescent="0.2">
      <c r="A77" s="1786">
        <v>37105</v>
      </c>
      <c r="B77" s="906">
        <v>129</v>
      </c>
      <c r="C77" s="903">
        <v>39904</v>
      </c>
      <c r="D77" s="154" t="s">
        <v>982</v>
      </c>
      <c r="E77" s="918"/>
      <c r="F77" s="877">
        <v>18523</v>
      </c>
      <c r="G77" s="784"/>
      <c r="H77" s="784"/>
      <c r="I77" s="1786"/>
      <c r="J77" s="902"/>
      <c r="K77" s="903"/>
      <c r="L77" s="902"/>
      <c r="M77" s="904"/>
      <c r="N77" s="905"/>
      <c r="O77" s="784"/>
      <c r="P77" s="844"/>
      <c r="Q77" s="828"/>
    </row>
    <row r="78" spans="1:17" x14ac:dyDescent="0.2">
      <c r="A78" s="1786">
        <v>69725</v>
      </c>
      <c r="B78" s="906">
        <v>130</v>
      </c>
      <c r="C78" s="903">
        <v>39918</v>
      </c>
      <c r="D78" s="154" t="s">
        <v>984</v>
      </c>
      <c r="E78" s="918"/>
      <c r="F78" s="877">
        <v>28691</v>
      </c>
      <c r="G78" s="784"/>
      <c r="H78" s="784"/>
      <c r="I78" s="1786"/>
      <c r="J78" s="902"/>
      <c r="K78" s="903"/>
      <c r="L78" s="902"/>
      <c r="M78" s="904"/>
      <c r="N78" s="905"/>
      <c r="O78" s="784"/>
      <c r="P78" s="844"/>
      <c r="Q78" s="828"/>
    </row>
    <row r="79" spans="1:17" x14ac:dyDescent="0.2">
      <c r="A79" s="1786">
        <v>54100</v>
      </c>
      <c r="B79" s="906">
        <v>133</v>
      </c>
      <c r="C79" s="903">
        <v>40040</v>
      </c>
      <c r="D79" s="154" t="s">
        <v>987</v>
      </c>
      <c r="E79" s="918"/>
      <c r="F79" s="917"/>
      <c r="G79" s="784" t="s">
        <v>1114</v>
      </c>
      <c r="H79" s="784"/>
      <c r="I79" s="1786"/>
      <c r="J79" s="902"/>
      <c r="K79" s="903"/>
      <c r="L79" s="902"/>
      <c r="M79" s="904"/>
      <c r="N79" s="905"/>
      <c r="O79" s="784"/>
      <c r="P79" s="844"/>
      <c r="Q79" s="828"/>
    </row>
    <row r="80" spans="1:17" x14ac:dyDescent="0.2">
      <c r="A80" s="1786">
        <v>50005</v>
      </c>
      <c r="B80" s="154">
        <v>132</v>
      </c>
      <c r="C80" s="883">
        <v>40057</v>
      </c>
      <c r="D80" s="154" t="s">
        <v>989</v>
      </c>
      <c r="E80" s="877"/>
      <c r="F80" s="887">
        <v>175350</v>
      </c>
      <c r="G80" s="784"/>
      <c r="H80" s="784"/>
      <c r="I80" s="1786">
        <v>20100</v>
      </c>
      <c r="J80" s="891" t="s">
        <v>941</v>
      </c>
      <c r="K80" s="883">
        <v>40179</v>
      </c>
      <c r="L80" s="154" t="s">
        <v>990</v>
      </c>
      <c r="M80" s="488"/>
      <c r="N80" s="905">
        <v>536360</v>
      </c>
      <c r="O80" s="784"/>
      <c r="P80" s="844"/>
      <c r="Q80" s="828"/>
    </row>
    <row r="81" spans="1:17" x14ac:dyDescent="0.2">
      <c r="A81" s="1786"/>
      <c r="B81" s="906" t="s">
        <v>978</v>
      </c>
      <c r="C81" s="903">
        <v>39448</v>
      </c>
      <c r="D81" s="154" t="s">
        <v>1113</v>
      </c>
      <c r="E81" s="492"/>
      <c r="F81" s="905">
        <v>28665</v>
      </c>
      <c r="G81" s="784"/>
      <c r="H81" s="784"/>
      <c r="I81" s="1786">
        <v>80005</v>
      </c>
      <c r="J81" s="891" t="s">
        <v>941</v>
      </c>
      <c r="K81" s="883">
        <v>40179</v>
      </c>
      <c r="L81" s="154" t="s">
        <v>993</v>
      </c>
      <c r="M81" s="488"/>
      <c r="N81" s="905">
        <v>496511</v>
      </c>
      <c r="O81" s="784"/>
      <c r="P81" s="844"/>
      <c r="Q81" s="828"/>
    </row>
    <row r="82" spans="1:17" x14ac:dyDescent="0.2">
      <c r="A82" s="1786">
        <v>11040</v>
      </c>
      <c r="B82" s="906" t="s">
        <v>1141</v>
      </c>
      <c r="C82" s="903">
        <v>39448</v>
      </c>
      <c r="D82" s="154" t="s">
        <v>1142</v>
      </c>
      <c r="E82" s="492"/>
      <c r="F82" s="905">
        <v>28665</v>
      </c>
      <c r="G82" s="784"/>
      <c r="H82" s="784"/>
      <c r="I82" s="1786">
        <v>39630</v>
      </c>
      <c r="J82" s="891" t="s">
        <v>941</v>
      </c>
      <c r="K82" s="883">
        <v>40179</v>
      </c>
      <c r="L82" s="154" t="s">
        <v>996</v>
      </c>
      <c r="M82" s="488"/>
      <c r="N82" s="905">
        <v>567857</v>
      </c>
      <c r="O82" s="784"/>
      <c r="P82" s="844"/>
      <c r="Q82" s="828"/>
    </row>
    <row r="83" spans="1:17" x14ac:dyDescent="0.2">
      <c r="A83" s="1786">
        <v>28100</v>
      </c>
      <c r="B83" s="902">
        <v>728</v>
      </c>
      <c r="C83" s="903">
        <v>38846</v>
      </c>
      <c r="D83" s="154" t="s">
        <v>981</v>
      </c>
      <c r="E83" s="904"/>
      <c r="F83" s="904">
        <v>72450</v>
      </c>
      <c r="G83" s="784"/>
      <c r="H83" s="784"/>
      <c r="I83" s="1786">
        <v>49500</v>
      </c>
      <c r="J83" s="891" t="s">
        <v>941</v>
      </c>
      <c r="K83" s="883">
        <v>40179</v>
      </c>
      <c r="L83" s="154" t="s">
        <v>999</v>
      </c>
      <c r="M83" s="488"/>
      <c r="N83" s="905">
        <v>532376</v>
      </c>
      <c r="O83" s="784"/>
      <c r="P83" s="844"/>
      <c r="Q83" s="828"/>
    </row>
    <row r="84" spans="1:17" ht="15.75" x14ac:dyDescent="0.25">
      <c r="A84" s="1786">
        <v>11023</v>
      </c>
      <c r="B84" s="902">
        <v>732</v>
      </c>
      <c r="C84" s="908" t="s">
        <v>1143</v>
      </c>
      <c r="D84" s="891" t="s">
        <v>1144</v>
      </c>
      <c r="E84" s="488"/>
      <c r="F84" s="894">
        <v>28455</v>
      </c>
      <c r="G84" s="919"/>
      <c r="H84" s="784"/>
      <c r="I84" s="1786">
        <v>60111</v>
      </c>
      <c r="J84" s="891" t="s">
        <v>941</v>
      </c>
      <c r="K84" s="883">
        <v>40179</v>
      </c>
      <c r="L84" s="154" t="s">
        <v>1002</v>
      </c>
      <c r="M84" s="488"/>
      <c r="N84" s="905">
        <v>703724</v>
      </c>
      <c r="O84" s="784"/>
      <c r="P84" s="844"/>
      <c r="Q84" s="828"/>
    </row>
    <row r="85" spans="1:17" ht="15.75" x14ac:dyDescent="0.25">
      <c r="A85" s="1786">
        <v>62001</v>
      </c>
      <c r="B85" s="902">
        <v>737</v>
      </c>
      <c r="C85" s="903">
        <v>38292</v>
      </c>
      <c r="D85" s="902" t="s">
        <v>1145</v>
      </c>
      <c r="E85" s="904"/>
      <c r="F85" s="905">
        <v>100905</v>
      </c>
      <c r="G85" s="919"/>
      <c r="H85" s="584"/>
      <c r="I85" s="1786">
        <v>11023</v>
      </c>
      <c r="J85" s="891" t="s">
        <v>941</v>
      </c>
      <c r="K85" s="883">
        <v>40179</v>
      </c>
      <c r="L85" s="902" t="s">
        <v>1005</v>
      </c>
      <c r="M85" s="904"/>
      <c r="N85" s="905">
        <v>4258207</v>
      </c>
      <c r="O85" s="784"/>
      <c r="P85" s="844"/>
      <c r="Q85" s="828"/>
    </row>
    <row r="86" spans="1:17" ht="15.75" x14ac:dyDescent="0.25">
      <c r="A86" s="1786">
        <v>82500</v>
      </c>
      <c r="B86" s="154">
        <v>740</v>
      </c>
      <c r="C86" s="883">
        <v>37834</v>
      </c>
      <c r="D86" s="154" t="s">
        <v>1146</v>
      </c>
      <c r="E86" s="488"/>
      <c r="F86" s="887">
        <v>91350</v>
      </c>
      <c r="G86" s="919"/>
      <c r="H86" s="784"/>
      <c r="I86" s="1786">
        <v>11023</v>
      </c>
      <c r="J86" s="891" t="s">
        <v>941</v>
      </c>
      <c r="K86" s="883">
        <v>40179</v>
      </c>
      <c r="L86" s="154" t="s">
        <v>1008</v>
      </c>
      <c r="M86" s="488"/>
      <c r="N86" s="905">
        <v>1122930</v>
      </c>
      <c r="O86" s="784"/>
      <c r="P86" s="844"/>
      <c r="Q86" s="828"/>
    </row>
    <row r="87" spans="1:17" x14ac:dyDescent="0.2">
      <c r="A87" s="1786">
        <v>62006</v>
      </c>
      <c r="B87" s="889" t="s">
        <v>975</v>
      </c>
      <c r="C87" s="883">
        <v>39173</v>
      </c>
      <c r="D87" s="154" t="s">
        <v>1147</v>
      </c>
      <c r="E87" s="488"/>
      <c r="F87" s="887">
        <v>40110</v>
      </c>
      <c r="G87" s="784"/>
      <c r="H87" s="584"/>
      <c r="I87" s="1786" t="s">
        <v>1011</v>
      </c>
      <c r="J87" s="891" t="s">
        <v>941</v>
      </c>
      <c r="K87" s="883">
        <v>40179</v>
      </c>
      <c r="L87" s="902" t="s">
        <v>952</v>
      </c>
      <c r="M87" s="904"/>
      <c r="N87" s="905">
        <v>1649780</v>
      </c>
      <c r="O87" s="784"/>
      <c r="P87" s="844"/>
      <c r="Q87" s="828"/>
    </row>
    <row r="88" spans="1:17" x14ac:dyDescent="0.2">
      <c r="A88" s="890"/>
      <c r="B88" s="889">
        <v>745</v>
      </c>
      <c r="C88" s="892">
        <v>40238</v>
      </c>
      <c r="D88" s="891" t="s">
        <v>1148</v>
      </c>
      <c r="E88" s="918"/>
      <c r="F88" s="920">
        <v>418181</v>
      </c>
      <c r="G88" s="784"/>
      <c r="H88" s="584"/>
      <c r="J88" s="358" t="s">
        <v>154</v>
      </c>
      <c r="K88" s="880"/>
      <c r="L88" s="65"/>
      <c r="M88" s="880"/>
      <c r="N88" s="881">
        <f>SUM(N60:N87)</f>
        <v>13958197</v>
      </c>
      <c r="O88" s="888"/>
      <c r="P88" s="844"/>
      <c r="Q88" s="828"/>
    </row>
    <row r="89" spans="1:17" x14ac:dyDescent="0.2">
      <c r="B89" s="358" t="s">
        <v>1013</v>
      </c>
      <c r="C89" s="880"/>
      <c r="D89" s="65"/>
      <c r="E89" s="880"/>
      <c r="F89" s="921">
        <f>SUM(F66:F88)</f>
        <v>3474196</v>
      </c>
      <c r="G89" s="784"/>
      <c r="H89" s="584"/>
      <c r="J89" s="14" t="s">
        <v>153</v>
      </c>
      <c r="K89" s="14"/>
      <c r="L89" s="14"/>
      <c r="M89" s="922"/>
      <c r="N89" s="923">
        <f>N88/12</f>
        <v>1163183.0833333333</v>
      </c>
      <c r="O89" s="888"/>
      <c r="P89" s="844"/>
      <c r="Q89" s="828"/>
    </row>
    <row r="90" spans="1:17" x14ac:dyDescent="0.2">
      <c r="C90" s="784"/>
      <c r="D90" s="784"/>
      <c r="E90" s="784"/>
      <c r="F90" s="784"/>
      <c r="G90" s="784"/>
      <c r="H90" s="784"/>
      <c r="L90" s="882"/>
      <c r="M90" s="924"/>
      <c r="N90" s="924"/>
      <c r="O90" s="888"/>
      <c r="P90" s="844"/>
      <c r="Q90" s="828"/>
    </row>
    <row r="91" spans="1:17" x14ac:dyDescent="0.2">
      <c r="C91" s="784"/>
      <c r="D91" s="784"/>
      <c r="E91" s="784"/>
      <c r="F91" s="784"/>
      <c r="G91" s="784"/>
      <c r="H91" s="784"/>
      <c r="L91" s="882"/>
      <c r="M91" s="924"/>
      <c r="N91" s="924"/>
      <c r="O91" s="784"/>
      <c r="P91" s="844"/>
      <c r="Q91" s="828"/>
    </row>
    <row r="92" spans="1:17" x14ac:dyDescent="0.2">
      <c r="C92" s="784"/>
      <c r="D92" s="784"/>
      <c r="E92" s="784"/>
      <c r="F92" s="784"/>
      <c r="G92" s="784"/>
      <c r="H92" s="784"/>
      <c r="L92" s="882"/>
      <c r="M92" s="924"/>
      <c r="N92" s="924"/>
      <c r="O92" s="925"/>
      <c r="P92" s="844"/>
      <c r="Q92" s="828"/>
    </row>
    <row r="93" spans="1:17" x14ac:dyDescent="0.2">
      <c r="C93" s="784"/>
      <c r="D93" s="784"/>
      <c r="E93" s="784"/>
      <c r="F93" s="784"/>
      <c r="G93" s="784"/>
      <c r="L93" s="882"/>
      <c r="M93" s="924"/>
      <c r="N93" s="924"/>
      <c r="O93" s="925"/>
      <c r="P93" s="844"/>
      <c r="Q93" s="828"/>
    </row>
    <row r="94" spans="1:17" x14ac:dyDescent="0.2">
      <c r="C94" s="784"/>
      <c r="D94" s="784"/>
      <c r="E94" s="784"/>
      <c r="F94" s="784"/>
      <c r="G94" s="784"/>
      <c r="L94" s="882"/>
      <c r="M94" s="924"/>
      <c r="N94" s="924"/>
      <c r="O94" s="888"/>
      <c r="P94" s="844"/>
      <c r="Q94" s="828"/>
    </row>
    <row r="95" spans="1:17" x14ac:dyDescent="0.2">
      <c r="C95" s="784"/>
      <c r="D95" s="784"/>
      <c r="E95" s="784"/>
      <c r="F95" s="784"/>
      <c r="G95" s="784"/>
      <c r="L95" s="882"/>
      <c r="M95" s="924"/>
      <c r="N95" s="924"/>
      <c r="O95" s="784"/>
      <c r="P95" s="844"/>
      <c r="Q95" s="828"/>
    </row>
    <row r="96" spans="1:17" x14ac:dyDescent="0.2">
      <c r="C96" s="784"/>
      <c r="D96" s="784"/>
      <c r="L96" s="882"/>
      <c r="M96" s="924"/>
      <c r="N96" s="924"/>
    </row>
    <row r="97" spans="1:14" x14ac:dyDescent="0.2">
      <c r="A97" s="926" t="s">
        <v>1014</v>
      </c>
      <c r="B97" s="832" t="s">
        <v>863</v>
      </c>
      <c r="C97" s="832" t="s">
        <v>864</v>
      </c>
      <c r="D97" s="832" t="s">
        <v>865</v>
      </c>
      <c r="E97" s="832" t="s">
        <v>866</v>
      </c>
      <c r="F97" s="832" t="s">
        <v>867</v>
      </c>
      <c r="G97" s="832" t="s">
        <v>868</v>
      </c>
      <c r="H97" s="832" t="s">
        <v>857</v>
      </c>
      <c r="I97" s="832" t="s">
        <v>858</v>
      </c>
      <c r="J97" s="832" t="s">
        <v>859</v>
      </c>
      <c r="K97" s="832" t="s">
        <v>860</v>
      </c>
      <c r="L97" s="832" t="s">
        <v>861</v>
      </c>
      <c r="M97" s="832" t="s">
        <v>862</v>
      </c>
      <c r="N97" s="829"/>
    </row>
    <row r="98" spans="1:14" x14ac:dyDescent="0.2">
      <c r="A98" s="831" t="s">
        <v>1015</v>
      </c>
      <c r="B98" s="927"/>
      <c r="C98" s="927"/>
      <c r="D98" s="927"/>
      <c r="E98" s="927"/>
      <c r="F98" s="927"/>
      <c r="G98" s="927"/>
      <c r="H98" s="927"/>
      <c r="I98" s="927"/>
      <c r="J98" s="927"/>
      <c r="K98" s="927"/>
      <c r="L98" s="927"/>
      <c r="M98" s="927"/>
      <c r="N98" s="928">
        <f>SUM(B98:M98)</f>
        <v>0</v>
      </c>
    </row>
    <row r="99" spans="1:14" x14ac:dyDescent="0.2">
      <c r="A99" s="847" t="s">
        <v>1016</v>
      </c>
      <c r="B99" s="929">
        <f>N89</f>
        <v>1163183.0833333333</v>
      </c>
      <c r="C99" s="929">
        <f>N89</f>
        <v>1163183.0833333333</v>
      </c>
      <c r="D99" s="929">
        <f>N89</f>
        <v>1163183.0833333333</v>
      </c>
      <c r="E99" s="929">
        <f>N89</f>
        <v>1163183.0833333333</v>
      </c>
      <c r="F99" s="929">
        <f>N89</f>
        <v>1163183.0833333333</v>
      </c>
      <c r="G99" s="929">
        <f>N89</f>
        <v>1163183.0833333333</v>
      </c>
      <c r="H99" s="929">
        <f>N89</f>
        <v>1163183.0833333333</v>
      </c>
      <c r="I99" s="929">
        <f>N89</f>
        <v>1163183.0833333333</v>
      </c>
      <c r="J99" s="929">
        <f>N89</f>
        <v>1163183.0833333333</v>
      </c>
      <c r="K99" s="929">
        <f>N89</f>
        <v>1163183.0833333333</v>
      </c>
      <c r="L99" s="929">
        <f>N89</f>
        <v>1163183.0833333333</v>
      </c>
      <c r="M99" s="929">
        <f>N89</f>
        <v>1163183.0833333333</v>
      </c>
      <c r="N99" s="930">
        <f>SUM(B99:M99)</f>
        <v>13958197.000000002</v>
      </c>
    </row>
    <row r="100" spans="1:14" x14ac:dyDescent="0.2">
      <c r="A100" s="931" t="s">
        <v>1017</v>
      </c>
      <c r="B100" s="932">
        <f t="shared" ref="B100:N100" si="13">SUM(B98:B99)</f>
        <v>1163183.0833333333</v>
      </c>
      <c r="C100" s="932">
        <f t="shared" si="13"/>
        <v>1163183.0833333333</v>
      </c>
      <c r="D100" s="932">
        <f t="shared" si="13"/>
        <v>1163183.0833333333</v>
      </c>
      <c r="E100" s="932">
        <f t="shared" si="13"/>
        <v>1163183.0833333333</v>
      </c>
      <c r="F100" s="932">
        <f t="shared" si="13"/>
        <v>1163183.0833333333</v>
      </c>
      <c r="G100" s="932">
        <f t="shared" si="13"/>
        <v>1163183.0833333333</v>
      </c>
      <c r="H100" s="932">
        <f t="shared" si="13"/>
        <v>1163183.0833333333</v>
      </c>
      <c r="I100" s="932">
        <f t="shared" si="13"/>
        <v>1163183.0833333333</v>
      </c>
      <c r="J100" s="932">
        <f t="shared" si="13"/>
        <v>1163183.0833333333</v>
      </c>
      <c r="K100" s="932">
        <f t="shared" si="13"/>
        <v>1163183.0833333333</v>
      </c>
      <c r="L100" s="932">
        <f t="shared" si="13"/>
        <v>1163183.0833333333</v>
      </c>
      <c r="M100" s="932">
        <f t="shared" si="13"/>
        <v>1163183.0833333333</v>
      </c>
      <c r="N100" s="933">
        <f t="shared" si="13"/>
        <v>13958197.000000002</v>
      </c>
    </row>
    <row r="101" spans="1:14" x14ac:dyDescent="0.2">
      <c r="A101" s="934" t="s">
        <v>1018</v>
      </c>
      <c r="B101" s="935">
        <v>2800</v>
      </c>
      <c r="C101" s="935">
        <v>4200</v>
      </c>
      <c r="D101" s="935">
        <v>9275</v>
      </c>
      <c r="E101" s="935">
        <v>2800</v>
      </c>
      <c r="F101" s="935">
        <v>5250</v>
      </c>
      <c r="G101" s="936">
        <v>4150</v>
      </c>
      <c r="H101" s="935">
        <v>950</v>
      </c>
      <c r="I101" s="935">
        <v>1750</v>
      </c>
      <c r="J101" s="935">
        <v>9369</v>
      </c>
      <c r="K101" s="935">
        <v>1575</v>
      </c>
      <c r="L101" s="935">
        <v>6300</v>
      </c>
      <c r="M101" s="935"/>
      <c r="N101" s="935">
        <f>SUM(B101:M101)</f>
        <v>48419</v>
      </c>
    </row>
    <row r="102" spans="1:14" x14ac:dyDescent="0.2">
      <c r="A102" s="829" t="s">
        <v>1019</v>
      </c>
      <c r="B102" s="928">
        <v>175617</v>
      </c>
      <c r="C102" s="928">
        <v>188510</v>
      </c>
      <c r="D102" s="928">
        <v>193915</v>
      </c>
      <c r="E102" s="928">
        <v>203313</v>
      </c>
      <c r="F102" s="928">
        <v>107512</v>
      </c>
      <c r="G102" s="937">
        <v>120470</v>
      </c>
      <c r="H102" s="928">
        <v>190988</v>
      </c>
      <c r="I102" s="928">
        <v>237363</v>
      </c>
      <c r="J102" s="928">
        <v>173912</v>
      </c>
      <c r="K102" s="928">
        <v>114375</v>
      </c>
      <c r="L102" s="928">
        <v>154343</v>
      </c>
      <c r="M102" s="928">
        <v>136225</v>
      </c>
      <c r="N102" s="935">
        <f>SUM(B102:M102)</f>
        <v>1996543</v>
      </c>
    </row>
    <row r="103" spans="1:14" x14ac:dyDescent="0.2">
      <c r="A103" s="829" t="s">
        <v>1020</v>
      </c>
      <c r="B103" s="928">
        <v>39634</v>
      </c>
      <c r="C103" s="928">
        <v>41213.5</v>
      </c>
      <c r="D103" s="928">
        <v>107249.5</v>
      </c>
      <c r="E103" s="928">
        <v>37553</v>
      </c>
      <c r="F103" s="928">
        <v>37559.5</v>
      </c>
      <c r="G103" s="937">
        <v>30462</v>
      </c>
      <c r="H103" s="928">
        <v>23371</v>
      </c>
      <c r="I103" s="928">
        <v>11437</v>
      </c>
      <c r="J103" s="928">
        <v>42165.5</v>
      </c>
      <c r="K103" s="928">
        <v>37553.5</v>
      </c>
      <c r="L103" s="928">
        <v>3953</v>
      </c>
      <c r="M103" s="928">
        <v>38553</v>
      </c>
      <c r="N103" s="935">
        <f>SUM(B103:M103)</f>
        <v>450704.5</v>
      </c>
    </row>
    <row r="104" spans="1:14" x14ac:dyDescent="0.2">
      <c r="A104" s="829" t="s">
        <v>1021</v>
      </c>
      <c r="B104" s="928">
        <v>165768.75</v>
      </c>
      <c r="C104" s="927">
        <v>92750.5</v>
      </c>
      <c r="D104" s="927">
        <v>131600</v>
      </c>
      <c r="E104" s="927">
        <v>187818.75</v>
      </c>
      <c r="F104" s="927">
        <v>118050</v>
      </c>
      <c r="G104" s="927">
        <v>58625</v>
      </c>
      <c r="H104" s="927">
        <v>20125</v>
      </c>
      <c r="I104" s="927">
        <v>143456.25</v>
      </c>
      <c r="J104" s="927">
        <v>80062.5</v>
      </c>
      <c r="K104" s="927">
        <v>198406.25</v>
      </c>
      <c r="L104" s="927">
        <v>55650</v>
      </c>
      <c r="M104" s="927">
        <v>70875.25</v>
      </c>
      <c r="N104" s="935">
        <f>SUM(B104:M104)</f>
        <v>1323188.25</v>
      </c>
    </row>
    <row r="105" spans="1:14" x14ac:dyDescent="0.2">
      <c r="A105" s="829" t="s">
        <v>1149</v>
      </c>
      <c r="B105" s="928">
        <v>5500</v>
      </c>
      <c r="C105" s="927">
        <v>1000</v>
      </c>
      <c r="D105" s="927">
        <v>1900</v>
      </c>
      <c r="E105" s="927">
        <v>3525</v>
      </c>
      <c r="F105" s="927">
        <v>3575</v>
      </c>
      <c r="G105" s="927">
        <v>3000</v>
      </c>
      <c r="H105" s="927">
        <v>1225</v>
      </c>
      <c r="I105" s="927">
        <v>4025</v>
      </c>
      <c r="J105" s="927">
        <v>2125</v>
      </c>
      <c r="K105" s="927">
        <v>850</v>
      </c>
      <c r="L105" s="927">
        <v>325</v>
      </c>
      <c r="M105" s="927"/>
      <c r="N105" s="935">
        <f>SUM(B105:M105)</f>
        <v>27050</v>
      </c>
    </row>
    <row r="106" spans="1:14" x14ac:dyDescent="0.2">
      <c r="A106" s="938" t="s">
        <v>1027</v>
      </c>
      <c r="B106" s="939"/>
      <c r="C106" s="940"/>
      <c r="D106" s="940"/>
      <c r="E106" s="940"/>
      <c r="F106" s="940"/>
      <c r="G106" s="940"/>
      <c r="H106" s="940"/>
      <c r="I106" s="940"/>
      <c r="J106" s="940"/>
      <c r="K106" s="940"/>
      <c r="L106" s="940"/>
      <c r="M106" s="940"/>
      <c r="N106" s="939"/>
    </row>
    <row r="107" spans="1:14" x14ac:dyDescent="0.2">
      <c r="A107" s="941" t="s">
        <v>1028</v>
      </c>
      <c r="B107" s="942">
        <f t="shared" ref="B107:N107" si="14">SUM(B101:B106)</f>
        <v>389319.75</v>
      </c>
      <c r="C107" s="942">
        <f t="shared" si="14"/>
        <v>327674</v>
      </c>
      <c r="D107" s="942">
        <f t="shared" si="14"/>
        <v>443939.5</v>
      </c>
      <c r="E107" s="942">
        <f t="shared" si="14"/>
        <v>435009.75</v>
      </c>
      <c r="F107" s="942">
        <f t="shared" si="14"/>
        <v>271946.5</v>
      </c>
      <c r="G107" s="942">
        <f t="shared" si="14"/>
        <v>216707</v>
      </c>
      <c r="H107" s="942">
        <f t="shared" si="14"/>
        <v>236659</v>
      </c>
      <c r="I107" s="942">
        <f t="shared" si="14"/>
        <v>398031.25</v>
      </c>
      <c r="J107" s="942">
        <f t="shared" si="14"/>
        <v>307634</v>
      </c>
      <c r="K107" s="942">
        <f t="shared" si="14"/>
        <v>352759.75</v>
      </c>
      <c r="L107" s="942">
        <f t="shared" si="14"/>
        <v>220571</v>
      </c>
      <c r="M107" s="942">
        <f t="shared" si="14"/>
        <v>245653.25</v>
      </c>
      <c r="N107" s="942">
        <f t="shared" si="14"/>
        <v>3845904.75</v>
      </c>
    </row>
    <row r="108" spans="1:14" x14ac:dyDescent="0.2">
      <c r="A108" s="934" t="s">
        <v>1029</v>
      </c>
      <c r="B108" s="939"/>
      <c r="C108" s="939">
        <v>2800</v>
      </c>
      <c r="D108" s="939"/>
      <c r="E108" s="939"/>
      <c r="F108" s="939"/>
      <c r="G108" s="939"/>
      <c r="H108" s="939"/>
      <c r="I108" s="939"/>
      <c r="J108" s="939">
        <v>14500</v>
      </c>
      <c r="K108" s="939">
        <v>12487</v>
      </c>
      <c r="L108" s="939">
        <v>6520</v>
      </c>
      <c r="M108" s="939"/>
      <c r="N108" s="935">
        <f>SUM(B108:M108)</f>
        <v>36307</v>
      </c>
    </row>
    <row r="109" spans="1:14" x14ac:dyDescent="0.2">
      <c r="A109" s="943" t="s">
        <v>1030</v>
      </c>
      <c r="B109" s="944">
        <f t="shared" ref="B109:N109" si="15">SUM(B100,B107,B108)</f>
        <v>1552502.8333333333</v>
      </c>
      <c r="C109" s="944">
        <f t="shared" si="15"/>
        <v>1493657.0833333333</v>
      </c>
      <c r="D109" s="944">
        <f t="shared" si="15"/>
        <v>1607122.5833333333</v>
      </c>
      <c r="E109" s="944">
        <f t="shared" si="15"/>
        <v>1598192.8333333333</v>
      </c>
      <c r="F109" s="944">
        <f t="shared" si="15"/>
        <v>1435129.5833333333</v>
      </c>
      <c r="G109" s="944">
        <f t="shared" si="15"/>
        <v>1379890.0833333333</v>
      </c>
      <c r="H109" s="944">
        <f t="shared" si="15"/>
        <v>1399842.0833333333</v>
      </c>
      <c r="I109" s="944">
        <f t="shared" si="15"/>
        <v>1561214.3333333333</v>
      </c>
      <c r="J109" s="944">
        <f t="shared" si="15"/>
        <v>1485317.0833333333</v>
      </c>
      <c r="K109" s="944">
        <f t="shared" si="15"/>
        <v>1528429.8333333333</v>
      </c>
      <c r="L109" s="944">
        <f t="shared" si="15"/>
        <v>1390274.0833333333</v>
      </c>
      <c r="M109" s="944">
        <f t="shared" si="15"/>
        <v>1408836.3333333333</v>
      </c>
      <c r="N109" s="944">
        <f t="shared" si="15"/>
        <v>17840408.75</v>
      </c>
    </row>
    <row r="110" spans="1:14" x14ac:dyDescent="0.2">
      <c r="A110" s="945" t="s">
        <v>1031</v>
      </c>
      <c r="B110" s="929">
        <v>1277777</v>
      </c>
      <c r="C110" s="929">
        <v>1300000</v>
      </c>
      <c r="D110" s="929">
        <v>1132260</v>
      </c>
      <c r="E110" s="929">
        <v>1507299</v>
      </c>
      <c r="F110" s="929">
        <v>1470730</v>
      </c>
      <c r="G110" s="929">
        <v>1447833</v>
      </c>
      <c r="H110" s="929">
        <v>1326297</v>
      </c>
      <c r="I110" s="929">
        <v>1317537</v>
      </c>
      <c r="J110" s="929">
        <v>1345612</v>
      </c>
      <c r="K110" s="929">
        <v>1333333</v>
      </c>
      <c r="L110" s="929">
        <v>1333333</v>
      </c>
      <c r="M110" s="929">
        <v>1333333</v>
      </c>
      <c r="N110" s="946">
        <f>SUM(B110:M110)</f>
        <v>16125344</v>
      </c>
    </row>
    <row r="111" spans="1:14" x14ac:dyDescent="0.2">
      <c r="A111" s="947" t="s">
        <v>1032</v>
      </c>
      <c r="B111" s="929">
        <v>10000</v>
      </c>
      <c r="C111" s="929">
        <v>10000</v>
      </c>
      <c r="D111" s="929">
        <v>10000</v>
      </c>
      <c r="E111" s="929">
        <v>10000</v>
      </c>
      <c r="F111" s="929">
        <v>10000</v>
      </c>
      <c r="G111" s="929">
        <v>10000</v>
      </c>
      <c r="H111" s="929">
        <v>10000</v>
      </c>
      <c r="I111" s="929">
        <v>10000</v>
      </c>
      <c r="J111" s="929">
        <v>10000</v>
      </c>
      <c r="K111" s="929">
        <v>10000</v>
      </c>
      <c r="L111" s="929">
        <v>10000</v>
      </c>
      <c r="M111" s="929">
        <v>10000</v>
      </c>
      <c r="N111" s="929">
        <f>SUM(B111:M111)</f>
        <v>120000</v>
      </c>
    </row>
    <row r="112" spans="1:14" x14ac:dyDescent="0.2">
      <c r="A112" s="948" t="s">
        <v>1033</v>
      </c>
      <c r="B112" s="949">
        <f t="shared" ref="B112:N112" si="16">SUM(B109-B110-B111)</f>
        <v>264725.83333333326</v>
      </c>
      <c r="C112" s="949">
        <f t="shared" si="16"/>
        <v>183657.08333333326</v>
      </c>
      <c r="D112" s="949">
        <f t="shared" si="16"/>
        <v>464862.58333333326</v>
      </c>
      <c r="E112" s="949">
        <f t="shared" si="16"/>
        <v>80893.833333333256</v>
      </c>
      <c r="F112" s="949">
        <f t="shared" si="16"/>
        <v>-45600.416666666744</v>
      </c>
      <c r="G112" s="949">
        <f t="shared" si="16"/>
        <v>-77942.916666666744</v>
      </c>
      <c r="H112" s="949">
        <f t="shared" si="16"/>
        <v>63545.083333333256</v>
      </c>
      <c r="I112" s="949">
        <f t="shared" si="16"/>
        <v>233677.33333333326</v>
      </c>
      <c r="J112" s="949">
        <f t="shared" si="16"/>
        <v>129705.08333333326</v>
      </c>
      <c r="K112" s="949">
        <f t="shared" si="16"/>
        <v>185096.83333333326</v>
      </c>
      <c r="L112" s="949">
        <f t="shared" si="16"/>
        <v>46941.083333333256</v>
      </c>
      <c r="M112" s="949">
        <f t="shared" si="16"/>
        <v>65503.333333333256</v>
      </c>
      <c r="N112" s="949">
        <f t="shared" si="16"/>
        <v>1595064.75</v>
      </c>
    </row>
    <row r="113" spans="1:14" x14ac:dyDescent="0.2">
      <c r="A113" s="950"/>
      <c r="B113" s="951"/>
      <c r="C113" s="951"/>
      <c r="D113" s="951"/>
      <c r="E113" s="951"/>
      <c r="F113" s="951"/>
      <c r="G113" s="951"/>
      <c r="H113" s="951"/>
      <c r="I113" s="951"/>
      <c r="J113" s="951"/>
      <c r="K113" s="951"/>
      <c r="L113" s="951"/>
      <c r="M113" s="951"/>
      <c r="N113" s="951"/>
    </row>
    <row r="114" spans="1:14" ht="20.25" x14ac:dyDescent="0.3">
      <c r="A114" s="1801" t="s">
        <v>1150</v>
      </c>
      <c r="B114" s="1801"/>
      <c r="C114" s="1801"/>
      <c r="D114" s="1801"/>
      <c r="E114" s="1801"/>
      <c r="F114" s="1801"/>
      <c r="G114" s="1801"/>
      <c r="H114" s="1801"/>
      <c r="I114" s="1801"/>
      <c r="J114" s="1801"/>
      <c r="K114" s="1801"/>
      <c r="L114" s="1801"/>
      <c r="M114" s="1801"/>
      <c r="N114" s="1801"/>
    </row>
    <row r="115" spans="1:14" x14ac:dyDescent="0.2">
      <c r="A115" s="828"/>
      <c r="B115" s="828"/>
      <c r="C115" s="828"/>
      <c r="D115" s="828"/>
      <c r="E115" s="828"/>
      <c r="F115" s="828"/>
      <c r="G115" s="828"/>
      <c r="H115" s="828"/>
      <c r="I115" s="828"/>
      <c r="J115" s="828"/>
      <c r="K115" s="828"/>
      <c r="L115" s="828"/>
      <c r="M115" s="828"/>
    </row>
    <row r="116" spans="1:14" x14ac:dyDescent="0.2">
      <c r="A116" s="829"/>
      <c r="B116" s="656" t="s">
        <v>863</v>
      </c>
      <c r="C116" s="656" t="s">
        <v>864</v>
      </c>
      <c r="D116" s="830" t="s">
        <v>865</v>
      </c>
      <c r="E116" s="656" t="s">
        <v>866</v>
      </c>
      <c r="F116" s="656" t="s">
        <v>867</v>
      </c>
      <c r="G116" s="830" t="s">
        <v>868</v>
      </c>
      <c r="H116" s="656" t="s">
        <v>857</v>
      </c>
      <c r="I116" s="656" t="s">
        <v>858</v>
      </c>
      <c r="J116" s="656" t="s">
        <v>859</v>
      </c>
      <c r="K116" s="656" t="s">
        <v>860</v>
      </c>
      <c r="L116" s="656" t="s">
        <v>861</v>
      </c>
      <c r="M116" s="656" t="s">
        <v>862</v>
      </c>
      <c r="N116" s="829" t="s">
        <v>137</v>
      </c>
    </row>
    <row r="117" spans="1:14" x14ac:dyDescent="0.2">
      <c r="A117" s="831" t="s">
        <v>332</v>
      </c>
      <c r="B117" s="832">
        <v>2886</v>
      </c>
      <c r="C117" s="832">
        <v>2886</v>
      </c>
      <c r="D117" s="832">
        <v>2886</v>
      </c>
      <c r="E117" s="832">
        <v>2886</v>
      </c>
      <c r="F117" s="832">
        <v>2886</v>
      </c>
      <c r="G117" s="832">
        <v>2886</v>
      </c>
      <c r="H117" s="832">
        <v>2886</v>
      </c>
      <c r="I117" s="832">
        <v>2886</v>
      </c>
      <c r="J117" s="832">
        <v>2886</v>
      </c>
      <c r="K117" s="832">
        <v>2886</v>
      </c>
      <c r="L117" s="832">
        <v>2886</v>
      </c>
      <c r="M117" s="832">
        <v>2886</v>
      </c>
      <c r="N117" s="832">
        <f t="shared" ref="N117:N128" si="17">SUM(B117:M117)</f>
        <v>34632</v>
      </c>
    </row>
    <row r="118" spans="1:14" x14ac:dyDescent="0.2">
      <c r="A118" s="831" t="s">
        <v>893</v>
      </c>
      <c r="B118" s="832">
        <v>0</v>
      </c>
      <c r="C118" s="832">
        <v>0</v>
      </c>
      <c r="D118" s="832">
        <v>0</v>
      </c>
      <c r="E118" s="832">
        <v>0</v>
      </c>
      <c r="F118" s="832">
        <v>0</v>
      </c>
      <c r="G118" s="833">
        <v>0</v>
      </c>
      <c r="H118" s="832">
        <v>0</v>
      </c>
      <c r="I118" s="832">
        <v>0</v>
      </c>
      <c r="J118" s="834"/>
      <c r="K118" s="832">
        <v>21.75</v>
      </c>
      <c r="L118" s="832">
        <v>0</v>
      </c>
      <c r="M118" s="832">
        <v>0</v>
      </c>
      <c r="N118" s="832">
        <f t="shared" si="17"/>
        <v>21.75</v>
      </c>
    </row>
    <row r="119" spans="1:14" x14ac:dyDescent="0.2">
      <c r="A119" s="831" t="s">
        <v>1035</v>
      </c>
      <c r="B119" s="832">
        <v>0</v>
      </c>
      <c r="C119" s="832">
        <v>0</v>
      </c>
      <c r="D119" s="832">
        <v>0</v>
      </c>
      <c r="E119" s="832">
        <v>0</v>
      </c>
      <c r="F119" s="832">
        <v>0</v>
      </c>
      <c r="G119" s="833">
        <v>0</v>
      </c>
      <c r="H119" s="832">
        <v>0</v>
      </c>
      <c r="I119" s="832">
        <v>0</v>
      </c>
      <c r="J119" s="832"/>
      <c r="K119" s="832"/>
      <c r="L119" s="832">
        <v>0</v>
      </c>
      <c r="M119" s="829">
        <v>0</v>
      </c>
      <c r="N119" s="832">
        <f t="shared" si="17"/>
        <v>0</v>
      </c>
    </row>
    <row r="120" spans="1:14" x14ac:dyDescent="0.2">
      <c r="A120" s="831" t="s">
        <v>896</v>
      </c>
      <c r="B120" s="832">
        <v>43</v>
      </c>
      <c r="C120" s="832">
        <v>278.75</v>
      </c>
      <c r="D120" s="832">
        <v>301.25</v>
      </c>
      <c r="E120" s="832">
        <v>140.25</v>
      </c>
      <c r="F120" s="832">
        <v>161.75</v>
      </c>
      <c r="G120" s="833">
        <v>94</v>
      </c>
      <c r="H120" s="832">
        <v>1246.25</v>
      </c>
      <c r="I120" s="832">
        <v>778.75</v>
      </c>
      <c r="J120" s="832">
        <v>21.5</v>
      </c>
      <c r="K120" s="832">
        <v>264</v>
      </c>
      <c r="L120" s="832">
        <v>80</v>
      </c>
      <c r="M120" s="832">
        <v>37</v>
      </c>
      <c r="N120" s="832">
        <f t="shared" si="17"/>
        <v>3446.5</v>
      </c>
    </row>
    <row r="121" spans="1:14" x14ac:dyDescent="0.2">
      <c r="A121" s="831" t="s">
        <v>897</v>
      </c>
      <c r="B121" s="832">
        <v>29.25</v>
      </c>
      <c r="C121" s="832">
        <v>7.75</v>
      </c>
      <c r="D121" s="832">
        <v>23.25</v>
      </c>
      <c r="E121" s="832">
        <v>58.5</v>
      </c>
      <c r="F121" s="832">
        <v>0</v>
      </c>
      <c r="G121" s="833">
        <v>15.5</v>
      </c>
      <c r="H121" s="832">
        <v>0</v>
      </c>
      <c r="I121" s="832">
        <v>13.75</v>
      </c>
      <c r="J121" s="832">
        <v>23.25</v>
      </c>
      <c r="K121" s="832">
        <v>58.5</v>
      </c>
      <c r="L121" s="832">
        <v>60.25</v>
      </c>
      <c r="M121" s="832">
        <v>52.5</v>
      </c>
      <c r="N121" s="832">
        <f t="shared" si="17"/>
        <v>342.5</v>
      </c>
    </row>
    <row r="122" spans="1:14" x14ac:dyDescent="0.2">
      <c r="A122" s="831" t="s">
        <v>898</v>
      </c>
      <c r="B122" s="832">
        <v>23.75</v>
      </c>
      <c r="C122" s="832">
        <v>93.5</v>
      </c>
      <c r="D122" s="832">
        <v>29.25</v>
      </c>
      <c r="E122" s="832">
        <v>81.25</v>
      </c>
      <c r="F122" s="832">
        <v>118.75</v>
      </c>
      <c r="G122" s="833">
        <v>7.75</v>
      </c>
      <c r="H122" s="832">
        <v>0</v>
      </c>
      <c r="I122" s="832">
        <v>68.5</v>
      </c>
      <c r="J122" s="832">
        <v>65.5</v>
      </c>
      <c r="K122" s="832">
        <v>85.5</v>
      </c>
      <c r="L122" s="832">
        <v>148</v>
      </c>
      <c r="M122" s="832">
        <v>99</v>
      </c>
      <c r="N122" s="832">
        <f t="shared" si="17"/>
        <v>820.75</v>
      </c>
    </row>
    <row r="123" spans="1:14" x14ac:dyDescent="0.2">
      <c r="A123" s="831" t="s">
        <v>899</v>
      </c>
      <c r="B123" s="832">
        <v>0</v>
      </c>
      <c r="C123" s="832">
        <v>0</v>
      </c>
      <c r="D123" s="832">
        <v>7.75</v>
      </c>
      <c r="E123" s="832">
        <v>0</v>
      </c>
      <c r="F123" s="832">
        <v>0</v>
      </c>
      <c r="G123" s="833">
        <v>7.75</v>
      </c>
      <c r="H123" s="832">
        <v>0</v>
      </c>
      <c r="I123" s="832">
        <v>0</v>
      </c>
      <c r="J123" s="832">
        <v>0</v>
      </c>
      <c r="K123" s="832">
        <v>0</v>
      </c>
      <c r="L123" s="832">
        <v>0</v>
      </c>
      <c r="M123" s="832">
        <v>0</v>
      </c>
      <c r="N123" s="832">
        <f t="shared" si="17"/>
        <v>15.5</v>
      </c>
    </row>
    <row r="124" spans="1:14" x14ac:dyDescent="0.2">
      <c r="A124" s="831" t="s">
        <v>900</v>
      </c>
      <c r="B124" s="832">
        <v>54</v>
      </c>
      <c r="C124" s="832">
        <v>80</v>
      </c>
      <c r="D124" s="832">
        <v>74.25</v>
      </c>
      <c r="E124" s="832">
        <v>69.75</v>
      </c>
      <c r="F124" s="832">
        <v>172.75</v>
      </c>
      <c r="G124" s="833">
        <v>153</v>
      </c>
      <c r="H124" s="832">
        <v>282.75</v>
      </c>
      <c r="I124" s="832">
        <v>98.75</v>
      </c>
      <c r="J124" s="832">
        <v>84.5</v>
      </c>
      <c r="K124" s="832">
        <v>96.25</v>
      </c>
      <c r="L124" s="832">
        <v>80.5</v>
      </c>
      <c r="M124" s="832">
        <v>184.5</v>
      </c>
      <c r="N124" s="832">
        <f t="shared" si="17"/>
        <v>1431</v>
      </c>
    </row>
    <row r="125" spans="1:14" x14ac:dyDescent="0.2">
      <c r="A125" s="831" t="s">
        <v>901</v>
      </c>
      <c r="B125" s="832">
        <v>0</v>
      </c>
      <c r="C125" s="832">
        <v>0</v>
      </c>
      <c r="D125" s="832">
        <v>0</v>
      </c>
      <c r="E125" s="832">
        <v>0</v>
      </c>
      <c r="F125" s="832">
        <v>0</v>
      </c>
      <c r="G125" s="833">
        <v>0</v>
      </c>
      <c r="H125" s="832">
        <v>0</v>
      </c>
      <c r="I125" s="832">
        <v>0</v>
      </c>
      <c r="J125" s="832">
        <v>0</v>
      </c>
      <c r="K125" s="832">
        <v>0</v>
      </c>
      <c r="L125" s="832">
        <v>0</v>
      </c>
      <c r="M125" s="832">
        <v>0</v>
      </c>
      <c r="N125" s="832">
        <f t="shared" si="17"/>
        <v>0</v>
      </c>
    </row>
    <row r="126" spans="1:14" x14ac:dyDescent="0.2">
      <c r="A126" s="831" t="s">
        <v>902</v>
      </c>
      <c r="B126" s="832">
        <v>140.25</v>
      </c>
      <c r="C126" s="832">
        <v>93.5</v>
      </c>
      <c r="D126" s="832">
        <v>83.5</v>
      </c>
      <c r="E126" s="832">
        <v>21.5</v>
      </c>
      <c r="F126" s="832">
        <v>0</v>
      </c>
      <c r="G126" s="833">
        <v>23.75</v>
      </c>
      <c r="H126" s="832">
        <v>0</v>
      </c>
      <c r="I126" s="832">
        <v>0</v>
      </c>
      <c r="J126" s="832">
        <v>58.25</v>
      </c>
      <c r="K126" s="832">
        <v>23.25</v>
      </c>
      <c r="L126" s="832">
        <v>195.25</v>
      </c>
      <c r="M126" s="832">
        <v>140.75</v>
      </c>
      <c r="N126" s="832">
        <f t="shared" si="17"/>
        <v>780</v>
      </c>
    </row>
    <row r="127" spans="1:14" x14ac:dyDescent="0.2">
      <c r="A127" s="835" t="s">
        <v>903</v>
      </c>
      <c r="B127" s="836">
        <v>0</v>
      </c>
      <c r="C127" s="836">
        <v>0</v>
      </c>
      <c r="D127" s="836">
        <v>7.75</v>
      </c>
      <c r="E127" s="836">
        <v>0</v>
      </c>
      <c r="F127" s="836">
        <v>12</v>
      </c>
      <c r="G127" s="837">
        <v>0</v>
      </c>
      <c r="H127" s="836">
        <v>0</v>
      </c>
      <c r="I127" s="836">
        <v>0</v>
      </c>
      <c r="J127" s="836">
        <v>0</v>
      </c>
      <c r="K127" s="836">
        <v>7.75</v>
      </c>
      <c r="L127" s="836">
        <v>0</v>
      </c>
      <c r="M127" s="836">
        <v>46.5</v>
      </c>
      <c r="N127" s="838">
        <f t="shared" si="17"/>
        <v>74</v>
      </c>
    </row>
    <row r="128" spans="1:14" x14ac:dyDescent="0.2">
      <c r="A128" s="839" t="s">
        <v>904</v>
      </c>
      <c r="B128" s="840">
        <f t="shared" ref="B128:M128" si="18">SUM(B117+B118+B119-B120-B121-B122-B124-B125-B126-B127)</f>
        <v>2595.75</v>
      </c>
      <c r="C128" s="840">
        <f t="shared" si="18"/>
        <v>2332.5</v>
      </c>
      <c r="D128" s="840">
        <f t="shared" si="18"/>
        <v>2366.75</v>
      </c>
      <c r="E128" s="840">
        <f t="shared" si="18"/>
        <v>2514.75</v>
      </c>
      <c r="F128" s="840">
        <f t="shared" si="18"/>
        <v>2420.75</v>
      </c>
      <c r="G128" s="952">
        <f t="shared" si="18"/>
        <v>2592</v>
      </c>
      <c r="H128" s="840">
        <f t="shared" si="18"/>
        <v>1357</v>
      </c>
      <c r="I128" s="840">
        <f t="shared" si="18"/>
        <v>1926.25</v>
      </c>
      <c r="J128" s="840">
        <f t="shared" si="18"/>
        <v>2633</v>
      </c>
      <c r="K128" s="840">
        <f t="shared" si="18"/>
        <v>2372.5</v>
      </c>
      <c r="L128" s="840">
        <f t="shared" si="18"/>
        <v>2322</v>
      </c>
      <c r="M128" s="841">
        <f t="shared" si="18"/>
        <v>2325.75</v>
      </c>
      <c r="N128" s="842">
        <f t="shared" si="17"/>
        <v>27759</v>
      </c>
    </row>
    <row r="129" spans="1:14" x14ac:dyDescent="0.2">
      <c r="A129" s="843"/>
      <c r="B129" s="844"/>
      <c r="C129" s="844"/>
      <c r="D129" s="844"/>
      <c r="E129" s="844"/>
      <c r="F129" s="844"/>
      <c r="G129" s="844"/>
      <c r="H129" s="844"/>
      <c r="I129" s="844"/>
      <c r="J129" s="844"/>
      <c r="K129" s="844"/>
      <c r="L129" s="844"/>
      <c r="M129" s="844"/>
      <c r="N129" s="844"/>
    </row>
    <row r="130" spans="1:14" x14ac:dyDescent="0.2">
      <c r="A130" s="843"/>
      <c r="B130" s="844"/>
      <c r="C130" s="844"/>
      <c r="D130" s="844"/>
      <c r="E130" s="844"/>
      <c r="F130" s="844"/>
      <c r="G130" s="844"/>
      <c r="H130" s="844"/>
      <c r="I130" s="844"/>
      <c r="J130" s="844"/>
      <c r="K130" s="844"/>
      <c r="L130" s="844"/>
      <c r="M130" s="844"/>
      <c r="N130" s="845" t="s">
        <v>905</v>
      </c>
    </row>
    <row r="131" spans="1:14" x14ac:dyDescent="0.2">
      <c r="A131" s="831" t="s">
        <v>906</v>
      </c>
      <c r="B131" s="832">
        <f t="shared" ref="B131:M131" si="19">SUM(B118*100/B128)</f>
        <v>0</v>
      </c>
      <c r="C131" s="832">
        <f t="shared" si="19"/>
        <v>0</v>
      </c>
      <c r="D131" s="832">
        <f t="shared" si="19"/>
        <v>0</v>
      </c>
      <c r="E131" s="832">
        <f t="shared" si="19"/>
        <v>0</v>
      </c>
      <c r="F131" s="832">
        <f t="shared" si="19"/>
        <v>0</v>
      </c>
      <c r="G131" s="832">
        <f t="shared" si="19"/>
        <v>0</v>
      </c>
      <c r="H131" s="832">
        <f t="shared" si="19"/>
        <v>0</v>
      </c>
      <c r="I131" s="832">
        <f t="shared" si="19"/>
        <v>0</v>
      </c>
      <c r="J131" s="832">
        <f t="shared" si="19"/>
        <v>0</v>
      </c>
      <c r="K131" s="832">
        <f t="shared" si="19"/>
        <v>0.91675447839831403</v>
      </c>
      <c r="L131" s="832">
        <f t="shared" si="19"/>
        <v>0</v>
      </c>
      <c r="M131" s="832">
        <f t="shared" si="19"/>
        <v>0</v>
      </c>
      <c r="N131" s="846">
        <f>SUM(B131:M131)/12</f>
        <v>7.6396206533192831E-2</v>
      </c>
    </row>
    <row r="132" spans="1:14" x14ac:dyDescent="0.2">
      <c r="A132" s="843"/>
      <c r="B132" s="844"/>
      <c r="C132" s="844"/>
      <c r="D132" s="844"/>
      <c r="E132" s="844"/>
      <c r="F132" s="844"/>
      <c r="G132" s="844"/>
      <c r="H132" s="844"/>
      <c r="I132" s="844"/>
      <c r="J132" s="844"/>
      <c r="K132" s="844"/>
      <c r="L132" s="844"/>
      <c r="M132" s="844"/>
      <c r="N132" s="828"/>
    </row>
    <row r="133" spans="1:14" x14ac:dyDescent="0.2">
      <c r="A133" s="831" t="s">
        <v>907</v>
      </c>
      <c r="B133" s="832">
        <f t="shared" ref="B133:M133" si="20">SUM(B122*100/B128)</f>
        <v>0.9149571414812675</v>
      </c>
      <c r="C133" s="832">
        <f t="shared" si="20"/>
        <v>4.008574490889603</v>
      </c>
      <c r="D133" s="832">
        <f t="shared" si="20"/>
        <v>1.2358719763388613</v>
      </c>
      <c r="E133" s="832">
        <f t="shared" si="20"/>
        <v>3.2309374689332935</v>
      </c>
      <c r="F133" s="832">
        <f t="shared" si="20"/>
        <v>4.9055044924093769</v>
      </c>
      <c r="G133" s="832">
        <f t="shared" si="20"/>
        <v>0.29899691358024694</v>
      </c>
      <c r="H133" s="832">
        <f t="shared" si="20"/>
        <v>0</v>
      </c>
      <c r="I133" s="832">
        <f t="shared" si="20"/>
        <v>3.5561323815704089</v>
      </c>
      <c r="J133" s="832">
        <f t="shared" si="20"/>
        <v>2.4876566654006838</v>
      </c>
      <c r="K133" s="832">
        <f t="shared" si="20"/>
        <v>3.6037934668071654</v>
      </c>
      <c r="L133" s="832">
        <f t="shared" si="20"/>
        <v>6.3738156761412572</v>
      </c>
      <c r="M133" s="832">
        <f t="shared" si="20"/>
        <v>4.2566913898742342</v>
      </c>
      <c r="N133" s="846">
        <f>SUM(B133:M133)/12</f>
        <v>2.9060776719522003</v>
      </c>
    </row>
    <row r="134" spans="1:14" x14ac:dyDescent="0.2">
      <c r="A134" s="847" t="s">
        <v>908</v>
      </c>
      <c r="B134" s="838">
        <f t="shared" ref="B134:M134" si="21">SUM(B123*100/B128)</f>
        <v>0</v>
      </c>
      <c r="C134" s="838">
        <f t="shared" si="21"/>
        <v>0</v>
      </c>
      <c r="D134" s="838">
        <f t="shared" si="21"/>
        <v>0.32745325868807434</v>
      </c>
      <c r="E134" s="838">
        <f t="shared" si="21"/>
        <v>0</v>
      </c>
      <c r="F134" s="838">
        <f t="shared" si="21"/>
        <v>0</v>
      </c>
      <c r="G134" s="838">
        <f t="shared" si="21"/>
        <v>0.29899691358024694</v>
      </c>
      <c r="H134" s="838">
        <f t="shared" si="21"/>
        <v>0</v>
      </c>
      <c r="I134" s="838">
        <f t="shared" si="21"/>
        <v>0</v>
      </c>
      <c r="J134" s="838">
        <f t="shared" si="21"/>
        <v>0</v>
      </c>
      <c r="K134" s="838">
        <f t="shared" si="21"/>
        <v>0</v>
      </c>
      <c r="L134" s="838">
        <f t="shared" si="21"/>
        <v>0</v>
      </c>
      <c r="M134" s="838">
        <f t="shared" si="21"/>
        <v>0</v>
      </c>
      <c r="N134" s="848">
        <f>SUM(B134:M134)/12</f>
        <v>5.2204181022360109E-2</v>
      </c>
    </row>
    <row r="135" spans="1:14" x14ac:dyDescent="0.2">
      <c r="A135" s="849" t="s">
        <v>909</v>
      </c>
      <c r="B135" s="850">
        <f t="shared" ref="B135:M135" si="22">SUM(B133:B133)</f>
        <v>0.9149571414812675</v>
      </c>
      <c r="C135" s="850">
        <f t="shared" si="22"/>
        <v>4.008574490889603</v>
      </c>
      <c r="D135" s="850">
        <f t="shared" si="22"/>
        <v>1.2358719763388613</v>
      </c>
      <c r="E135" s="850">
        <f t="shared" si="22"/>
        <v>3.2309374689332935</v>
      </c>
      <c r="F135" s="850">
        <f t="shared" si="22"/>
        <v>4.9055044924093769</v>
      </c>
      <c r="G135" s="850">
        <f t="shared" si="22"/>
        <v>0.29899691358024694</v>
      </c>
      <c r="H135" s="850">
        <f t="shared" si="22"/>
        <v>0</v>
      </c>
      <c r="I135" s="850">
        <f t="shared" si="22"/>
        <v>3.5561323815704089</v>
      </c>
      <c r="J135" s="850">
        <f t="shared" si="22"/>
        <v>2.4876566654006838</v>
      </c>
      <c r="K135" s="850">
        <f t="shared" si="22"/>
        <v>3.6037934668071654</v>
      </c>
      <c r="L135" s="850">
        <f t="shared" si="22"/>
        <v>6.3738156761412572</v>
      </c>
      <c r="M135" s="850">
        <f t="shared" si="22"/>
        <v>4.2566913898742342</v>
      </c>
      <c r="N135" s="851">
        <f>SUM(N133:N134)</f>
        <v>2.9582818529745603</v>
      </c>
    </row>
    <row r="136" spans="1:14" x14ac:dyDescent="0.2">
      <c r="A136" s="843" t="s">
        <v>910</v>
      </c>
      <c r="B136" s="844"/>
      <c r="C136" s="844"/>
      <c r="D136" s="852">
        <f>SUM(B135:D135)/3</f>
        <v>2.0531345362365774</v>
      </c>
      <c r="E136" s="844"/>
      <c r="F136" s="844"/>
      <c r="G136" s="852">
        <f>SUM(E135,F135,G135)/3</f>
        <v>2.8118129583076392</v>
      </c>
      <c r="H136" s="844"/>
      <c r="I136" s="844"/>
      <c r="J136" s="852">
        <f>SUM(H135,I135,J135)/3</f>
        <v>2.0145963489903642</v>
      </c>
      <c r="K136" s="844"/>
      <c r="L136" s="844"/>
      <c r="M136" s="852">
        <f>SUM(K135,L135,M135)/3</f>
        <v>4.7447668442742188</v>
      </c>
      <c r="N136" s="853">
        <f>SUM(D136:M136)/4</f>
        <v>2.9060776719521999</v>
      </c>
    </row>
    <row r="137" spans="1:14" x14ac:dyDescent="0.2">
      <c r="A137" s="843" t="s">
        <v>911</v>
      </c>
      <c r="B137" s="844"/>
      <c r="C137" s="844"/>
      <c r="D137" s="854"/>
      <c r="E137" s="844"/>
      <c r="F137" s="844"/>
      <c r="G137" s="854"/>
      <c r="H137" s="844"/>
      <c r="I137" s="844"/>
      <c r="J137" s="854"/>
      <c r="K137" s="844"/>
      <c r="L137" s="844"/>
      <c r="M137" s="854"/>
      <c r="N137" s="846">
        <f>SUM(D137:G137,J137,M137)/4</f>
        <v>0</v>
      </c>
    </row>
    <row r="138" spans="1:14" x14ac:dyDescent="0.2">
      <c r="A138" s="843"/>
      <c r="B138" s="844"/>
      <c r="C138" s="844"/>
      <c r="D138" s="844"/>
      <c r="E138" s="844"/>
      <c r="F138" s="844"/>
      <c r="G138" s="844"/>
      <c r="H138" s="844"/>
      <c r="I138" s="844"/>
      <c r="J138" s="844"/>
      <c r="K138" s="844"/>
      <c r="L138" s="844"/>
      <c r="M138" s="844"/>
      <c r="N138" s="844"/>
    </row>
    <row r="139" spans="1:14" x14ac:dyDescent="0.2">
      <c r="A139" s="831" t="s">
        <v>912</v>
      </c>
      <c r="B139" s="832">
        <f t="shared" ref="B139:M139" si="23">B126*100/B128</f>
        <v>5.4030626986420112</v>
      </c>
      <c r="C139" s="832">
        <f t="shared" si="23"/>
        <v>4.008574490889603</v>
      </c>
      <c r="D139" s="832">
        <f t="shared" si="23"/>
        <v>3.5280447871553817</v>
      </c>
      <c r="E139" s="832">
        <f t="shared" si="23"/>
        <v>0.85495576101004078</v>
      </c>
      <c r="F139" s="832">
        <f t="shared" si="23"/>
        <v>0</v>
      </c>
      <c r="G139" s="832">
        <f t="shared" si="23"/>
        <v>0.91628086419753085</v>
      </c>
      <c r="H139" s="832">
        <f t="shared" si="23"/>
        <v>0</v>
      </c>
      <c r="I139" s="832">
        <f t="shared" si="23"/>
        <v>0</v>
      </c>
      <c r="J139" s="832">
        <f t="shared" si="23"/>
        <v>2.2123053551082417</v>
      </c>
      <c r="K139" s="832">
        <f t="shared" si="23"/>
        <v>0.97997892518440466</v>
      </c>
      <c r="L139" s="832">
        <f t="shared" si="23"/>
        <v>8.4086993970714907</v>
      </c>
      <c r="M139" s="832">
        <f t="shared" si="23"/>
        <v>6.051811243684833</v>
      </c>
      <c r="N139" s="846">
        <f>SUM(B139:M139)/12</f>
        <v>2.6969761269119616</v>
      </c>
    </row>
    <row r="140" spans="1:14" x14ac:dyDescent="0.2">
      <c r="A140" s="831" t="s">
        <v>913</v>
      </c>
      <c r="B140" s="832">
        <f t="shared" ref="B140:M140" si="24">B124*100/B128</f>
        <v>2.0803236058942502</v>
      </c>
      <c r="C140" s="832">
        <f t="shared" si="24"/>
        <v>3.429796355841372</v>
      </c>
      <c r="D140" s="832">
        <f t="shared" si="24"/>
        <v>3.1372134783986478</v>
      </c>
      <c r="E140" s="832">
        <f t="shared" si="24"/>
        <v>2.7736355502535042</v>
      </c>
      <c r="F140" s="832">
        <f t="shared" si="24"/>
        <v>7.1362181142207994</v>
      </c>
      <c r="G140" s="832">
        <f t="shared" si="24"/>
        <v>5.9027777777777777</v>
      </c>
      <c r="H140" s="832">
        <f t="shared" si="24"/>
        <v>20.836403831982313</v>
      </c>
      <c r="I140" s="832">
        <f t="shared" si="24"/>
        <v>5.1265412070084357</v>
      </c>
      <c r="J140" s="832">
        <f t="shared" si="24"/>
        <v>3.2092669958222562</v>
      </c>
      <c r="K140" s="832">
        <f t="shared" si="24"/>
        <v>4.0569020021074813</v>
      </c>
      <c r="L140" s="832">
        <f t="shared" si="24"/>
        <v>3.4668389319552109</v>
      </c>
      <c r="M140" s="832">
        <f t="shared" si="24"/>
        <v>7.932924862947436</v>
      </c>
      <c r="N140" s="846">
        <f>SUM(B140:M140)/12</f>
        <v>5.7574035595174564</v>
      </c>
    </row>
    <row r="141" spans="1:14" x14ac:dyDescent="0.2">
      <c r="A141" s="831" t="s">
        <v>914</v>
      </c>
      <c r="B141" s="832">
        <f t="shared" ref="B141:M141" si="25">B120*100/B128</f>
        <v>1.6565539824713473</v>
      </c>
      <c r="C141" s="832">
        <f t="shared" si="25"/>
        <v>11.95069667738478</v>
      </c>
      <c r="D141" s="832">
        <f t="shared" si="25"/>
        <v>12.728425055455794</v>
      </c>
      <c r="E141" s="832">
        <f t="shared" si="25"/>
        <v>5.5770951386817771</v>
      </c>
      <c r="F141" s="832">
        <f t="shared" si="25"/>
        <v>6.6818134875555097</v>
      </c>
      <c r="G141" s="832">
        <f t="shared" si="25"/>
        <v>3.6265432098765431</v>
      </c>
      <c r="H141" s="832">
        <f t="shared" si="25"/>
        <v>91.838614591009573</v>
      </c>
      <c r="I141" s="832">
        <f t="shared" si="25"/>
        <v>40.428293316028551</v>
      </c>
      <c r="J141" s="832">
        <f t="shared" si="25"/>
        <v>0.81655905810862139</v>
      </c>
      <c r="K141" s="832">
        <f t="shared" si="25"/>
        <v>11.12750263435195</v>
      </c>
      <c r="L141" s="832">
        <f t="shared" si="25"/>
        <v>3.4453057708871664</v>
      </c>
      <c r="M141" s="832">
        <f t="shared" si="25"/>
        <v>1.5908846608620875</v>
      </c>
      <c r="N141" s="846">
        <f>SUM(B141:M141)/12</f>
        <v>15.955690631889473</v>
      </c>
    </row>
    <row r="142" spans="1:14" x14ac:dyDescent="0.2">
      <c r="A142" s="855" t="s">
        <v>915</v>
      </c>
      <c r="B142" s="856">
        <f t="shared" ref="B142:M142" si="26">SUM(B117-B128)*100/B128</f>
        <v>11.181739381681595</v>
      </c>
      <c r="C142" s="856">
        <f t="shared" si="26"/>
        <v>23.729903536977492</v>
      </c>
      <c r="D142" s="856">
        <f t="shared" si="26"/>
        <v>21.939368332100983</v>
      </c>
      <c r="E142" s="856">
        <f t="shared" si="26"/>
        <v>14.762898896510588</v>
      </c>
      <c r="F142" s="856">
        <f t="shared" si="26"/>
        <v>19.219250232366001</v>
      </c>
      <c r="G142" s="856">
        <f t="shared" si="26"/>
        <v>11.342592592592593</v>
      </c>
      <c r="H142" s="856">
        <f t="shared" si="26"/>
        <v>112.6750184229919</v>
      </c>
      <c r="I142" s="856">
        <f t="shared" si="26"/>
        <v>49.824789097988322</v>
      </c>
      <c r="J142" s="856">
        <f t="shared" si="26"/>
        <v>9.6088112419293576</v>
      </c>
      <c r="K142" s="856">
        <f t="shared" si="26"/>
        <v>21.643835616438356</v>
      </c>
      <c r="L142" s="856">
        <f t="shared" si="26"/>
        <v>24.289405684754524</v>
      </c>
      <c r="M142" s="856">
        <f t="shared" si="26"/>
        <v>24.089003547242825</v>
      </c>
      <c r="N142" s="857">
        <f>SUM(B142:M142)/12</f>
        <v>28.692218048631215</v>
      </c>
    </row>
    <row r="143" spans="1:14" x14ac:dyDescent="0.2">
      <c r="A143" s="843"/>
      <c r="B143" s="844"/>
      <c r="C143" s="844"/>
      <c r="D143" s="844"/>
      <c r="E143" s="844"/>
      <c r="F143" s="844"/>
      <c r="G143" s="844"/>
      <c r="H143" s="844"/>
      <c r="I143" s="844"/>
      <c r="J143" s="844"/>
      <c r="K143" s="844"/>
      <c r="L143" s="844"/>
      <c r="M143" s="844"/>
      <c r="N143" s="828"/>
    </row>
    <row r="144" spans="1:14" x14ac:dyDescent="0.2">
      <c r="A144" s="858" t="s">
        <v>916</v>
      </c>
      <c r="B144" s="844"/>
      <c r="C144" s="844"/>
      <c r="D144" s="844"/>
      <c r="E144" s="844"/>
      <c r="F144" s="844"/>
      <c r="G144" s="844"/>
      <c r="H144" s="844"/>
      <c r="I144" s="844"/>
      <c r="J144" s="844"/>
      <c r="K144" s="844"/>
      <c r="L144" s="844"/>
      <c r="M144" s="844"/>
      <c r="N144" s="828"/>
    </row>
    <row r="145" spans="1:14" x14ac:dyDescent="0.2">
      <c r="A145" s="831" t="s">
        <v>917</v>
      </c>
      <c r="B145" s="859">
        <v>18</v>
      </c>
      <c r="C145" s="859">
        <f t="shared" ref="C145:N145" si="27">B148</f>
        <v>18</v>
      </c>
      <c r="D145" s="859">
        <f t="shared" si="27"/>
        <v>18</v>
      </c>
      <c r="E145" s="859">
        <f t="shared" si="27"/>
        <v>18</v>
      </c>
      <c r="F145" s="859">
        <f t="shared" si="27"/>
        <v>18</v>
      </c>
      <c r="G145" s="859">
        <f t="shared" si="27"/>
        <v>18</v>
      </c>
      <c r="H145" s="859">
        <f t="shared" si="27"/>
        <v>18</v>
      </c>
      <c r="I145" s="859">
        <f t="shared" si="27"/>
        <v>18</v>
      </c>
      <c r="J145" s="859">
        <f t="shared" si="27"/>
        <v>18</v>
      </c>
      <c r="K145" s="859">
        <f t="shared" si="27"/>
        <v>18</v>
      </c>
      <c r="L145" s="859">
        <f t="shared" si="27"/>
        <v>18</v>
      </c>
      <c r="M145" s="859">
        <f t="shared" si="27"/>
        <v>18</v>
      </c>
      <c r="N145" s="859">
        <f t="shared" si="27"/>
        <v>18</v>
      </c>
    </row>
    <row r="146" spans="1:14" x14ac:dyDescent="0.2">
      <c r="A146" s="831" t="s">
        <v>918</v>
      </c>
      <c r="B146" s="859"/>
      <c r="C146" s="859"/>
      <c r="D146" s="859"/>
      <c r="E146" s="859"/>
      <c r="F146" s="859"/>
      <c r="G146" s="859"/>
      <c r="H146" s="859"/>
      <c r="I146" s="859"/>
      <c r="J146" s="859"/>
      <c r="K146" s="859"/>
      <c r="L146" s="859"/>
      <c r="M146" s="859"/>
      <c r="N146" s="859">
        <f>SUM(B146:M146)/12</f>
        <v>0</v>
      </c>
    </row>
    <row r="147" spans="1:14" x14ac:dyDescent="0.2">
      <c r="A147" s="831" t="s">
        <v>919</v>
      </c>
      <c r="B147" s="859"/>
      <c r="C147" s="859"/>
      <c r="D147" s="859"/>
      <c r="E147" s="859"/>
      <c r="F147" s="859"/>
      <c r="G147" s="859"/>
      <c r="H147" s="859"/>
      <c r="I147" s="859"/>
      <c r="J147" s="859"/>
      <c r="K147" s="859"/>
      <c r="L147" s="859"/>
      <c r="M147" s="859"/>
      <c r="N147" s="859">
        <f>SUM(B146:M146)/12</f>
        <v>0</v>
      </c>
    </row>
    <row r="148" spans="1:14" x14ac:dyDescent="0.2">
      <c r="A148" s="831" t="s">
        <v>916</v>
      </c>
      <c r="B148" s="859">
        <f t="shared" ref="B148:M148" si="28">SUM(B145+B146-B147)</f>
        <v>18</v>
      </c>
      <c r="C148" s="859">
        <f t="shared" si="28"/>
        <v>18</v>
      </c>
      <c r="D148" s="859">
        <f t="shared" si="28"/>
        <v>18</v>
      </c>
      <c r="E148" s="859">
        <f t="shared" si="28"/>
        <v>18</v>
      </c>
      <c r="F148" s="859">
        <f t="shared" si="28"/>
        <v>18</v>
      </c>
      <c r="G148" s="859">
        <f t="shared" si="28"/>
        <v>18</v>
      </c>
      <c r="H148" s="859">
        <f t="shared" si="28"/>
        <v>18</v>
      </c>
      <c r="I148" s="859">
        <f t="shared" si="28"/>
        <v>18</v>
      </c>
      <c r="J148" s="859">
        <f t="shared" si="28"/>
        <v>18</v>
      </c>
      <c r="K148" s="859">
        <f t="shared" si="28"/>
        <v>18</v>
      </c>
      <c r="L148" s="859">
        <f t="shared" si="28"/>
        <v>18</v>
      </c>
      <c r="M148" s="859">
        <f t="shared" si="28"/>
        <v>18</v>
      </c>
      <c r="N148" s="859">
        <f>SUM(B147:M147)/12</f>
        <v>0</v>
      </c>
    </row>
    <row r="149" spans="1:14" x14ac:dyDescent="0.2">
      <c r="A149" s="831" t="s">
        <v>920</v>
      </c>
      <c r="B149" s="860">
        <f t="shared" ref="B149:M149" si="29">SUM(B148*100)/B145-100</f>
        <v>0</v>
      </c>
      <c r="C149" s="860">
        <f t="shared" si="29"/>
        <v>0</v>
      </c>
      <c r="D149" s="860">
        <f t="shared" si="29"/>
        <v>0</v>
      </c>
      <c r="E149" s="860">
        <f t="shared" si="29"/>
        <v>0</v>
      </c>
      <c r="F149" s="860">
        <f t="shared" si="29"/>
        <v>0</v>
      </c>
      <c r="G149" s="860">
        <f t="shared" si="29"/>
        <v>0</v>
      </c>
      <c r="H149" s="860">
        <f t="shared" si="29"/>
        <v>0</v>
      </c>
      <c r="I149" s="860">
        <f t="shared" si="29"/>
        <v>0</v>
      </c>
      <c r="J149" s="860">
        <f t="shared" si="29"/>
        <v>0</v>
      </c>
      <c r="K149" s="860">
        <f t="shared" si="29"/>
        <v>0</v>
      </c>
      <c r="L149" s="860">
        <f t="shared" si="29"/>
        <v>0</v>
      </c>
      <c r="M149" s="860">
        <f t="shared" si="29"/>
        <v>0</v>
      </c>
      <c r="N149" s="859"/>
    </row>
    <row r="150" spans="1:14" x14ac:dyDescent="0.2">
      <c r="A150" s="843" t="s">
        <v>921</v>
      </c>
      <c r="B150" s="861"/>
      <c r="C150" s="861"/>
      <c r="D150" s="862">
        <f>SUM(B149:D149/3)</f>
        <v>0</v>
      </c>
      <c r="E150" s="861"/>
      <c r="F150" s="861"/>
      <c r="G150" s="862">
        <f>SUM(E149:G149)/3</f>
        <v>0</v>
      </c>
      <c r="H150" s="861"/>
      <c r="I150" s="861"/>
      <c r="J150" s="862">
        <f>SUM(H149:J149)/3</f>
        <v>0</v>
      </c>
      <c r="K150" s="861"/>
      <c r="L150" s="861"/>
      <c r="M150" s="862">
        <f>SUM(K149:M149)/3</f>
        <v>0</v>
      </c>
      <c r="N150" s="861"/>
    </row>
    <row r="151" spans="1:14" x14ac:dyDescent="0.2">
      <c r="A151" s="843"/>
      <c r="B151" s="844"/>
      <c r="C151" s="844"/>
      <c r="D151" s="844"/>
      <c r="E151" s="844"/>
      <c r="F151" s="844"/>
      <c r="G151" s="844"/>
      <c r="H151" s="844"/>
      <c r="I151" s="844"/>
      <c r="J151" s="844"/>
      <c r="K151" s="844"/>
      <c r="L151" s="844"/>
      <c r="M151" s="844"/>
      <c r="N151" s="828"/>
    </row>
    <row r="152" spans="1:14" ht="15.75" x14ac:dyDescent="0.25">
      <c r="A152" s="858"/>
      <c r="B152" s="924"/>
      <c r="C152" s="924"/>
      <c r="D152" s="924"/>
      <c r="E152" s="924"/>
      <c r="F152" s="924"/>
      <c r="G152" s="953"/>
      <c r="H152" s="924"/>
      <c r="I152" s="924"/>
      <c r="J152" s="924"/>
      <c r="K152" s="924"/>
      <c r="L152" s="924"/>
      <c r="M152" s="924"/>
      <c r="N152" s="828"/>
    </row>
    <row r="153" spans="1:14" x14ac:dyDescent="0.2">
      <c r="A153" s="926" t="s">
        <v>1014</v>
      </c>
      <c r="B153" s="832" t="s">
        <v>863</v>
      </c>
      <c r="C153" s="832" t="s">
        <v>864</v>
      </c>
      <c r="D153" s="832" t="s">
        <v>865</v>
      </c>
      <c r="E153" s="832" t="s">
        <v>866</v>
      </c>
      <c r="F153" s="832" t="s">
        <v>867</v>
      </c>
      <c r="G153" s="832" t="s">
        <v>868</v>
      </c>
      <c r="H153" s="832" t="s">
        <v>857</v>
      </c>
      <c r="I153" s="832" t="s">
        <v>858</v>
      </c>
      <c r="J153" s="832" t="s">
        <v>859</v>
      </c>
      <c r="K153" s="832" t="s">
        <v>860</v>
      </c>
      <c r="L153" s="832" t="s">
        <v>861</v>
      </c>
      <c r="M153" s="832" t="s">
        <v>862</v>
      </c>
      <c r="N153" s="829" t="s">
        <v>137</v>
      </c>
    </row>
    <row r="154" spans="1:14" x14ac:dyDescent="0.2">
      <c r="A154" s="831" t="s">
        <v>1036</v>
      </c>
      <c r="B154" s="927">
        <v>81500</v>
      </c>
      <c r="C154" s="927">
        <v>81500</v>
      </c>
      <c r="D154" s="927">
        <v>81500</v>
      </c>
      <c r="E154" s="927">
        <v>81500</v>
      </c>
      <c r="F154" s="927">
        <v>81500</v>
      </c>
      <c r="G154" s="927">
        <v>81500</v>
      </c>
      <c r="H154" s="927">
        <v>81500</v>
      </c>
      <c r="I154" s="927">
        <v>81500</v>
      </c>
      <c r="J154" s="927">
        <v>81500</v>
      </c>
      <c r="K154" s="927">
        <v>81500</v>
      </c>
      <c r="L154" s="927">
        <v>81500</v>
      </c>
      <c r="M154" s="927">
        <v>81500</v>
      </c>
      <c r="N154" s="927">
        <f>SUM(B154:M154)</f>
        <v>978000</v>
      </c>
    </row>
    <row r="155" spans="1:14" x14ac:dyDescent="0.2">
      <c r="A155" s="831" t="s">
        <v>1123</v>
      </c>
      <c r="B155" s="927">
        <v>0</v>
      </c>
      <c r="C155" s="927">
        <v>0</v>
      </c>
      <c r="D155" s="927">
        <v>0</v>
      </c>
      <c r="E155" s="927">
        <v>0</v>
      </c>
      <c r="F155" s="927">
        <v>0</v>
      </c>
      <c r="G155" s="927">
        <v>0</v>
      </c>
      <c r="H155" s="927">
        <v>0</v>
      </c>
      <c r="I155" s="927">
        <v>0</v>
      </c>
      <c r="J155" s="927">
        <v>0</v>
      </c>
      <c r="K155" s="927">
        <v>0</v>
      </c>
      <c r="L155" s="927">
        <v>0</v>
      </c>
      <c r="M155" s="927">
        <v>0</v>
      </c>
      <c r="N155" s="927">
        <f>SUM(B155:M155)</f>
        <v>0</v>
      </c>
    </row>
    <row r="156" spans="1:14" x14ac:dyDescent="0.2">
      <c r="A156" s="954" t="s">
        <v>1038</v>
      </c>
      <c r="B156" s="940">
        <v>83300</v>
      </c>
      <c r="C156" s="940">
        <v>83300</v>
      </c>
      <c r="D156" s="940">
        <v>83300</v>
      </c>
      <c r="E156" s="940">
        <v>83300</v>
      </c>
      <c r="F156" s="940">
        <v>83300</v>
      </c>
      <c r="G156" s="940">
        <v>83300</v>
      </c>
      <c r="H156" s="940">
        <v>83300</v>
      </c>
      <c r="I156" s="940">
        <v>83300</v>
      </c>
      <c r="J156" s="940">
        <v>83300</v>
      </c>
      <c r="K156" s="940">
        <v>83300</v>
      </c>
      <c r="L156" s="940">
        <v>83300</v>
      </c>
      <c r="M156" s="940">
        <v>83300</v>
      </c>
      <c r="N156" s="927">
        <f>SUM(B156:M156)</f>
        <v>999600</v>
      </c>
    </row>
    <row r="157" spans="1:14" x14ac:dyDescent="0.2">
      <c r="A157" s="931" t="s">
        <v>1039</v>
      </c>
      <c r="B157" s="932">
        <f t="shared" ref="B157:N157" si="30">SUM(B154:B156)</f>
        <v>164800</v>
      </c>
      <c r="C157" s="932">
        <f t="shared" si="30"/>
        <v>164800</v>
      </c>
      <c r="D157" s="932">
        <f t="shared" si="30"/>
        <v>164800</v>
      </c>
      <c r="E157" s="932">
        <f t="shared" si="30"/>
        <v>164800</v>
      </c>
      <c r="F157" s="932">
        <f t="shared" si="30"/>
        <v>164800</v>
      </c>
      <c r="G157" s="932">
        <f t="shared" si="30"/>
        <v>164800</v>
      </c>
      <c r="H157" s="932">
        <f t="shared" si="30"/>
        <v>164800</v>
      </c>
      <c r="I157" s="932">
        <f t="shared" si="30"/>
        <v>164800</v>
      </c>
      <c r="J157" s="932">
        <f t="shared" si="30"/>
        <v>164800</v>
      </c>
      <c r="K157" s="932">
        <f t="shared" si="30"/>
        <v>164800</v>
      </c>
      <c r="L157" s="932">
        <f t="shared" si="30"/>
        <v>164800</v>
      </c>
      <c r="M157" s="932">
        <f t="shared" si="30"/>
        <v>164800</v>
      </c>
      <c r="N157" s="932">
        <f t="shared" si="30"/>
        <v>1977600</v>
      </c>
    </row>
    <row r="158" spans="1:14" x14ac:dyDescent="0.2">
      <c r="A158" s="829" t="s">
        <v>1040</v>
      </c>
      <c r="B158" s="927">
        <v>11031</v>
      </c>
      <c r="C158" s="927">
        <v>11638</v>
      </c>
      <c r="D158" s="927">
        <v>11775</v>
      </c>
      <c r="E158" s="927">
        <v>14738</v>
      </c>
      <c r="F158" s="927">
        <v>12950</v>
      </c>
      <c r="G158" s="955">
        <v>21516</v>
      </c>
      <c r="H158" s="927">
        <v>1400</v>
      </c>
      <c r="I158" s="927">
        <v>7198</v>
      </c>
      <c r="J158" s="927">
        <v>14287</v>
      </c>
      <c r="K158" s="927">
        <v>11377</v>
      </c>
      <c r="L158" s="927">
        <v>11724</v>
      </c>
      <c r="M158" s="927">
        <v>5600</v>
      </c>
      <c r="N158" s="927">
        <f>SUM(B158:M158)</f>
        <v>135234</v>
      </c>
    </row>
    <row r="159" spans="1:14" x14ac:dyDescent="0.2">
      <c r="A159" s="829" t="s">
        <v>1023</v>
      </c>
      <c r="B159" s="927"/>
      <c r="C159" s="927"/>
      <c r="D159" s="927">
        <v>1350</v>
      </c>
      <c r="E159" s="927">
        <v>1350</v>
      </c>
      <c r="F159" s="927">
        <v>900</v>
      </c>
      <c r="G159" s="955"/>
      <c r="H159" s="927"/>
      <c r="I159" s="927"/>
      <c r="J159" s="927"/>
      <c r="K159" s="927"/>
      <c r="L159" s="927">
        <v>1500</v>
      </c>
      <c r="M159" s="927">
        <v>1650</v>
      </c>
      <c r="N159" s="927">
        <f>SUM(B159:M159)</f>
        <v>6750</v>
      </c>
    </row>
    <row r="160" spans="1:14" x14ac:dyDescent="0.2">
      <c r="A160" s="829" t="s">
        <v>1041</v>
      </c>
      <c r="B160" s="927">
        <v>8820</v>
      </c>
      <c r="C160" s="927">
        <v>4000</v>
      </c>
      <c r="D160" s="927">
        <v>5600</v>
      </c>
      <c r="E160" s="927">
        <v>5870</v>
      </c>
      <c r="F160" s="927">
        <v>6090</v>
      </c>
      <c r="G160" s="955">
        <v>21430</v>
      </c>
      <c r="H160" s="927"/>
      <c r="I160" s="927">
        <v>9450</v>
      </c>
      <c r="J160" s="927">
        <v>9135</v>
      </c>
      <c r="K160" s="927">
        <v>7350</v>
      </c>
      <c r="L160" s="927">
        <v>8190</v>
      </c>
      <c r="M160" s="927">
        <v>5670</v>
      </c>
      <c r="N160" s="927">
        <f>SUM(B160:M160)</f>
        <v>91605</v>
      </c>
    </row>
    <row r="161" spans="1:15" x14ac:dyDescent="0.2">
      <c r="A161" s="829" t="s">
        <v>1021</v>
      </c>
      <c r="B161" s="927">
        <v>346281.25</v>
      </c>
      <c r="C161" s="927">
        <v>69825</v>
      </c>
      <c r="D161" s="927">
        <v>225093.75</v>
      </c>
      <c r="E161" s="927">
        <v>172637.5</v>
      </c>
      <c r="F161" s="927">
        <v>188472.13</v>
      </c>
      <c r="G161" s="927">
        <v>236769.26</v>
      </c>
      <c r="H161" s="927">
        <v>25475</v>
      </c>
      <c r="I161" s="927">
        <v>177975</v>
      </c>
      <c r="J161" s="927">
        <v>182522.13</v>
      </c>
      <c r="K161" s="927">
        <v>158325.39000000001</v>
      </c>
      <c r="L161" s="927">
        <v>216647.13</v>
      </c>
      <c r="M161" s="929">
        <v>214068.63</v>
      </c>
      <c r="N161" s="927">
        <f>SUM(B161:M161)</f>
        <v>2214092.17</v>
      </c>
    </row>
    <row r="162" spans="1:15" x14ac:dyDescent="0.2">
      <c r="A162" s="938" t="s">
        <v>1042</v>
      </c>
      <c r="B162" s="940">
        <v>39195.5</v>
      </c>
      <c r="C162" s="940">
        <v>8485</v>
      </c>
      <c r="D162" s="940">
        <v>33979.75</v>
      </c>
      <c r="E162" s="940">
        <v>25325.25</v>
      </c>
      <c r="F162" s="940">
        <v>26527.75</v>
      </c>
      <c r="G162" s="940">
        <v>66934.5</v>
      </c>
      <c r="H162" s="940">
        <v>8038</v>
      </c>
      <c r="I162" s="940">
        <v>38167.5</v>
      </c>
      <c r="J162" s="940">
        <v>44921.5</v>
      </c>
      <c r="K162" s="940">
        <v>24644</v>
      </c>
      <c r="L162" s="940">
        <v>28026.25</v>
      </c>
      <c r="M162" s="927">
        <v>41129</v>
      </c>
      <c r="N162" s="927">
        <f>SUM(B162:M162)</f>
        <v>385374</v>
      </c>
    </row>
    <row r="163" spans="1:15" x14ac:dyDescent="0.2">
      <c r="A163" s="956" t="s">
        <v>1028</v>
      </c>
      <c r="B163" s="957">
        <f t="shared" ref="B163:N163" si="31">SUM(B158:B162)</f>
        <v>405327.75</v>
      </c>
      <c r="C163" s="957">
        <f t="shared" si="31"/>
        <v>93948</v>
      </c>
      <c r="D163" s="957">
        <f t="shared" si="31"/>
        <v>277798.5</v>
      </c>
      <c r="E163" s="957">
        <f t="shared" si="31"/>
        <v>219920.75</v>
      </c>
      <c r="F163" s="957">
        <f t="shared" si="31"/>
        <v>234939.88</v>
      </c>
      <c r="G163" s="957">
        <f t="shared" si="31"/>
        <v>346649.76</v>
      </c>
      <c r="H163" s="957">
        <f t="shared" si="31"/>
        <v>34913</v>
      </c>
      <c r="I163" s="957">
        <f t="shared" si="31"/>
        <v>232790.5</v>
      </c>
      <c r="J163" s="957">
        <f t="shared" si="31"/>
        <v>250865.63</v>
      </c>
      <c r="K163" s="957">
        <f t="shared" si="31"/>
        <v>201696.39</v>
      </c>
      <c r="L163" s="957">
        <f t="shared" si="31"/>
        <v>266087.38</v>
      </c>
      <c r="M163" s="958">
        <f t="shared" si="31"/>
        <v>268117.63</v>
      </c>
      <c r="N163" s="957">
        <f t="shared" si="31"/>
        <v>2833055.17</v>
      </c>
    </row>
    <row r="164" spans="1:15" x14ac:dyDescent="0.2">
      <c r="A164" s="829" t="s">
        <v>1029</v>
      </c>
      <c r="B164" s="929">
        <v>0</v>
      </c>
      <c r="C164" s="929">
        <v>0</v>
      </c>
      <c r="D164" s="929">
        <v>0</v>
      </c>
      <c r="E164" s="929">
        <v>0</v>
      </c>
      <c r="F164" s="929">
        <v>0</v>
      </c>
      <c r="G164" s="929">
        <v>0</v>
      </c>
      <c r="H164" s="929">
        <v>0</v>
      </c>
      <c r="I164" s="929">
        <v>0</v>
      </c>
      <c r="J164" s="929">
        <v>0</v>
      </c>
      <c r="K164" s="929">
        <v>0</v>
      </c>
      <c r="L164" s="929">
        <v>0</v>
      </c>
      <c r="M164" s="940">
        <v>0</v>
      </c>
      <c r="N164" s="929">
        <f>SUM(B164:M164)</f>
        <v>0</v>
      </c>
      <c r="O164" s="784"/>
    </row>
    <row r="165" spans="1:15" x14ac:dyDescent="0.2">
      <c r="A165" s="959" t="s">
        <v>1030</v>
      </c>
      <c r="B165" s="960">
        <f t="shared" ref="B165:N165" si="32">SUM(B157,B163,B164)</f>
        <v>570127.75</v>
      </c>
      <c r="C165" s="960">
        <f t="shared" si="32"/>
        <v>258748</v>
      </c>
      <c r="D165" s="960">
        <f t="shared" si="32"/>
        <v>442598.5</v>
      </c>
      <c r="E165" s="960">
        <f t="shared" si="32"/>
        <v>384720.75</v>
      </c>
      <c r="F165" s="960">
        <f t="shared" si="32"/>
        <v>399739.88</v>
      </c>
      <c r="G165" s="960">
        <f t="shared" si="32"/>
        <v>511449.76</v>
      </c>
      <c r="H165" s="960">
        <f t="shared" si="32"/>
        <v>199713</v>
      </c>
      <c r="I165" s="960">
        <f t="shared" si="32"/>
        <v>397590.5</v>
      </c>
      <c r="J165" s="960">
        <f t="shared" si="32"/>
        <v>415665.63</v>
      </c>
      <c r="K165" s="960">
        <f t="shared" si="32"/>
        <v>366496.39</v>
      </c>
      <c r="L165" s="960">
        <f t="shared" si="32"/>
        <v>430887.38</v>
      </c>
      <c r="M165" s="960">
        <f t="shared" si="32"/>
        <v>432917.63</v>
      </c>
      <c r="N165" s="960">
        <f t="shared" si="32"/>
        <v>4810655.17</v>
      </c>
    </row>
    <row r="166" spans="1:15" x14ac:dyDescent="0.2">
      <c r="A166" s="934" t="s">
        <v>1031</v>
      </c>
      <c r="B166" s="961">
        <v>487000</v>
      </c>
      <c r="C166" s="961">
        <v>487000</v>
      </c>
      <c r="D166" s="961">
        <v>487000</v>
      </c>
      <c r="E166" s="961">
        <v>487000</v>
      </c>
      <c r="F166" s="961">
        <v>487000</v>
      </c>
      <c r="G166" s="961">
        <v>487000</v>
      </c>
      <c r="H166" s="961">
        <v>487000</v>
      </c>
      <c r="I166" s="961">
        <v>487000</v>
      </c>
      <c r="J166" s="961">
        <v>487000</v>
      </c>
      <c r="K166" s="961">
        <v>487000</v>
      </c>
      <c r="L166" s="961">
        <v>487000</v>
      </c>
      <c r="M166" s="961">
        <v>487000</v>
      </c>
      <c r="N166" s="962">
        <f>SUM(B166:M166)</f>
        <v>5844000</v>
      </c>
    </row>
    <row r="167" spans="1:15" x14ac:dyDescent="0.2">
      <c r="A167" s="963" t="s">
        <v>1033</v>
      </c>
      <c r="B167" s="964">
        <f t="shared" ref="B167:N167" si="33">SUM(B165-B166)</f>
        <v>83127.75</v>
      </c>
      <c r="C167" s="964">
        <f t="shared" si="33"/>
        <v>-228252</v>
      </c>
      <c r="D167" s="964">
        <f t="shared" si="33"/>
        <v>-44401.5</v>
      </c>
      <c r="E167" s="964">
        <f t="shared" si="33"/>
        <v>-102279.25</v>
      </c>
      <c r="F167" s="964">
        <f t="shared" si="33"/>
        <v>-87260.12</v>
      </c>
      <c r="G167" s="964">
        <f t="shared" si="33"/>
        <v>24449.760000000009</v>
      </c>
      <c r="H167" s="964">
        <f t="shared" si="33"/>
        <v>-287287</v>
      </c>
      <c r="I167" s="964">
        <f t="shared" si="33"/>
        <v>-89409.5</v>
      </c>
      <c r="J167" s="964">
        <f t="shared" si="33"/>
        <v>-71334.37</v>
      </c>
      <c r="K167" s="964">
        <f t="shared" si="33"/>
        <v>-120503.60999999999</v>
      </c>
      <c r="L167" s="964">
        <f t="shared" si="33"/>
        <v>-56112.619999999995</v>
      </c>
      <c r="M167" s="964">
        <f t="shared" si="33"/>
        <v>-54082.369999999995</v>
      </c>
      <c r="N167" s="964">
        <f t="shared" si="33"/>
        <v>-1033344.8300000001</v>
      </c>
    </row>
    <row r="168" spans="1:15" x14ac:dyDescent="0.2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</row>
    <row r="170" spans="1:15" ht="20.25" x14ac:dyDescent="0.3">
      <c r="A170" s="1796" t="s">
        <v>1151</v>
      </c>
      <c r="B170" s="1796"/>
      <c r="C170" s="1796"/>
      <c r="D170" s="1796"/>
      <c r="E170" s="1796"/>
      <c r="F170" s="1796"/>
      <c r="G170" s="1796"/>
      <c r="H170" s="1796"/>
      <c r="I170" s="1796"/>
      <c r="J170" s="1796"/>
      <c r="K170" s="1796"/>
      <c r="L170" s="1796"/>
      <c r="M170" s="1796"/>
      <c r="N170" s="1796"/>
    </row>
    <row r="171" spans="1:15" x14ac:dyDescent="0.2">
      <c r="A171" s="828"/>
      <c r="B171" s="828"/>
      <c r="C171" s="828"/>
      <c r="D171" s="828"/>
      <c r="E171" s="828"/>
      <c r="F171" s="828"/>
      <c r="G171" s="828"/>
      <c r="H171" s="828"/>
      <c r="I171" s="828"/>
      <c r="J171" s="828"/>
      <c r="K171" s="828"/>
      <c r="L171" s="828"/>
      <c r="M171" s="828"/>
    </row>
    <row r="172" spans="1:15" x14ac:dyDescent="0.2">
      <c r="A172" s="829"/>
      <c r="B172" s="656" t="s">
        <v>863</v>
      </c>
      <c r="C172" s="656" t="s">
        <v>864</v>
      </c>
      <c r="D172" s="830" t="s">
        <v>865</v>
      </c>
      <c r="E172" s="656" t="s">
        <v>866</v>
      </c>
      <c r="F172" s="656" t="s">
        <v>867</v>
      </c>
      <c r="G172" s="830" t="s">
        <v>868</v>
      </c>
      <c r="H172" s="656" t="s">
        <v>857</v>
      </c>
      <c r="I172" s="656" t="s">
        <v>858</v>
      </c>
      <c r="J172" s="656" t="s">
        <v>859</v>
      </c>
      <c r="K172" s="656" t="s">
        <v>860</v>
      </c>
      <c r="L172" s="656" t="s">
        <v>861</v>
      </c>
      <c r="M172" s="656" t="s">
        <v>862</v>
      </c>
      <c r="N172" s="829" t="s">
        <v>137</v>
      </c>
    </row>
    <row r="173" spans="1:15" x14ac:dyDescent="0.2">
      <c r="A173" s="831" t="s">
        <v>332</v>
      </c>
      <c r="B173" s="832">
        <v>1924</v>
      </c>
      <c r="C173" s="832">
        <v>1924</v>
      </c>
      <c r="D173" s="832">
        <v>1924</v>
      </c>
      <c r="E173" s="832">
        <v>1924</v>
      </c>
      <c r="F173" s="832">
        <v>1924</v>
      </c>
      <c r="G173" s="832">
        <v>1924</v>
      </c>
      <c r="H173" s="832">
        <v>1924</v>
      </c>
      <c r="I173" s="832">
        <v>1924</v>
      </c>
      <c r="J173" s="832">
        <v>1924</v>
      </c>
      <c r="K173" s="832">
        <v>1924</v>
      </c>
      <c r="L173" s="832">
        <v>1924</v>
      </c>
      <c r="M173" s="832">
        <v>1924</v>
      </c>
      <c r="N173" s="832">
        <f t="shared" ref="N173:N184" si="34">SUM(B173:M173)</f>
        <v>23088</v>
      </c>
    </row>
    <row r="174" spans="1:15" x14ac:dyDescent="0.2">
      <c r="A174" s="831" t="s">
        <v>893</v>
      </c>
      <c r="B174" s="832">
        <v>7</v>
      </c>
      <c r="C174" s="832">
        <v>0</v>
      </c>
      <c r="D174" s="832">
        <v>0</v>
      </c>
      <c r="E174" s="832">
        <v>14</v>
      </c>
      <c r="F174" s="832">
        <v>0</v>
      </c>
      <c r="G174" s="833">
        <v>0</v>
      </c>
      <c r="H174" s="832">
        <v>0</v>
      </c>
      <c r="I174" s="832">
        <v>35.75</v>
      </c>
      <c r="J174" s="834">
        <v>0</v>
      </c>
      <c r="K174" s="832">
        <v>0</v>
      </c>
      <c r="L174" s="832">
        <v>24</v>
      </c>
      <c r="M174" s="832">
        <v>0</v>
      </c>
      <c r="N174" s="832">
        <f t="shared" si="34"/>
        <v>80.75</v>
      </c>
    </row>
    <row r="175" spans="1:15" x14ac:dyDescent="0.2">
      <c r="A175" s="831" t="s">
        <v>894</v>
      </c>
      <c r="B175" s="832">
        <v>0</v>
      </c>
      <c r="C175" s="832">
        <v>0</v>
      </c>
      <c r="D175" s="832">
        <v>0</v>
      </c>
      <c r="E175" s="832">
        <v>0</v>
      </c>
      <c r="F175" s="832">
        <v>0</v>
      </c>
      <c r="G175" s="833">
        <v>0</v>
      </c>
      <c r="H175" s="832">
        <v>0</v>
      </c>
      <c r="I175" s="832">
        <v>0</v>
      </c>
      <c r="J175" s="832">
        <v>0</v>
      </c>
      <c r="K175" s="832">
        <v>0</v>
      </c>
      <c r="L175" s="832">
        <v>0</v>
      </c>
      <c r="M175" s="832">
        <v>0</v>
      </c>
      <c r="N175" s="832">
        <f t="shared" si="34"/>
        <v>0</v>
      </c>
    </row>
    <row r="176" spans="1:15" x14ac:dyDescent="0.2">
      <c r="A176" s="831" t="s">
        <v>896</v>
      </c>
      <c r="B176" s="832">
        <v>111</v>
      </c>
      <c r="C176" s="832">
        <v>185</v>
      </c>
      <c r="D176" s="832">
        <v>66.75</v>
      </c>
      <c r="E176" s="832">
        <v>192.25</v>
      </c>
      <c r="F176" s="832">
        <v>43</v>
      </c>
      <c r="G176" s="833">
        <v>114.5</v>
      </c>
      <c r="H176" s="832">
        <v>523</v>
      </c>
      <c r="I176" s="832">
        <v>454</v>
      </c>
      <c r="J176" s="832">
        <v>266.25</v>
      </c>
      <c r="K176" s="832">
        <v>115.25</v>
      </c>
      <c r="L176" s="832">
        <v>15.5</v>
      </c>
      <c r="M176" s="832">
        <v>86</v>
      </c>
      <c r="N176" s="832">
        <f t="shared" si="34"/>
        <v>2172.5</v>
      </c>
    </row>
    <row r="177" spans="1:14" x14ac:dyDescent="0.2">
      <c r="A177" s="831" t="s">
        <v>897</v>
      </c>
      <c r="B177" s="832">
        <v>39</v>
      </c>
      <c r="C177" s="832">
        <v>15.5</v>
      </c>
      <c r="D177" s="832">
        <v>0</v>
      </c>
      <c r="E177" s="832">
        <v>124.25</v>
      </c>
      <c r="F177" s="832">
        <v>0</v>
      </c>
      <c r="G177" s="833">
        <v>0</v>
      </c>
      <c r="H177" s="832"/>
      <c r="I177" s="832">
        <v>0</v>
      </c>
      <c r="J177" s="832">
        <v>0</v>
      </c>
      <c r="K177" s="832">
        <v>0</v>
      </c>
      <c r="L177" s="832">
        <v>37</v>
      </c>
      <c r="M177" s="832">
        <v>0</v>
      </c>
      <c r="N177" s="832">
        <f t="shared" si="34"/>
        <v>215.75</v>
      </c>
    </row>
    <row r="178" spans="1:14" x14ac:dyDescent="0.2">
      <c r="A178" s="831" t="s">
        <v>898</v>
      </c>
      <c r="B178" s="832">
        <v>72.25</v>
      </c>
      <c r="C178" s="832">
        <v>154.5</v>
      </c>
      <c r="D178" s="832">
        <v>197.25</v>
      </c>
      <c r="E178" s="832">
        <v>31</v>
      </c>
      <c r="F178" s="832">
        <v>52.5</v>
      </c>
      <c r="G178" s="833">
        <v>29.25</v>
      </c>
      <c r="H178" s="832">
        <v>35.75</v>
      </c>
      <c r="I178" s="832">
        <v>0</v>
      </c>
      <c r="J178" s="832">
        <v>45.75</v>
      </c>
      <c r="K178" s="832">
        <v>38.75</v>
      </c>
      <c r="L178" s="832">
        <v>69.5</v>
      </c>
      <c r="M178" s="832">
        <v>162.75</v>
      </c>
      <c r="N178" s="832">
        <f t="shared" si="34"/>
        <v>889.25</v>
      </c>
    </row>
    <row r="179" spans="1:14" x14ac:dyDescent="0.2">
      <c r="A179" s="831" t="s">
        <v>899</v>
      </c>
      <c r="B179" s="832">
        <v>0</v>
      </c>
      <c r="C179" s="832">
        <v>7.5</v>
      </c>
      <c r="D179" s="832">
        <v>0</v>
      </c>
      <c r="E179" s="832">
        <v>0</v>
      </c>
      <c r="F179" s="832">
        <v>7.5</v>
      </c>
      <c r="G179" s="833">
        <v>15.5</v>
      </c>
      <c r="H179" s="832">
        <v>0</v>
      </c>
      <c r="I179" s="832">
        <v>0</v>
      </c>
      <c r="J179" s="832">
        <v>0</v>
      </c>
      <c r="K179" s="832">
        <v>0</v>
      </c>
      <c r="L179" s="832">
        <v>0</v>
      </c>
      <c r="M179" s="832">
        <v>0</v>
      </c>
      <c r="N179" s="832">
        <f t="shared" si="34"/>
        <v>30.5</v>
      </c>
    </row>
    <row r="180" spans="1:14" x14ac:dyDescent="0.2">
      <c r="A180" s="831" t="s">
        <v>900</v>
      </c>
      <c r="B180" s="832">
        <v>22.75</v>
      </c>
      <c r="C180" s="832">
        <v>23.25</v>
      </c>
      <c r="D180" s="832">
        <v>44.75</v>
      </c>
      <c r="E180" s="832">
        <v>7.5</v>
      </c>
      <c r="F180" s="832">
        <v>55.75</v>
      </c>
      <c r="G180" s="833">
        <v>14.5</v>
      </c>
      <c r="H180" s="832">
        <v>7</v>
      </c>
      <c r="I180" s="832">
        <v>7.75</v>
      </c>
      <c r="J180" s="832">
        <v>13.75</v>
      </c>
      <c r="K180" s="832">
        <v>40.5</v>
      </c>
      <c r="L180" s="832">
        <v>6</v>
      </c>
      <c r="M180" s="832">
        <v>13.5</v>
      </c>
      <c r="N180" s="832">
        <f t="shared" si="34"/>
        <v>257</v>
      </c>
    </row>
    <row r="181" spans="1:14" x14ac:dyDescent="0.2">
      <c r="A181" s="831" t="s">
        <v>901</v>
      </c>
      <c r="B181" s="832">
        <v>0</v>
      </c>
      <c r="C181" s="832">
        <v>0</v>
      </c>
      <c r="D181" s="832">
        <v>0</v>
      </c>
      <c r="E181" s="832">
        <v>0</v>
      </c>
      <c r="F181" s="832">
        <v>0</v>
      </c>
      <c r="G181" s="833">
        <v>0</v>
      </c>
      <c r="H181" s="832">
        <v>0</v>
      </c>
      <c r="I181" s="832">
        <v>0</v>
      </c>
      <c r="J181" s="832">
        <v>0</v>
      </c>
      <c r="K181" s="832">
        <v>0</v>
      </c>
      <c r="L181" s="832">
        <v>0</v>
      </c>
      <c r="M181" s="832">
        <v>0</v>
      </c>
      <c r="N181" s="832">
        <f t="shared" si="34"/>
        <v>0</v>
      </c>
    </row>
    <row r="182" spans="1:14" x14ac:dyDescent="0.2">
      <c r="A182" s="831" t="s">
        <v>902</v>
      </c>
      <c r="B182" s="832">
        <v>7.5</v>
      </c>
      <c r="C182" s="832">
        <v>15.25</v>
      </c>
      <c r="D182" s="832">
        <v>7.5</v>
      </c>
      <c r="E182" s="832">
        <v>0</v>
      </c>
      <c r="F182" s="832">
        <v>0</v>
      </c>
      <c r="G182" s="833">
        <v>0</v>
      </c>
      <c r="H182" s="832">
        <v>0</v>
      </c>
      <c r="I182" s="832">
        <v>0</v>
      </c>
      <c r="J182" s="832">
        <v>0</v>
      </c>
      <c r="K182" s="832">
        <v>0</v>
      </c>
      <c r="L182" s="832">
        <v>69</v>
      </c>
      <c r="M182" s="832">
        <v>53.75</v>
      </c>
      <c r="N182" s="832">
        <f t="shared" si="34"/>
        <v>153</v>
      </c>
    </row>
    <row r="183" spans="1:14" x14ac:dyDescent="0.2">
      <c r="A183" s="835" t="s">
        <v>903</v>
      </c>
      <c r="B183" s="836">
        <v>0</v>
      </c>
      <c r="C183" s="836">
        <v>7.5</v>
      </c>
      <c r="D183" s="836">
        <v>0</v>
      </c>
      <c r="E183" s="836">
        <v>0</v>
      </c>
      <c r="F183" s="836">
        <v>0</v>
      </c>
      <c r="G183" s="837">
        <v>0</v>
      </c>
      <c r="H183" s="836">
        <v>0</v>
      </c>
      <c r="I183" s="836">
        <v>0</v>
      </c>
      <c r="J183" s="836">
        <v>0</v>
      </c>
      <c r="K183" s="836">
        <v>0</v>
      </c>
      <c r="L183" s="836">
        <v>0</v>
      </c>
      <c r="M183" s="836">
        <v>15</v>
      </c>
      <c r="N183" s="838">
        <f t="shared" si="34"/>
        <v>22.5</v>
      </c>
    </row>
    <row r="184" spans="1:14" x14ac:dyDescent="0.2">
      <c r="A184" s="839" t="s">
        <v>904</v>
      </c>
      <c r="B184" s="840">
        <f t="shared" ref="B184:M184" si="35">SUM(B173+B174+B175-B176-B177-B178-B180-B181-B182-B183)</f>
        <v>1678.5</v>
      </c>
      <c r="C184" s="840">
        <f t="shared" si="35"/>
        <v>1523</v>
      </c>
      <c r="D184" s="840">
        <f t="shared" si="35"/>
        <v>1607.75</v>
      </c>
      <c r="E184" s="840">
        <f t="shared" si="35"/>
        <v>1583</v>
      </c>
      <c r="F184" s="840">
        <f t="shared" si="35"/>
        <v>1772.75</v>
      </c>
      <c r="G184" s="952">
        <f t="shared" si="35"/>
        <v>1765.75</v>
      </c>
      <c r="H184" s="840">
        <f t="shared" si="35"/>
        <v>1358.25</v>
      </c>
      <c r="I184" s="840">
        <f t="shared" si="35"/>
        <v>1498</v>
      </c>
      <c r="J184" s="840">
        <f t="shared" si="35"/>
        <v>1598.25</v>
      </c>
      <c r="K184" s="840">
        <f t="shared" si="35"/>
        <v>1729.5</v>
      </c>
      <c r="L184" s="840">
        <f t="shared" si="35"/>
        <v>1751</v>
      </c>
      <c r="M184" s="841">
        <f t="shared" si="35"/>
        <v>1593</v>
      </c>
      <c r="N184" s="842">
        <f t="shared" si="34"/>
        <v>19458.75</v>
      </c>
    </row>
    <row r="185" spans="1:14" x14ac:dyDescent="0.2">
      <c r="A185" s="843"/>
      <c r="B185" s="844"/>
      <c r="C185" s="844"/>
      <c r="D185" s="844"/>
      <c r="E185" s="844"/>
      <c r="F185" s="844"/>
      <c r="G185" s="844"/>
      <c r="H185" s="844"/>
      <c r="I185" s="844"/>
      <c r="J185" s="844"/>
      <c r="K185" s="844"/>
      <c r="L185" s="844"/>
      <c r="M185" s="844"/>
      <c r="N185" s="844"/>
    </row>
    <row r="186" spans="1:14" x14ac:dyDescent="0.2">
      <c r="A186" s="843"/>
      <c r="B186" s="844"/>
      <c r="C186" s="844"/>
      <c r="D186" s="844"/>
      <c r="E186" s="844"/>
      <c r="F186" s="844"/>
      <c r="G186" s="844"/>
      <c r="H186" s="844"/>
      <c r="I186" s="844"/>
      <c r="J186" s="844"/>
      <c r="K186" s="844"/>
      <c r="L186" s="844"/>
      <c r="M186" s="844"/>
      <c r="N186" s="845" t="s">
        <v>905</v>
      </c>
    </row>
    <row r="187" spans="1:14" x14ac:dyDescent="0.2">
      <c r="A187" s="831" t="s">
        <v>906</v>
      </c>
      <c r="B187" s="832">
        <f t="shared" ref="B187:M187" si="36">SUM(B174*100/B184)</f>
        <v>0.41703902293714629</v>
      </c>
      <c r="C187" s="832">
        <f t="shared" si="36"/>
        <v>0</v>
      </c>
      <c r="D187" s="832">
        <f t="shared" si="36"/>
        <v>0</v>
      </c>
      <c r="E187" s="832">
        <f t="shared" si="36"/>
        <v>0.8843967150979154</v>
      </c>
      <c r="F187" s="832">
        <f t="shared" si="36"/>
        <v>0</v>
      </c>
      <c r="G187" s="832">
        <f t="shared" si="36"/>
        <v>0</v>
      </c>
      <c r="H187" s="832">
        <f t="shared" si="36"/>
        <v>0</v>
      </c>
      <c r="I187" s="832">
        <f t="shared" si="36"/>
        <v>2.3865153538050734</v>
      </c>
      <c r="J187" s="832">
        <f t="shared" si="36"/>
        <v>0</v>
      </c>
      <c r="K187" s="832">
        <f t="shared" si="36"/>
        <v>0</v>
      </c>
      <c r="L187" s="832">
        <f t="shared" si="36"/>
        <v>1.3706453455168475</v>
      </c>
      <c r="M187" s="832">
        <f t="shared" si="36"/>
        <v>0</v>
      </c>
      <c r="N187" s="846">
        <f>SUM(B187:M187)/12</f>
        <v>0.42154970311308188</v>
      </c>
    </row>
    <row r="188" spans="1:14" x14ac:dyDescent="0.2">
      <c r="A188" s="843"/>
      <c r="B188" s="844"/>
      <c r="C188" s="844"/>
      <c r="D188" s="844"/>
      <c r="E188" s="844"/>
      <c r="F188" s="844"/>
      <c r="G188" s="844"/>
      <c r="H188" s="844"/>
      <c r="I188" s="844"/>
      <c r="J188" s="844"/>
      <c r="K188" s="844"/>
      <c r="L188" s="844"/>
      <c r="M188" s="844"/>
      <c r="N188" s="828"/>
    </row>
    <row r="189" spans="1:14" x14ac:dyDescent="0.2">
      <c r="A189" s="831" t="s">
        <v>907</v>
      </c>
      <c r="B189" s="832">
        <f t="shared" ref="B189:M189" si="37">SUM(B178*100/B184)</f>
        <v>4.3044384867441163</v>
      </c>
      <c r="C189" s="832">
        <f t="shared" si="37"/>
        <v>10.144451739986868</v>
      </c>
      <c r="D189" s="832">
        <f t="shared" si="37"/>
        <v>12.268698491680921</v>
      </c>
      <c r="E189" s="832">
        <f t="shared" si="37"/>
        <v>1.9583070120025268</v>
      </c>
      <c r="F189" s="832">
        <f t="shared" si="37"/>
        <v>2.9615004935834155</v>
      </c>
      <c r="G189" s="832">
        <f t="shared" si="37"/>
        <v>1.6565198923969984</v>
      </c>
      <c r="H189" s="832">
        <f t="shared" si="37"/>
        <v>2.6320633167679</v>
      </c>
      <c r="I189" s="832">
        <f t="shared" si="37"/>
        <v>0</v>
      </c>
      <c r="J189" s="832">
        <f t="shared" si="37"/>
        <v>2.8625058657907085</v>
      </c>
      <c r="K189" s="832">
        <f t="shared" si="37"/>
        <v>2.2405319456490314</v>
      </c>
      <c r="L189" s="832">
        <f t="shared" si="37"/>
        <v>3.969160479725871</v>
      </c>
      <c r="M189" s="832">
        <f t="shared" si="37"/>
        <v>10.216572504708099</v>
      </c>
      <c r="N189" s="846">
        <f>SUM(B189:M189)/12</f>
        <v>4.6012291857530379</v>
      </c>
    </row>
    <row r="190" spans="1:14" x14ac:dyDescent="0.2">
      <c r="A190" s="847" t="s">
        <v>908</v>
      </c>
      <c r="B190" s="838">
        <f t="shared" ref="B190:M190" si="38">SUM(B179*100/B184)</f>
        <v>0</v>
      </c>
      <c r="C190" s="838">
        <f t="shared" si="38"/>
        <v>0.49244911359159554</v>
      </c>
      <c r="D190" s="838">
        <f t="shared" si="38"/>
        <v>0</v>
      </c>
      <c r="E190" s="838">
        <f t="shared" si="38"/>
        <v>0</v>
      </c>
      <c r="F190" s="838">
        <f t="shared" si="38"/>
        <v>0.42307149908334507</v>
      </c>
      <c r="G190" s="838">
        <f t="shared" si="38"/>
        <v>0.87781396007362311</v>
      </c>
      <c r="H190" s="838">
        <f t="shared" si="38"/>
        <v>0</v>
      </c>
      <c r="I190" s="838">
        <f t="shared" si="38"/>
        <v>0</v>
      </c>
      <c r="J190" s="838">
        <f t="shared" si="38"/>
        <v>0</v>
      </c>
      <c r="K190" s="838">
        <f t="shared" si="38"/>
        <v>0</v>
      </c>
      <c r="L190" s="838">
        <f t="shared" si="38"/>
        <v>0</v>
      </c>
      <c r="M190" s="838">
        <f t="shared" si="38"/>
        <v>0</v>
      </c>
      <c r="N190" s="846">
        <f>SUM(B190:M190)/12</f>
        <v>0.149444547729047</v>
      </c>
    </row>
    <row r="191" spans="1:14" x14ac:dyDescent="0.2">
      <c r="A191" s="849" t="s">
        <v>909</v>
      </c>
      <c r="B191" s="850">
        <f t="shared" ref="B191:M191" si="39">SUM(B189:B189)</f>
        <v>4.3044384867441163</v>
      </c>
      <c r="C191" s="850">
        <f t="shared" si="39"/>
        <v>10.144451739986868</v>
      </c>
      <c r="D191" s="850">
        <f t="shared" si="39"/>
        <v>12.268698491680921</v>
      </c>
      <c r="E191" s="850">
        <f t="shared" si="39"/>
        <v>1.9583070120025268</v>
      </c>
      <c r="F191" s="850">
        <f t="shared" si="39"/>
        <v>2.9615004935834155</v>
      </c>
      <c r="G191" s="850">
        <f t="shared" si="39"/>
        <v>1.6565198923969984</v>
      </c>
      <c r="H191" s="850">
        <f t="shared" si="39"/>
        <v>2.6320633167679</v>
      </c>
      <c r="I191" s="850">
        <f t="shared" si="39"/>
        <v>0</v>
      </c>
      <c r="J191" s="850">
        <f t="shared" si="39"/>
        <v>2.8625058657907085</v>
      </c>
      <c r="K191" s="850">
        <f t="shared" si="39"/>
        <v>2.2405319456490314</v>
      </c>
      <c r="L191" s="850">
        <f t="shared" si="39"/>
        <v>3.969160479725871</v>
      </c>
      <c r="M191" s="850">
        <f t="shared" si="39"/>
        <v>10.216572504708099</v>
      </c>
      <c r="N191" s="851">
        <f>SUM(N189:N190)</f>
        <v>4.7506737334820848</v>
      </c>
    </row>
    <row r="192" spans="1:14" x14ac:dyDescent="0.2">
      <c r="A192" s="843" t="s">
        <v>910</v>
      </c>
      <c r="B192" s="844"/>
      <c r="C192" s="844"/>
      <c r="D192" s="852">
        <f>SUM(B191:D191)/3</f>
        <v>8.9058629061373011</v>
      </c>
      <c r="E192" s="844"/>
      <c r="F192" s="844"/>
      <c r="G192" s="852">
        <f>SUM(E191,F191,G191)/3</f>
        <v>2.1921091326609803</v>
      </c>
      <c r="H192" s="844"/>
      <c r="I192" s="844"/>
      <c r="J192" s="852">
        <f>SUM(H191,I191,J191)/3</f>
        <v>1.8315230608528694</v>
      </c>
      <c r="K192" s="844"/>
      <c r="L192" s="844"/>
      <c r="M192" s="852">
        <f>SUM(K191,L191,M191)/3</f>
        <v>5.4754216433609999</v>
      </c>
      <c r="N192" s="853">
        <f>SUM(D192:M192)/4</f>
        <v>4.6012291857530379</v>
      </c>
    </row>
    <row r="193" spans="1:14" x14ac:dyDescent="0.2">
      <c r="A193" s="843" t="s">
        <v>911</v>
      </c>
      <c r="B193" s="844"/>
      <c r="C193" s="844"/>
      <c r="D193" s="854"/>
      <c r="E193" s="844"/>
      <c r="F193" s="844"/>
      <c r="G193" s="854"/>
      <c r="H193" s="844"/>
      <c r="I193" s="844"/>
      <c r="J193" s="854"/>
      <c r="K193" s="844"/>
      <c r="L193" s="844"/>
      <c r="M193" s="854"/>
      <c r="N193" s="846">
        <f>SUM(D193:G193,J193,M193)/4</f>
        <v>0</v>
      </c>
    </row>
    <row r="194" spans="1:14" x14ac:dyDescent="0.2">
      <c r="A194" s="843"/>
      <c r="B194" s="844"/>
      <c r="C194" s="844"/>
      <c r="D194" s="844"/>
      <c r="E194" s="844"/>
      <c r="F194" s="844"/>
      <c r="G194" s="844"/>
      <c r="H194" s="844"/>
      <c r="I194" s="844"/>
      <c r="J194" s="844"/>
      <c r="K194" s="844"/>
      <c r="L194" s="844"/>
      <c r="M194" s="844"/>
      <c r="N194" s="844"/>
    </row>
    <row r="195" spans="1:14" x14ac:dyDescent="0.2">
      <c r="A195" s="831" t="s">
        <v>912</v>
      </c>
      <c r="B195" s="832">
        <f t="shared" ref="B195:M195" si="40">B182*100/B184</f>
        <v>0.44682752457551383</v>
      </c>
      <c r="C195" s="832">
        <f t="shared" si="40"/>
        <v>1.0013131976362442</v>
      </c>
      <c r="D195" s="832">
        <f t="shared" si="40"/>
        <v>0.46649043694604259</v>
      </c>
      <c r="E195" s="832">
        <f t="shared" si="40"/>
        <v>0</v>
      </c>
      <c r="F195" s="832">
        <f t="shared" si="40"/>
        <v>0</v>
      </c>
      <c r="G195" s="832">
        <f t="shared" si="40"/>
        <v>0</v>
      </c>
      <c r="H195" s="832">
        <f t="shared" si="40"/>
        <v>0</v>
      </c>
      <c r="I195" s="832">
        <f t="shared" si="40"/>
        <v>0</v>
      </c>
      <c r="J195" s="832">
        <f t="shared" si="40"/>
        <v>0</v>
      </c>
      <c r="K195" s="832">
        <f t="shared" si="40"/>
        <v>0</v>
      </c>
      <c r="L195" s="832">
        <f t="shared" si="40"/>
        <v>3.9406053683609366</v>
      </c>
      <c r="M195" s="832">
        <f t="shared" si="40"/>
        <v>3.3741368487131198</v>
      </c>
      <c r="N195" s="846">
        <f>SUM(B195:M195)/12</f>
        <v>0.76911444801932138</v>
      </c>
    </row>
    <row r="196" spans="1:14" x14ac:dyDescent="0.2">
      <c r="A196" s="831" t="s">
        <v>913</v>
      </c>
      <c r="B196" s="832">
        <f t="shared" ref="B196:M196" si="41">B180*100/B184</f>
        <v>1.3553768245457254</v>
      </c>
      <c r="C196" s="832">
        <f t="shared" si="41"/>
        <v>1.5265922521339461</v>
      </c>
      <c r="D196" s="832">
        <f t="shared" si="41"/>
        <v>2.7833929404447209</v>
      </c>
      <c r="E196" s="832">
        <f t="shared" si="41"/>
        <v>0.47378395451674038</v>
      </c>
      <c r="F196" s="832">
        <f t="shared" si="41"/>
        <v>3.1448314765195318</v>
      </c>
      <c r="G196" s="832">
        <f t="shared" si="41"/>
        <v>0.8211808013591958</v>
      </c>
      <c r="H196" s="832">
        <f t="shared" si="41"/>
        <v>0.51536904104546288</v>
      </c>
      <c r="I196" s="832">
        <f t="shared" si="41"/>
        <v>0.51735647530040052</v>
      </c>
      <c r="J196" s="832">
        <f t="shared" si="41"/>
        <v>0.86031597059283593</v>
      </c>
      <c r="K196" s="832">
        <f t="shared" si="41"/>
        <v>2.3417172593235041</v>
      </c>
      <c r="L196" s="832">
        <f t="shared" si="41"/>
        <v>0.34266133637921187</v>
      </c>
      <c r="M196" s="832">
        <f t="shared" si="41"/>
        <v>0.84745762711864403</v>
      </c>
      <c r="N196" s="846">
        <f>SUM(B196:M196)/12</f>
        <v>1.2941696632733268</v>
      </c>
    </row>
    <row r="197" spans="1:14" x14ac:dyDescent="0.2">
      <c r="A197" s="831" t="s">
        <v>914</v>
      </c>
      <c r="B197" s="832">
        <f t="shared" ref="B197:M197" si="42">B176*100/B184</f>
        <v>6.6130473637176053</v>
      </c>
      <c r="C197" s="832">
        <f t="shared" si="42"/>
        <v>12.147078135259356</v>
      </c>
      <c r="D197" s="832">
        <f t="shared" si="42"/>
        <v>4.1517648888197796</v>
      </c>
      <c r="E197" s="832">
        <f t="shared" si="42"/>
        <v>12.144662034112445</v>
      </c>
      <c r="F197" s="832">
        <f t="shared" si="42"/>
        <v>2.4256099280778454</v>
      </c>
      <c r="G197" s="832">
        <f t="shared" si="42"/>
        <v>6.4844966728019253</v>
      </c>
      <c r="H197" s="832">
        <f t="shared" si="42"/>
        <v>38.505429780968157</v>
      </c>
      <c r="I197" s="832">
        <f t="shared" si="42"/>
        <v>30.307076101468624</v>
      </c>
      <c r="J197" s="832">
        <f t="shared" si="42"/>
        <v>16.65884561238855</v>
      </c>
      <c r="K197" s="832">
        <f t="shared" si="42"/>
        <v>6.6637756577045391</v>
      </c>
      <c r="L197" s="832">
        <f t="shared" si="42"/>
        <v>0.88520845231296397</v>
      </c>
      <c r="M197" s="832">
        <f t="shared" si="42"/>
        <v>5.3986189579409922</v>
      </c>
      <c r="N197" s="848">
        <f>SUM(B197:M197)/12</f>
        <v>11.865467798797731</v>
      </c>
    </row>
    <row r="198" spans="1:14" x14ac:dyDescent="0.2">
      <c r="A198" s="855" t="s">
        <v>915</v>
      </c>
      <c r="B198" s="856">
        <f t="shared" ref="B198:M198" si="43">SUM(B173-B184)*100/B184</f>
        <v>14.626154304438487</v>
      </c>
      <c r="C198" s="856">
        <f t="shared" si="43"/>
        <v>26.329612606697307</v>
      </c>
      <c r="D198" s="856">
        <f t="shared" si="43"/>
        <v>19.670346757891462</v>
      </c>
      <c r="E198" s="856">
        <f t="shared" si="43"/>
        <v>21.541377132027794</v>
      </c>
      <c r="F198" s="856">
        <f t="shared" si="43"/>
        <v>8.5319418981807917</v>
      </c>
      <c r="G198" s="856">
        <f t="shared" si="43"/>
        <v>8.9621973665581205</v>
      </c>
      <c r="H198" s="856">
        <f t="shared" si="43"/>
        <v>41.652862138781522</v>
      </c>
      <c r="I198" s="856">
        <f t="shared" si="43"/>
        <v>28.437917222963954</v>
      </c>
      <c r="J198" s="856">
        <f t="shared" si="43"/>
        <v>20.381667448772095</v>
      </c>
      <c r="K198" s="856">
        <f t="shared" si="43"/>
        <v>11.246024862677075</v>
      </c>
      <c r="L198" s="856">
        <f t="shared" si="43"/>
        <v>9.8800685322672752</v>
      </c>
      <c r="M198" s="965">
        <f t="shared" si="43"/>
        <v>20.778405524168235</v>
      </c>
      <c r="N198" s="966">
        <f>SUM(B198:M198)/12</f>
        <v>19.336547982952013</v>
      </c>
    </row>
    <row r="199" spans="1:14" x14ac:dyDescent="0.2">
      <c r="A199" s="843"/>
      <c r="B199" s="844"/>
      <c r="C199" s="844"/>
      <c r="D199" s="844"/>
      <c r="E199" s="844"/>
      <c r="F199" s="844"/>
      <c r="G199" s="844"/>
      <c r="H199" s="844"/>
      <c r="I199" s="844"/>
      <c r="J199" s="844"/>
      <c r="K199" s="844"/>
      <c r="L199" s="844"/>
      <c r="M199" s="844"/>
      <c r="N199" s="828"/>
    </row>
    <row r="200" spans="1:14" x14ac:dyDescent="0.2">
      <c r="A200" s="858" t="s">
        <v>916</v>
      </c>
      <c r="B200" s="844"/>
      <c r="C200" s="844"/>
      <c r="D200" s="844"/>
      <c r="E200" s="844"/>
      <c r="F200" s="844"/>
      <c r="G200" s="844"/>
      <c r="H200" s="844"/>
      <c r="I200" s="844"/>
      <c r="J200" s="844"/>
      <c r="K200" s="844"/>
      <c r="L200" s="844"/>
      <c r="M200" s="844"/>
      <c r="N200" s="828"/>
    </row>
    <row r="201" spans="1:14" x14ac:dyDescent="0.2">
      <c r="A201" s="831" t="s">
        <v>917</v>
      </c>
      <c r="B201" s="859">
        <v>12</v>
      </c>
      <c r="C201" s="859">
        <f t="shared" ref="C201:N201" si="44">B204</f>
        <v>13</v>
      </c>
      <c r="D201" s="859">
        <f t="shared" si="44"/>
        <v>13</v>
      </c>
      <c r="E201" s="859">
        <f t="shared" si="44"/>
        <v>13</v>
      </c>
      <c r="F201" s="859">
        <f t="shared" si="44"/>
        <v>13</v>
      </c>
      <c r="G201" s="859">
        <f t="shared" si="44"/>
        <v>13</v>
      </c>
      <c r="H201" s="859">
        <f t="shared" si="44"/>
        <v>13</v>
      </c>
      <c r="I201" s="859">
        <f t="shared" si="44"/>
        <v>13</v>
      </c>
      <c r="J201" s="859">
        <f t="shared" si="44"/>
        <v>13</v>
      </c>
      <c r="K201" s="859">
        <f t="shared" si="44"/>
        <v>13</v>
      </c>
      <c r="L201" s="859">
        <f t="shared" si="44"/>
        <v>13</v>
      </c>
      <c r="M201" s="859">
        <f t="shared" si="44"/>
        <v>13</v>
      </c>
      <c r="N201" s="859">
        <f t="shared" si="44"/>
        <v>13</v>
      </c>
    </row>
    <row r="202" spans="1:14" x14ac:dyDescent="0.2">
      <c r="A202" s="831" t="s">
        <v>918</v>
      </c>
      <c r="B202" s="859">
        <v>1</v>
      </c>
      <c r="C202" s="859"/>
      <c r="D202" s="859"/>
      <c r="E202" s="859"/>
      <c r="F202" s="859"/>
      <c r="G202" s="859"/>
      <c r="H202" s="859"/>
      <c r="I202" s="859"/>
      <c r="J202" s="859"/>
      <c r="K202" s="859"/>
      <c r="L202" s="859"/>
      <c r="M202" s="859"/>
      <c r="N202" s="859">
        <f>SUM(B202:M202)/12</f>
        <v>8.3333333333333329E-2</v>
      </c>
    </row>
    <row r="203" spans="1:14" x14ac:dyDescent="0.2">
      <c r="A203" s="831" t="s">
        <v>919</v>
      </c>
      <c r="B203" s="859"/>
      <c r="C203" s="859"/>
      <c r="D203" s="859"/>
      <c r="E203" s="859"/>
      <c r="F203" s="859"/>
      <c r="G203" s="859"/>
      <c r="H203" s="859"/>
      <c r="I203" s="859"/>
      <c r="J203" s="859"/>
      <c r="K203" s="859"/>
      <c r="L203" s="859"/>
      <c r="M203" s="859"/>
      <c r="N203" s="859">
        <f>SUM(B202:M202)/12</f>
        <v>8.3333333333333329E-2</v>
      </c>
    </row>
    <row r="204" spans="1:14" x14ac:dyDescent="0.2">
      <c r="A204" s="831" t="s">
        <v>916</v>
      </c>
      <c r="B204" s="859">
        <f t="shared" ref="B204:M204" si="45">SUM(B201+B202-B203)</f>
        <v>13</v>
      </c>
      <c r="C204" s="859">
        <f t="shared" si="45"/>
        <v>13</v>
      </c>
      <c r="D204" s="859">
        <f t="shared" si="45"/>
        <v>13</v>
      </c>
      <c r="E204" s="859">
        <f t="shared" si="45"/>
        <v>13</v>
      </c>
      <c r="F204" s="859">
        <f t="shared" si="45"/>
        <v>13</v>
      </c>
      <c r="G204" s="859">
        <f t="shared" si="45"/>
        <v>13</v>
      </c>
      <c r="H204" s="859">
        <f t="shared" si="45"/>
        <v>13</v>
      </c>
      <c r="I204" s="859">
        <f t="shared" si="45"/>
        <v>13</v>
      </c>
      <c r="J204" s="859">
        <f t="shared" si="45"/>
        <v>13</v>
      </c>
      <c r="K204" s="859">
        <f t="shared" si="45"/>
        <v>13</v>
      </c>
      <c r="L204" s="859">
        <f t="shared" si="45"/>
        <v>13</v>
      </c>
      <c r="M204" s="859">
        <f t="shared" si="45"/>
        <v>13</v>
      </c>
      <c r="N204" s="859">
        <f>SUM(B203:M203)/12</f>
        <v>0</v>
      </c>
    </row>
    <row r="205" spans="1:14" x14ac:dyDescent="0.2">
      <c r="A205" s="831" t="s">
        <v>920</v>
      </c>
      <c r="B205" s="860">
        <f t="shared" ref="B205:M205" si="46">SUM(B204*100)/B201-100</f>
        <v>8.3333333333333286</v>
      </c>
      <c r="C205" s="860">
        <f t="shared" si="46"/>
        <v>0</v>
      </c>
      <c r="D205" s="860">
        <f t="shared" si="46"/>
        <v>0</v>
      </c>
      <c r="E205" s="860">
        <f t="shared" si="46"/>
        <v>0</v>
      </c>
      <c r="F205" s="860">
        <f t="shared" si="46"/>
        <v>0</v>
      </c>
      <c r="G205" s="860">
        <f t="shared" si="46"/>
        <v>0</v>
      </c>
      <c r="H205" s="860">
        <f t="shared" si="46"/>
        <v>0</v>
      </c>
      <c r="I205" s="860">
        <f t="shared" si="46"/>
        <v>0</v>
      </c>
      <c r="J205" s="860">
        <f t="shared" si="46"/>
        <v>0</v>
      </c>
      <c r="K205" s="860">
        <f t="shared" si="46"/>
        <v>0</v>
      </c>
      <c r="L205" s="860">
        <f t="shared" si="46"/>
        <v>0</v>
      </c>
      <c r="M205" s="860">
        <f t="shared" si="46"/>
        <v>0</v>
      </c>
      <c r="N205" s="859"/>
    </row>
    <row r="206" spans="1:14" x14ac:dyDescent="0.2">
      <c r="A206" s="843" t="s">
        <v>921</v>
      </c>
      <c r="B206" s="861"/>
      <c r="C206" s="861"/>
      <c r="D206" s="862">
        <f>SUM(B205:D205/3)</f>
        <v>0</v>
      </c>
      <c r="E206" s="861"/>
      <c r="F206" s="861"/>
      <c r="G206" s="862">
        <f>SUM(E205:G205)/3</f>
        <v>0</v>
      </c>
      <c r="H206" s="861"/>
      <c r="I206" s="861"/>
      <c r="J206" s="862">
        <f>SUM(H205:J205)/3</f>
        <v>0</v>
      </c>
      <c r="K206" s="861"/>
      <c r="L206" s="861"/>
      <c r="M206" s="862">
        <f>SUM(K205:M205)/3</f>
        <v>0</v>
      </c>
      <c r="N206" s="861"/>
    </row>
    <row r="207" spans="1:14" x14ac:dyDescent="0.2">
      <c r="A207" s="967"/>
      <c r="B207" s="968"/>
      <c r="C207" s="968"/>
      <c r="D207" s="968"/>
      <c r="E207" s="968"/>
      <c r="F207" s="968"/>
      <c r="G207" s="968"/>
      <c r="H207" s="968"/>
      <c r="I207" s="968"/>
      <c r="J207" s="968"/>
      <c r="K207" s="968"/>
      <c r="L207" s="968"/>
      <c r="M207" s="968"/>
      <c r="N207" s="969"/>
    </row>
    <row r="208" spans="1:14" ht="15.75" x14ac:dyDescent="0.25">
      <c r="A208" s="970" t="s">
        <v>1044</v>
      </c>
      <c r="B208" s="970"/>
      <c r="C208" s="970"/>
      <c r="D208" s="970"/>
      <c r="E208" s="970"/>
      <c r="F208" s="970"/>
      <c r="G208" s="970"/>
      <c r="H208" s="970"/>
      <c r="I208" s="970"/>
      <c r="J208" s="970"/>
      <c r="K208" s="970"/>
      <c r="L208" s="970"/>
      <c r="M208" s="970"/>
      <c r="N208" s="970"/>
    </row>
    <row r="209" spans="1:14" ht="15.75" x14ac:dyDescent="0.25">
      <c r="E209" s="654"/>
      <c r="M209" s="844"/>
      <c r="N209" s="828"/>
    </row>
    <row r="210" spans="1:14" x14ac:dyDescent="0.2">
      <c r="A210" s="533" t="s">
        <v>1045</v>
      </c>
      <c r="B210" s="134"/>
      <c r="C210" s="971"/>
      <c r="D210" s="152" t="s">
        <v>939</v>
      </c>
      <c r="I210" s="494" t="s">
        <v>1046</v>
      </c>
      <c r="J210" s="134"/>
      <c r="K210" s="134"/>
      <c r="L210" s="134"/>
      <c r="M210" s="876"/>
      <c r="N210" s="828"/>
    </row>
    <row r="211" spans="1:14" x14ac:dyDescent="0.2">
      <c r="A211" s="972" t="s">
        <v>1152</v>
      </c>
      <c r="B211" s="973" t="s">
        <v>1153</v>
      </c>
      <c r="C211" s="974"/>
      <c r="D211" s="877">
        <v>336312</v>
      </c>
      <c r="E211" s="784"/>
      <c r="I211" s="128"/>
      <c r="J211" s="128" t="s">
        <v>945</v>
      </c>
      <c r="K211" s="130"/>
      <c r="L211" s="1786" t="s">
        <v>1048</v>
      </c>
      <c r="M211" s="878" t="s">
        <v>946</v>
      </c>
      <c r="N211" s="828"/>
    </row>
    <row r="212" spans="1:14" x14ac:dyDescent="0.2">
      <c r="A212" s="972" t="s">
        <v>1154</v>
      </c>
      <c r="B212" s="973" t="s">
        <v>1153</v>
      </c>
      <c r="C212" s="488"/>
      <c r="D212" s="877">
        <v>371700</v>
      </c>
      <c r="E212" s="784" t="s">
        <v>1155</v>
      </c>
      <c r="I212" s="154" t="s">
        <v>1050</v>
      </c>
      <c r="J212" s="883"/>
      <c r="K212" s="488"/>
      <c r="L212" s="152"/>
      <c r="M212" s="904">
        <v>378230</v>
      </c>
      <c r="N212" s="828"/>
    </row>
    <row r="213" spans="1:14" x14ac:dyDescent="0.2">
      <c r="A213" s="972" t="s">
        <v>1156</v>
      </c>
      <c r="B213" s="973" t="s">
        <v>1153</v>
      </c>
      <c r="C213" s="488"/>
      <c r="D213" s="877">
        <v>245700</v>
      </c>
      <c r="E213" s="784"/>
      <c r="I213" s="154" t="s">
        <v>1157</v>
      </c>
      <c r="J213" s="883"/>
      <c r="K213" s="488"/>
      <c r="L213" s="152"/>
      <c r="M213" s="877">
        <v>7365</v>
      </c>
      <c r="N213" s="828"/>
    </row>
    <row r="214" spans="1:14" x14ac:dyDescent="0.2">
      <c r="A214" s="972" t="s">
        <v>1052</v>
      </c>
      <c r="B214" s="156"/>
      <c r="C214" s="488" t="s">
        <v>1053</v>
      </c>
      <c r="D214" s="877">
        <v>0</v>
      </c>
      <c r="E214" s="784"/>
      <c r="I214" s="902" t="s">
        <v>1054</v>
      </c>
      <c r="J214" s="903" t="s">
        <v>1158</v>
      </c>
      <c r="K214" s="492"/>
      <c r="L214" s="905"/>
      <c r="M214" s="975">
        <v>2045887</v>
      </c>
      <c r="N214" s="828"/>
    </row>
    <row r="215" spans="1:14" x14ac:dyDescent="0.2">
      <c r="A215" s="972" t="s">
        <v>1056</v>
      </c>
      <c r="B215" s="156"/>
      <c r="C215" s="488"/>
      <c r="D215" s="877">
        <v>371700</v>
      </c>
      <c r="E215" s="784" t="s">
        <v>1159</v>
      </c>
      <c r="F215" t="s">
        <v>1155</v>
      </c>
      <c r="I215" s="339" t="s">
        <v>154</v>
      </c>
      <c r="J215" s="527"/>
      <c r="K215" s="27"/>
      <c r="L215" s="340"/>
      <c r="M215" s="881">
        <f>SUM(M212:M214)</f>
        <v>2431482</v>
      </c>
      <c r="N215" s="828"/>
    </row>
    <row r="216" spans="1:14" x14ac:dyDescent="0.2">
      <c r="A216" s="972" t="s">
        <v>1057</v>
      </c>
      <c r="B216" s="156"/>
      <c r="C216" s="488"/>
      <c r="D216" s="877"/>
      <c r="E216" s="784"/>
      <c r="I216" s="154" t="s">
        <v>153</v>
      </c>
      <c r="J216" s="156"/>
      <c r="K216" s="156"/>
      <c r="L216" s="976"/>
      <c r="M216" s="977">
        <f>M215/12</f>
        <v>202623.5</v>
      </c>
      <c r="N216" s="828"/>
    </row>
    <row r="217" spans="1:14" x14ac:dyDescent="0.2">
      <c r="A217" s="154" t="s">
        <v>990</v>
      </c>
      <c r="B217" s="156"/>
      <c r="C217" s="488"/>
      <c r="D217" s="877"/>
      <c r="E217" s="784" t="s">
        <v>1160</v>
      </c>
      <c r="G217" s="844"/>
      <c r="H217" s="844"/>
      <c r="I217" s="844"/>
      <c r="J217" s="844"/>
      <c r="K217" s="844"/>
      <c r="L217" s="888"/>
      <c r="M217" s="844"/>
      <c r="N217" s="828"/>
    </row>
    <row r="218" spans="1:14" x14ac:dyDescent="0.2">
      <c r="A218" s="216" t="s">
        <v>1058</v>
      </c>
      <c r="C218" s="238"/>
      <c r="D218" s="877">
        <v>26460</v>
      </c>
      <c r="E218" s="784"/>
      <c r="G218" s="844"/>
      <c r="H218" s="844"/>
      <c r="I218" s="844"/>
      <c r="J218" s="844"/>
      <c r="K218" s="844"/>
      <c r="L218" s="888"/>
      <c r="M218" s="844"/>
      <c r="N218" s="828"/>
    </row>
    <row r="219" spans="1:14" x14ac:dyDescent="0.2">
      <c r="A219" s="358" t="s">
        <v>154</v>
      </c>
      <c r="B219" s="880"/>
      <c r="C219" s="359"/>
      <c r="D219" s="881">
        <f>SUM(D211:D218)</f>
        <v>1351872</v>
      </c>
      <c r="E219" s="784"/>
      <c r="G219" s="844"/>
      <c r="H219" s="844"/>
      <c r="I219" s="844"/>
      <c r="J219" s="844"/>
      <c r="K219" s="844"/>
      <c r="L219" s="885"/>
      <c r="M219" s="844"/>
      <c r="N219" s="828"/>
    </row>
    <row r="220" spans="1:14" x14ac:dyDescent="0.2">
      <c r="A220" s="7" t="s">
        <v>153</v>
      </c>
      <c r="B220" s="51"/>
      <c r="C220" s="580"/>
      <c r="D220" s="977">
        <f>D219/12</f>
        <v>112656</v>
      </c>
      <c r="E220" s="784"/>
      <c r="G220" s="844"/>
      <c r="H220" s="844"/>
      <c r="I220" s="844"/>
      <c r="J220" s="844"/>
      <c r="K220" s="844"/>
      <c r="L220" s="885"/>
      <c r="M220" s="844"/>
      <c r="N220" s="828"/>
    </row>
    <row r="221" spans="1:14" x14ac:dyDescent="0.2">
      <c r="C221" s="978"/>
      <c r="E221" s="784"/>
      <c r="G221" s="844"/>
      <c r="H221" s="844"/>
      <c r="I221" s="844"/>
      <c r="J221" s="844"/>
      <c r="K221" s="844"/>
      <c r="L221" s="885"/>
      <c r="M221" s="844"/>
      <c r="N221" s="828"/>
    </row>
    <row r="222" spans="1:14" x14ac:dyDescent="0.2">
      <c r="C222" s="978"/>
      <c r="E222" s="784"/>
      <c r="G222" s="844"/>
      <c r="H222" s="844"/>
      <c r="I222" s="844"/>
      <c r="J222" s="844"/>
      <c r="K222" s="844"/>
      <c r="L222" s="885"/>
      <c r="M222" s="844"/>
      <c r="N222" s="828"/>
    </row>
    <row r="223" spans="1:14" x14ac:dyDescent="0.2">
      <c r="C223" s="978"/>
      <c r="E223" s="784"/>
      <c r="G223" s="844"/>
      <c r="H223" s="844"/>
      <c r="I223" s="844"/>
      <c r="J223" s="844"/>
      <c r="K223" s="844"/>
      <c r="L223" s="885"/>
      <c r="M223" s="844"/>
      <c r="N223" s="828"/>
    </row>
    <row r="224" spans="1:14" x14ac:dyDescent="0.2">
      <c r="C224" s="978"/>
      <c r="E224" s="784"/>
      <c r="G224" s="844"/>
      <c r="H224" s="844"/>
      <c r="I224" s="844"/>
      <c r="J224" s="844"/>
      <c r="K224" s="844"/>
      <c r="L224" s="885"/>
      <c r="M224" s="844"/>
      <c r="N224" s="828"/>
    </row>
    <row r="225" spans="1:14" x14ac:dyDescent="0.2">
      <c r="A225" s="858" t="s">
        <v>1014</v>
      </c>
      <c r="B225" s="844"/>
      <c r="C225" s="844"/>
      <c r="D225" s="844"/>
      <c r="E225" s="844"/>
      <c r="F225" s="844"/>
      <c r="G225" s="844"/>
      <c r="H225" s="844"/>
      <c r="I225" s="844"/>
      <c r="J225" s="844"/>
      <c r="K225" s="844"/>
      <c r="L225" s="844"/>
      <c r="M225" s="844"/>
      <c r="N225" s="828"/>
    </row>
    <row r="226" spans="1:14" x14ac:dyDescent="0.2">
      <c r="A226" s="926"/>
      <c r="B226" s="832" t="s">
        <v>863</v>
      </c>
      <c r="C226" s="832" t="s">
        <v>864</v>
      </c>
      <c r="D226" s="832" t="s">
        <v>865</v>
      </c>
      <c r="E226" s="832" t="s">
        <v>866</v>
      </c>
      <c r="F226" s="832" t="s">
        <v>867</v>
      </c>
      <c r="G226" s="832" t="s">
        <v>868</v>
      </c>
      <c r="H226" s="832" t="s">
        <v>857</v>
      </c>
      <c r="I226" s="832" t="s">
        <v>858</v>
      </c>
      <c r="J226" s="832" t="s">
        <v>859</v>
      </c>
      <c r="K226" s="832" t="s">
        <v>860</v>
      </c>
      <c r="L226" s="832" t="s">
        <v>861</v>
      </c>
      <c r="M226" s="832" t="s">
        <v>862</v>
      </c>
      <c r="N226" s="829"/>
    </row>
    <row r="227" spans="1:14" x14ac:dyDescent="0.2">
      <c r="A227" s="831" t="s">
        <v>1015</v>
      </c>
      <c r="B227" s="927">
        <f t="shared" ref="B227:M227" si="47">$D$220</f>
        <v>112656</v>
      </c>
      <c r="C227" s="927">
        <f t="shared" si="47"/>
        <v>112656</v>
      </c>
      <c r="D227" s="927">
        <f t="shared" si="47"/>
        <v>112656</v>
      </c>
      <c r="E227" s="927">
        <f t="shared" si="47"/>
        <v>112656</v>
      </c>
      <c r="F227" s="927">
        <f t="shared" si="47"/>
        <v>112656</v>
      </c>
      <c r="G227" s="927">
        <f t="shared" si="47"/>
        <v>112656</v>
      </c>
      <c r="H227" s="927">
        <f t="shared" si="47"/>
        <v>112656</v>
      </c>
      <c r="I227" s="927">
        <f t="shared" si="47"/>
        <v>112656</v>
      </c>
      <c r="J227" s="927">
        <f t="shared" si="47"/>
        <v>112656</v>
      </c>
      <c r="K227" s="927">
        <f t="shared" si="47"/>
        <v>112656</v>
      </c>
      <c r="L227" s="927">
        <f t="shared" si="47"/>
        <v>112656</v>
      </c>
      <c r="M227" s="927">
        <f t="shared" si="47"/>
        <v>112656</v>
      </c>
      <c r="N227" s="930">
        <f>SUM(B227:M227)</f>
        <v>1351872</v>
      </c>
    </row>
    <row r="228" spans="1:14" x14ac:dyDescent="0.2">
      <c r="A228" s="847" t="s">
        <v>1016</v>
      </c>
      <c r="B228" s="929">
        <f t="shared" ref="B228:M228" si="48">$M$216</f>
        <v>202623.5</v>
      </c>
      <c r="C228" s="929">
        <f t="shared" si="48"/>
        <v>202623.5</v>
      </c>
      <c r="D228" s="929">
        <f t="shared" si="48"/>
        <v>202623.5</v>
      </c>
      <c r="E228" s="929">
        <f t="shared" si="48"/>
        <v>202623.5</v>
      </c>
      <c r="F228" s="929">
        <f t="shared" si="48"/>
        <v>202623.5</v>
      </c>
      <c r="G228" s="929">
        <f t="shared" si="48"/>
        <v>202623.5</v>
      </c>
      <c r="H228" s="929">
        <f t="shared" si="48"/>
        <v>202623.5</v>
      </c>
      <c r="I228" s="929">
        <f t="shared" si="48"/>
        <v>202623.5</v>
      </c>
      <c r="J228" s="929">
        <f t="shared" si="48"/>
        <v>202623.5</v>
      </c>
      <c r="K228" s="929">
        <f t="shared" si="48"/>
        <v>202623.5</v>
      </c>
      <c r="L228" s="929">
        <f t="shared" si="48"/>
        <v>202623.5</v>
      </c>
      <c r="M228" s="929">
        <f t="shared" si="48"/>
        <v>202623.5</v>
      </c>
      <c r="N228" s="930">
        <f>SUM(B228:M228)</f>
        <v>2431482</v>
      </c>
    </row>
    <row r="229" spans="1:14" x14ac:dyDescent="0.2">
      <c r="A229" s="931" t="s">
        <v>1059</v>
      </c>
      <c r="B229" s="979">
        <f t="shared" ref="B229:M229" si="49">SUM(B227,B228)</f>
        <v>315279.5</v>
      </c>
      <c r="C229" s="979">
        <f t="shared" si="49"/>
        <v>315279.5</v>
      </c>
      <c r="D229" s="979">
        <f t="shared" si="49"/>
        <v>315279.5</v>
      </c>
      <c r="E229" s="979">
        <f t="shared" si="49"/>
        <v>315279.5</v>
      </c>
      <c r="F229" s="979">
        <f t="shared" si="49"/>
        <v>315279.5</v>
      </c>
      <c r="G229" s="979">
        <f t="shared" si="49"/>
        <v>315279.5</v>
      </c>
      <c r="H229" s="979">
        <f t="shared" si="49"/>
        <v>315279.5</v>
      </c>
      <c r="I229" s="979">
        <f t="shared" si="49"/>
        <v>315279.5</v>
      </c>
      <c r="J229" s="979">
        <f t="shared" si="49"/>
        <v>315279.5</v>
      </c>
      <c r="K229" s="979">
        <f t="shared" si="49"/>
        <v>315279.5</v>
      </c>
      <c r="L229" s="979">
        <f t="shared" si="49"/>
        <v>315279.5</v>
      </c>
      <c r="M229" s="979">
        <f t="shared" si="49"/>
        <v>315279.5</v>
      </c>
      <c r="N229" s="980">
        <f>SUM(B227:M228)</f>
        <v>3783354</v>
      </c>
    </row>
    <row r="230" spans="1:14" x14ac:dyDescent="0.2">
      <c r="A230" s="934" t="s">
        <v>1125</v>
      </c>
      <c r="B230" s="935">
        <v>379523</v>
      </c>
      <c r="C230" s="935">
        <v>417993</v>
      </c>
      <c r="D230" s="935">
        <v>378666.5</v>
      </c>
      <c r="E230" s="935">
        <v>272894</v>
      </c>
      <c r="F230" s="935">
        <v>311860</v>
      </c>
      <c r="G230" s="936">
        <v>371885</v>
      </c>
      <c r="H230" s="935">
        <v>285909</v>
      </c>
      <c r="I230" s="935">
        <v>272182</v>
      </c>
      <c r="J230" s="935">
        <v>305406</v>
      </c>
      <c r="K230" s="935"/>
      <c r="L230" s="935">
        <v>280287</v>
      </c>
      <c r="M230" s="935">
        <v>283949</v>
      </c>
      <c r="N230" s="939">
        <f t="shared" ref="N230:N237" si="50">SUM(B230:M230)</f>
        <v>3560554.5</v>
      </c>
    </row>
    <row r="231" spans="1:14" x14ac:dyDescent="0.2">
      <c r="A231" s="829" t="s">
        <v>1061</v>
      </c>
      <c r="B231" s="928">
        <v>7260</v>
      </c>
      <c r="C231" s="928">
        <v>7599</v>
      </c>
      <c r="D231" s="928">
        <v>3950</v>
      </c>
      <c r="E231" s="928"/>
      <c r="F231" s="928">
        <v>15925</v>
      </c>
      <c r="G231" s="937">
        <v>5075</v>
      </c>
      <c r="H231" s="928">
        <v>287552</v>
      </c>
      <c r="I231" s="928">
        <v>11490</v>
      </c>
      <c r="J231" s="928">
        <v>1400</v>
      </c>
      <c r="K231" s="928">
        <v>27468</v>
      </c>
      <c r="L231" s="928">
        <v>4139</v>
      </c>
      <c r="M231" s="928">
        <v>2055</v>
      </c>
      <c r="N231" s="939">
        <f t="shared" si="50"/>
        <v>373913</v>
      </c>
    </row>
    <row r="232" spans="1:14" x14ac:dyDescent="0.2">
      <c r="A232" s="947" t="s">
        <v>1021</v>
      </c>
      <c r="B232" s="928">
        <v>29925</v>
      </c>
      <c r="C232" s="928">
        <v>29837.5</v>
      </c>
      <c r="D232" s="928">
        <v>14525</v>
      </c>
      <c r="E232" s="928">
        <v>12950</v>
      </c>
      <c r="F232" s="928">
        <v>19950</v>
      </c>
      <c r="G232" s="937">
        <v>20475</v>
      </c>
      <c r="H232" s="928">
        <v>5950</v>
      </c>
      <c r="I232" s="928">
        <v>13300</v>
      </c>
      <c r="J232" s="928">
        <v>23800</v>
      </c>
      <c r="K232" s="928">
        <v>42000</v>
      </c>
      <c r="L232" s="928">
        <v>4200</v>
      </c>
      <c r="M232" s="928">
        <v>8137.5</v>
      </c>
      <c r="N232" s="939">
        <f t="shared" si="50"/>
        <v>225050</v>
      </c>
    </row>
    <row r="233" spans="1:14" x14ac:dyDescent="0.2">
      <c r="A233" s="956" t="s">
        <v>1028</v>
      </c>
      <c r="B233" s="957">
        <f t="shared" ref="B233:M233" si="51">SUM(B230:B232)</f>
        <v>416708</v>
      </c>
      <c r="C233" s="957">
        <f t="shared" si="51"/>
        <v>455429.5</v>
      </c>
      <c r="D233" s="957">
        <f t="shared" si="51"/>
        <v>397141.5</v>
      </c>
      <c r="E233" s="957">
        <f t="shared" si="51"/>
        <v>285844</v>
      </c>
      <c r="F233" s="957">
        <f t="shared" si="51"/>
        <v>347735</v>
      </c>
      <c r="G233" s="957">
        <f t="shared" si="51"/>
        <v>397435</v>
      </c>
      <c r="H233" s="957">
        <f t="shared" si="51"/>
        <v>579411</v>
      </c>
      <c r="I233" s="957">
        <f t="shared" si="51"/>
        <v>296972</v>
      </c>
      <c r="J233" s="957">
        <f t="shared" si="51"/>
        <v>330606</v>
      </c>
      <c r="K233" s="957">
        <f t="shared" si="51"/>
        <v>69468</v>
      </c>
      <c r="L233" s="957">
        <f t="shared" si="51"/>
        <v>288626</v>
      </c>
      <c r="M233" s="957">
        <f t="shared" si="51"/>
        <v>294141.5</v>
      </c>
      <c r="N233" s="981">
        <f t="shared" si="50"/>
        <v>4159517.5</v>
      </c>
    </row>
    <row r="234" spans="1:14" x14ac:dyDescent="0.2">
      <c r="A234" s="829" t="s">
        <v>1029</v>
      </c>
      <c r="B234" s="930"/>
      <c r="C234" s="930"/>
      <c r="D234" s="930"/>
      <c r="E234" s="930"/>
      <c r="F234" s="930"/>
      <c r="G234" s="982"/>
      <c r="H234" s="930"/>
      <c r="I234" s="930"/>
      <c r="J234" s="930"/>
      <c r="K234" s="930"/>
      <c r="L234" s="930"/>
      <c r="M234" s="930"/>
      <c r="N234" s="930">
        <f t="shared" si="50"/>
        <v>0</v>
      </c>
    </row>
    <row r="235" spans="1:14" x14ac:dyDescent="0.2">
      <c r="A235" s="959" t="s">
        <v>1030</v>
      </c>
      <c r="B235" s="983">
        <f t="shared" ref="B235:M235" si="52">SUM(B229,B233,B234)</f>
        <v>731987.5</v>
      </c>
      <c r="C235" s="983">
        <f t="shared" si="52"/>
        <v>770709</v>
      </c>
      <c r="D235" s="983">
        <f t="shared" si="52"/>
        <v>712421</v>
      </c>
      <c r="E235" s="983">
        <f t="shared" si="52"/>
        <v>601123.5</v>
      </c>
      <c r="F235" s="983">
        <f t="shared" si="52"/>
        <v>663014.5</v>
      </c>
      <c r="G235" s="983">
        <f t="shared" si="52"/>
        <v>712714.5</v>
      </c>
      <c r="H235" s="983">
        <f t="shared" si="52"/>
        <v>894690.5</v>
      </c>
      <c r="I235" s="983">
        <f t="shared" si="52"/>
        <v>612251.5</v>
      </c>
      <c r="J235" s="983">
        <f t="shared" si="52"/>
        <v>645885.5</v>
      </c>
      <c r="K235" s="983">
        <f t="shared" si="52"/>
        <v>384747.5</v>
      </c>
      <c r="L235" s="983">
        <f t="shared" si="52"/>
        <v>603905.5</v>
      </c>
      <c r="M235" s="983">
        <f t="shared" si="52"/>
        <v>609421</v>
      </c>
      <c r="N235" s="983">
        <f t="shared" si="50"/>
        <v>7942871.5</v>
      </c>
    </row>
    <row r="236" spans="1:14" x14ac:dyDescent="0.2">
      <c r="A236" s="984" t="s">
        <v>1063</v>
      </c>
      <c r="B236" s="929">
        <v>250000</v>
      </c>
      <c r="C236" s="929">
        <v>250000</v>
      </c>
      <c r="D236" s="929">
        <v>250000</v>
      </c>
      <c r="E236" s="929">
        <v>250000</v>
      </c>
      <c r="F236" s="929">
        <v>250000</v>
      </c>
      <c r="G236" s="929">
        <v>250000</v>
      </c>
      <c r="H236" s="929">
        <v>250000</v>
      </c>
      <c r="I236" s="929">
        <v>250000</v>
      </c>
      <c r="J236" s="929">
        <v>250000</v>
      </c>
      <c r="K236" s="929">
        <v>250000</v>
      </c>
      <c r="L236" s="929">
        <v>250000</v>
      </c>
      <c r="M236" s="929">
        <v>250000</v>
      </c>
      <c r="N236" s="929">
        <f t="shared" si="50"/>
        <v>3000000</v>
      </c>
    </row>
    <row r="237" spans="1:14" x14ac:dyDescent="0.2">
      <c r="A237" s="829" t="s">
        <v>1126</v>
      </c>
      <c r="B237" s="927">
        <v>301161</v>
      </c>
      <c r="C237" s="927">
        <v>284279</v>
      </c>
      <c r="D237" s="927">
        <v>260659</v>
      </c>
      <c r="E237" s="927">
        <v>234317</v>
      </c>
      <c r="F237" s="927">
        <v>323528</v>
      </c>
      <c r="G237" s="927">
        <v>364649</v>
      </c>
      <c r="H237" s="927">
        <v>294059</v>
      </c>
      <c r="I237" s="927">
        <v>297029</v>
      </c>
      <c r="J237" s="927">
        <v>399667</v>
      </c>
      <c r="K237" s="927">
        <v>323508</v>
      </c>
      <c r="L237" s="927">
        <v>254239</v>
      </c>
      <c r="M237" s="927">
        <v>254239</v>
      </c>
      <c r="N237" s="929">
        <f t="shared" si="50"/>
        <v>3591334</v>
      </c>
    </row>
    <row r="238" spans="1:14" x14ac:dyDescent="0.2">
      <c r="A238" s="963" t="s">
        <v>1033</v>
      </c>
      <c r="B238" s="964">
        <f t="shared" ref="B238:N238" si="53">SUM(B235-B236-B237)</f>
        <v>180826.5</v>
      </c>
      <c r="C238" s="964">
        <f t="shared" si="53"/>
        <v>236430</v>
      </c>
      <c r="D238" s="964">
        <f t="shared" si="53"/>
        <v>201762</v>
      </c>
      <c r="E238" s="964">
        <f t="shared" si="53"/>
        <v>116806.5</v>
      </c>
      <c r="F238" s="964">
        <f t="shared" si="53"/>
        <v>89486.5</v>
      </c>
      <c r="G238" s="964">
        <f t="shared" si="53"/>
        <v>98065.5</v>
      </c>
      <c r="H238" s="964">
        <f t="shared" si="53"/>
        <v>350631.5</v>
      </c>
      <c r="I238" s="964">
        <f t="shared" si="53"/>
        <v>65222.5</v>
      </c>
      <c r="J238" s="964">
        <f t="shared" si="53"/>
        <v>-3781.5</v>
      </c>
      <c r="K238" s="964">
        <f t="shared" si="53"/>
        <v>-188760.5</v>
      </c>
      <c r="L238" s="964">
        <f t="shared" si="53"/>
        <v>99666.5</v>
      </c>
      <c r="M238" s="964">
        <f t="shared" si="53"/>
        <v>105182</v>
      </c>
      <c r="N238" s="964">
        <f t="shared" si="53"/>
        <v>1351537.5</v>
      </c>
    </row>
    <row r="239" spans="1:14" x14ac:dyDescent="0.2">
      <c r="A239" s="985"/>
      <c r="B239" s="986"/>
      <c r="C239" s="986"/>
      <c r="D239" s="986"/>
      <c r="E239" s="986"/>
      <c r="F239" s="986"/>
      <c r="G239" s="986"/>
      <c r="H239" s="986"/>
      <c r="I239" s="986"/>
      <c r="J239" s="986"/>
      <c r="K239" s="986"/>
      <c r="L239" s="986"/>
      <c r="M239" s="986"/>
      <c r="N239" s="986"/>
    </row>
    <row r="240" spans="1:14" x14ac:dyDescent="0.2">
      <c r="A240" s="678"/>
      <c r="B240" s="678"/>
      <c r="C240" s="678"/>
      <c r="D240" s="678"/>
      <c r="E240" s="678"/>
      <c r="F240" s="678"/>
      <c r="G240" s="678"/>
      <c r="H240" s="678"/>
      <c r="I240" s="678"/>
      <c r="J240" s="678"/>
      <c r="K240" s="678"/>
      <c r="L240" s="678"/>
      <c r="M240" s="678"/>
      <c r="N240" s="678"/>
    </row>
    <row r="241" spans="1:14" ht="20.25" x14ac:dyDescent="0.3">
      <c r="A241" s="1797" t="s">
        <v>1161</v>
      </c>
      <c r="B241" s="1797"/>
      <c r="C241" s="1797"/>
      <c r="D241" s="1797"/>
      <c r="E241" s="1797"/>
      <c r="F241" s="1797"/>
      <c r="G241" s="1797"/>
      <c r="H241" s="1797"/>
      <c r="I241" s="1797"/>
      <c r="J241" s="1797"/>
      <c r="K241" s="1797"/>
      <c r="L241" s="1797"/>
      <c r="M241" s="1797"/>
      <c r="N241" s="1797"/>
    </row>
    <row r="242" spans="1:14" x14ac:dyDescent="0.2">
      <c r="A242" s="828"/>
      <c r="B242" s="828"/>
      <c r="C242" s="828"/>
      <c r="D242" s="828"/>
      <c r="E242" s="828"/>
      <c r="F242" s="828"/>
      <c r="G242" s="828"/>
      <c r="H242" s="828"/>
      <c r="I242" s="828"/>
      <c r="J242" s="828"/>
      <c r="K242" s="828"/>
      <c r="L242" s="828"/>
      <c r="M242" s="828"/>
    </row>
    <row r="243" spans="1:14" x14ac:dyDescent="0.2">
      <c r="A243" s="829"/>
      <c r="B243" s="656" t="s">
        <v>863</v>
      </c>
      <c r="C243" s="656" t="s">
        <v>864</v>
      </c>
      <c r="D243" s="830" t="s">
        <v>865</v>
      </c>
      <c r="E243" s="656" t="s">
        <v>866</v>
      </c>
      <c r="F243" s="656" t="s">
        <v>867</v>
      </c>
      <c r="G243" s="830" t="s">
        <v>868</v>
      </c>
      <c r="H243" s="656" t="s">
        <v>857</v>
      </c>
      <c r="I243" s="656" t="s">
        <v>858</v>
      </c>
      <c r="J243" s="656" t="s">
        <v>859</v>
      </c>
      <c r="K243" s="656" t="s">
        <v>860</v>
      </c>
      <c r="L243" s="656" t="s">
        <v>861</v>
      </c>
      <c r="M243" s="656" t="s">
        <v>862</v>
      </c>
      <c r="N243" s="829" t="s">
        <v>137</v>
      </c>
    </row>
    <row r="244" spans="1:14" x14ac:dyDescent="0.2">
      <c r="A244" s="831" t="s">
        <v>332</v>
      </c>
      <c r="B244" s="832">
        <v>2566</v>
      </c>
      <c r="C244" s="832">
        <v>2566</v>
      </c>
      <c r="D244" s="832">
        <v>2566</v>
      </c>
      <c r="E244" s="832">
        <v>2566</v>
      </c>
      <c r="F244" s="832">
        <v>2566</v>
      </c>
      <c r="G244" s="832">
        <v>2566</v>
      </c>
      <c r="H244" s="832">
        <v>2566</v>
      </c>
      <c r="I244" s="832">
        <v>2566</v>
      </c>
      <c r="J244" s="832">
        <v>2566</v>
      </c>
      <c r="K244" s="832">
        <v>2566</v>
      </c>
      <c r="L244" s="832">
        <v>2566</v>
      </c>
      <c r="M244" s="832">
        <v>2566</v>
      </c>
      <c r="N244" s="832">
        <f t="shared" ref="N244:N255" si="54">SUM(B244:M244)</f>
        <v>30792</v>
      </c>
    </row>
    <row r="245" spans="1:14" x14ac:dyDescent="0.2">
      <c r="A245" s="831" t="s">
        <v>893</v>
      </c>
      <c r="B245" s="832"/>
      <c r="C245" s="832"/>
      <c r="D245" s="832"/>
      <c r="E245" s="832"/>
      <c r="F245" s="832"/>
      <c r="G245" s="833"/>
      <c r="H245" s="832"/>
      <c r="I245" s="832"/>
      <c r="J245" s="834"/>
      <c r="K245" s="832"/>
      <c r="L245" s="832"/>
      <c r="M245" s="832"/>
      <c r="N245" s="832">
        <f t="shared" si="54"/>
        <v>0</v>
      </c>
    </row>
    <row r="246" spans="1:14" x14ac:dyDescent="0.2">
      <c r="A246" s="831" t="s">
        <v>894</v>
      </c>
      <c r="B246" s="832"/>
      <c r="C246" s="832"/>
      <c r="D246" s="832"/>
      <c r="E246" s="832"/>
      <c r="F246" s="832"/>
      <c r="G246" s="833"/>
      <c r="H246" s="832"/>
      <c r="I246" s="832"/>
      <c r="J246" s="832"/>
      <c r="K246" s="832"/>
      <c r="L246" s="832"/>
      <c r="M246" s="829"/>
      <c r="N246" s="832">
        <f t="shared" si="54"/>
        <v>0</v>
      </c>
    </row>
    <row r="247" spans="1:14" x14ac:dyDescent="0.2">
      <c r="A247" s="831" t="s">
        <v>896</v>
      </c>
      <c r="B247" s="832"/>
      <c r="C247" s="832"/>
      <c r="D247" s="832"/>
      <c r="E247" s="832"/>
      <c r="F247" s="832"/>
      <c r="G247" s="833"/>
      <c r="H247" s="832"/>
      <c r="I247" s="832"/>
      <c r="J247" s="832"/>
      <c r="K247" s="832"/>
      <c r="L247" s="832"/>
      <c r="M247" s="832"/>
      <c r="N247" s="832">
        <f t="shared" si="54"/>
        <v>0</v>
      </c>
    </row>
    <row r="248" spans="1:14" x14ac:dyDescent="0.2">
      <c r="A248" s="831" t="s">
        <v>897</v>
      </c>
      <c r="B248" s="832"/>
      <c r="C248" s="832"/>
      <c r="D248" s="832"/>
      <c r="E248" s="832"/>
      <c r="F248" s="832"/>
      <c r="G248" s="833"/>
      <c r="H248" s="832"/>
      <c r="I248" s="832"/>
      <c r="J248" s="832"/>
      <c r="K248" s="832"/>
      <c r="L248" s="832"/>
      <c r="M248" s="832"/>
      <c r="N248" s="832">
        <f t="shared" si="54"/>
        <v>0</v>
      </c>
    </row>
    <row r="249" spans="1:14" x14ac:dyDescent="0.2">
      <c r="A249" s="831" t="s">
        <v>898</v>
      </c>
      <c r="B249" s="832"/>
      <c r="C249" s="832"/>
      <c r="D249" s="832"/>
      <c r="E249" s="832"/>
      <c r="F249" s="832"/>
      <c r="G249" s="833"/>
      <c r="H249" s="832"/>
      <c r="I249" s="832"/>
      <c r="J249" s="832"/>
      <c r="K249" s="832"/>
      <c r="L249" s="832"/>
      <c r="M249" s="832"/>
      <c r="N249" s="832">
        <f t="shared" si="54"/>
        <v>0</v>
      </c>
    </row>
    <row r="250" spans="1:14" x14ac:dyDescent="0.2">
      <c r="A250" s="831" t="s">
        <v>899</v>
      </c>
      <c r="B250" s="832"/>
      <c r="C250" s="832"/>
      <c r="D250" s="832"/>
      <c r="E250" s="832"/>
      <c r="F250" s="832"/>
      <c r="G250" s="833"/>
      <c r="H250" s="832"/>
      <c r="I250" s="832"/>
      <c r="J250" s="832"/>
      <c r="K250" s="832"/>
      <c r="L250" s="832"/>
      <c r="M250" s="832"/>
      <c r="N250" s="832">
        <f t="shared" si="54"/>
        <v>0</v>
      </c>
    </row>
    <row r="251" spans="1:14" x14ac:dyDescent="0.2">
      <c r="A251" s="831" t="s">
        <v>900</v>
      </c>
      <c r="B251" s="832"/>
      <c r="C251" s="832"/>
      <c r="D251" s="832"/>
      <c r="E251" s="832"/>
      <c r="F251" s="832"/>
      <c r="G251" s="833"/>
      <c r="H251" s="832"/>
      <c r="I251" s="832"/>
      <c r="J251" s="832"/>
      <c r="K251" s="832"/>
      <c r="L251" s="832"/>
      <c r="M251" s="832"/>
      <c r="N251" s="832">
        <f t="shared" si="54"/>
        <v>0</v>
      </c>
    </row>
    <row r="252" spans="1:14" x14ac:dyDescent="0.2">
      <c r="A252" s="831" t="s">
        <v>901</v>
      </c>
      <c r="B252" s="832"/>
      <c r="C252" s="832"/>
      <c r="D252" s="832"/>
      <c r="E252" s="832"/>
      <c r="F252" s="832"/>
      <c r="G252" s="833"/>
      <c r="H252" s="832"/>
      <c r="I252" s="832"/>
      <c r="J252" s="832"/>
      <c r="K252" s="832"/>
      <c r="L252" s="832"/>
      <c r="M252" s="832"/>
      <c r="N252" s="832">
        <f t="shared" si="54"/>
        <v>0</v>
      </c>
    </row>
    <row r="253" spans="1:14" x14ac:dyDescent="0.2">
      <c r="A253" s="831" t="s">
        <v>902</v>
      </c>
      <c r="B253" s="832"/>
      <c r="C253" s="832"/>
      <c r="D253" s="832"/>
      <c r="E253" s="832"/>
      <c r="F253" s="832"/>
      <c r="G253" s="833"/>
      <c r="H253" s="832"/>
      <c r="I253" s="832"/>
      <c r="J253" s="832"/>
      <c r="K253" s="832"/>
      <c r="L253" s="832"/>
      <c r="M253" s="832"/>
      <c r="N253" s="832">
        <f t="shared" si="54"/>
        <v>0</v>
      </c>
    </row>
    <row r="254" spans="1:14" x14ac:dyDescent="0.2">
      <c r="A254" s="835" t="s">
        <v>903</v>
      </c>
      <c r="B254" s="836"/>
      <c r="C254" s="836"/>
      <c r="D254" s="836"/>
      <c r="E254" s="836"/>
      <c r="F254" s="836"/>
      <c r="G254" s="837"/>
      <c r="H254" s="836"/>
      <c r="I254" s="836"/>
      <c r="J254" s="836"/>
      <c r="K254" s="836"/>
      <c r="L254" s="836"/>
      <c r="M254" s="836"/>
      <c r="N254" s="838">
        <f t="shared" si="54"/>
        <v>0</v>
      </c>
    </row>
    <row r="255" spans="1:14" x14ac:dyDescent="0.2">
      <c r="A255" s="839" t="s">
        <v>904</v>
      </c>
      <c r="B255" s="840">
        <f t="shared" ref="B255:M255" si="55">SUM(B244+B245+B246-B247-B248-B249-B251-B252-B253-B254)</f>
        <v>2566</v>
      </c>
      <c r="C255" s="840">
        <f t="shared" si="55"/>
        <v>2566</v>
      </c>
      <c r="D255" s="840">
        <f t="shared" si="55"/>
        <v>2566</v>
      </c>
      <c r="E255" s="840">
        <f t="shared" si="55"/>
        <v>2566</v>
      </c>
      <c r="F255" s="840">
        <f t="shared" si="55"/>
        <v>2566</v>
      </c>
      <c r="G255" s="952">
        <f t="shared" si="55"/>
        <v>2566</v>
      </c>
      <c r="H255" s="840">
        <f t="shared" si="55"/>
        <v>2566</v>
      </c>
      <c r="I255" s="840">
        <f t="shared" si="55"/>
        <v>2566</v>
      </c>
      <c r="J255" s="840">
        <f t="shared" si="55"/>
        <v>2566</v>
      </c>
      <c r="K255" s="840">
        <f t="shared" si="55"/>
        <v>2566</v>
      </c>
      <c r="L255" s="840">
        <f t="shared" si="55"/>
        <v>2566</v>
      </c>
      <c r="M255" s="841">
        <f t="shared" si="55"/>
        <v>2566</v>
      </c>
      <c r="N255" s="842">
        <f t="shared" si="54"/>
        <v>30792</v>
      </c>
    </row>
    <row r="256" spans="1:14" x14ac:dyDescent="0.2">
      <c r="A256" s="843"/>
      <c r="B256" s="844"/>
      <c r="C256" s="844"/>
      <c r="D256" s="844"/>
      <c r="E256" s="844"/>
      <c r="F256" s="844"/>
      <c r="G256" s="844"/>
      <c r="H256" s="844"/>
      <c r="I256" s="844"/>
      <c r="J256" s="844"/>
      <c r="K256" s="844"/>
      <c r="L256" s="844"/>
      <c r="M256" s="844"/>
      <c r="N256" s="844"/>
    </row>
    <row r="257" spans="1:14" x14ac:dyDescent="0.2">
      <c r="A257" s="843"/>
      <c r="B257" s="844"/>
      <c r="C257" s="844"/>
      <c r="D257" s="844"/>
      <c r="E257" s="844"/>
      <c r="F257" s="844"/>
      <c r="G257" s="844"/>
      <c r="H257" s="844"/>
      <c r="I257" s="844"/>
      <c r="J257" s="844"/>
      <c r="K257" s="844"/>
      <c r="L257" s="844"/>
      <c r="M257" s="844"/>
      <c r="N257" s="845" t="s">
        <v>905</v>
      </c>
    </row>
    <row r="258" spans="1:14" x14ac:dyDescent="0.2">
      <c r="A258" s="831" t="s">
        <v>906</v>
      </c>
      <c r="B258" s="832">
        <f t="shared" ref="B258:M258" si="56">SUM(B245*100/B255)</f>
        <v>0</v>
      </c>
      <c r="C258" s="832">
        <f t="shared" si="56"/>
        <v>0</v>
      </c>
      <c r="D258" s="832">
        <f t="shared" si="56"/>
        <v>0</v>
      </c>
      <c r="E258" s="832">
        <f t="shared" si="56"/>
        <v>0</v>
      </c>
      <c r="F258" s="832">
        <f t="shared" si="56"/>
        <v>0</v>
      </c>
      <c r="G258" s="832">
        <f t="shared" si="56"/>
        <v>0</v>
      </c>
      <c r="H258" s="832">
        <f t="shared" si="56"/>
        <v>0</v>
      </c>
      <c r="I258" s="832">
        <f t="shared" si="56"/>
        <v>0</v>
      </c>
      <c r="J258" s="832">
        <f t="shared" si="56"/>
        <v>0</v>
      </c>
      <c r="K258" s="832">
        <f t="shared" si="56"/>
        <v>0</v>
      </c>
      <c r="L258" s="832">
        <f t="shared" si="56"/>
        <v>0</v>
      </c>
      <c r="M258" s="832">
        <f t="shared" si="56"/>
        <v>0</v>
      </c>
      <c r="N258" s="846">
        <f>SUM(B258:M258)/12</f>
        <v>0</v>
      </c>
    </row>
    <row r="259" spans="1:14" x14ac:dyDescent="0.2">
      <c r="A259" s="843"/>
      <c r="B259" s="844"/>
      <c r="C259" s="844"/>
      <c r="D259" s="844"/>
      <c r="E259" s="844"/>
      <c r="F259" s="844"/>
      <c r="G259" s="844"/>
      <c r="H259" s="844"/>
      <c r="I259" s="844"/>
      <c r="J259" s="844"/>
      <c r="K259" s="844"/>
      <c r="L259" s="844"/>
      <c r="M259" s="844"/>
      <c r="N259" s="828"/>
    </row>
    <row r="260" spans="1:14" x14ac:dyDescent="0.2">
      <c r="A260" s="831" t="s">
        <v>907</v>
      </c>
      <c r="B260" s="832">
        <f t="shared" ref="B260:M260" si="57">SUM(B249*100/B255)</f>
        <v>0</v>
      </c>
      <c r="C260" s="832">
        <f t="shared" si="57"/>
        <v>0</v>
      </c>
      <c r="D260" s="832">
        <f t="shared" si="57"/>
        <v>0</v>
      </c>
      <c r="E260" s="832">
        <f t="shared" si="57"/>
        <v>0</v>
      </c>
      <c r="F260" s="832">
        <f t="shared" si="57"/>
        <v>0</v>
      </c>
      <c r="G260" s="832">
        <f t="shared" si="57"/>
        <v>0</v>
      </c>
      <c r="H260" s="832">
        <f t="shared" si="57"/>
        <v>0</v>
      </c>
      <c r="I260" s="832">
        <f t="shared" si="57"/>
        <v>0</v>
      </c>
      <c r="J260" s="832">
        <f t="shared" si="57"/>
        <v>0</v>
      </c>
      <c r="K260" s="832">
        <f t="shared" si="57"/>
        <v>0</v>
      </c>
      <c r="L260" s="832">
        <f t="shared" si="57"/>
        <v>0</v>
      </c>
      <c r="M260" s="832">
        <f t="shared" si="57"/>
        <v>0</v>
      </c>
      <c r="N260" s="846">
        <f>SUM(B260:M260)/12</f>
        <v>0</v>
      </c>
    </row>
    <row r="261" spans="1:14" x14ac:dyDescent="0.2">
      <c r="A261" s="847" t="s">
        <v>908</v>
      </c>
      <c r="B261" s="838">
        <f t="shared" ref="B261:M261" si="58">SUM(B250*100/B255)</f>
        <v>0</v>
      </c>
      <c r="C261" s="838">
        <f t="shared" si="58"/>
        <v>0</v>
      </c>
      <c r="D261" s="838">
        <f t="shared" si="58"/>
        <v>0</v>
      </c>
      <c r="E261" s="838">
        <f t="shared" si="58"/>
        <v>0</v>
      </c>
      <c r="F261" s="838">
        <f t="shared" si="58"/>
        <v>0</v>
      </c>
      <c r="G261" s="838">
        <f t="shared" si="58"/>
        <v>0</v>
      </c>
      <c r="H261" s="838">
        <f t="shared" si="58"/>
        <v>0</v>
      </c>
      <c r="I261" s="838">
        <f t="shared" si="58"/>
        <v>0</v>
      </c>
      <c r="J261" s="838">
        <f t="shared" si="58"/>
        <v>0</v>
      </c>
      <c r="K261" s="838">
        <f t="shared" si="58"/>
        <v>0</v>
      </c>
      <c r="L261" s="838">
        <f t="shared" si="58"/>
        <v>0</v>
      </c>
      <c r="M261" s="838">
        <f t="shared" si="58"/>
        <v>0</v>
      </c>
      <c r="N261" s="848">
        <f>SUM(B261:M261)/12</f>
        <v>0</v>
      </c>
    </row>
    <row r="262" spans="1:14" x14ac:dyDescent="0.2">
      <c r="A262" s="849" t="s">
        <v>909</v>
      </c>
      <c r="B262" s="850">
        <f t="shared" ref="B262:M262" si="59">SUM(B260:B260)</f>
        <v>0</v>
      </c>
      <c r="C262" s="850">
        <f t="shared" si="59"/>
        <v>0</v>
      </c>
      <c r="D262" s="850">
        <f t="shared" si="59"/>
        <v>0</v>
      </c>
      <c r="E262" s="850">
        <f t="shared" si="59"/>
        <v>0</v>
      </c>
      <c r="F262" s="850">
        <f t="shared" si="59"/>
        <v>0</v>
      </c>
      <c r="G262" s="850">
        <f t="shared" si="59"/>
        <v>0</v>
      </c>
      <c r="H262" s="850">
        <f t="shared" si="59"/>
        <v>0</v>
      </c>
      <c r="I262" s="850">
        <f t="shared" si="59"/>
        <v>0</v>
      </c>
      <c r="J262" s="850">
        <f t="shared" si="59"/>
        <v>0</v>
      </c>
      <c r="K262" s="850">
        <f t="shared" si="59"/>
        <v>0</v>
      </c>
      <c r="L262" s="850">
        <f t="shared" si="59"/>
        <v>0</v>
      </c>
      <c r="M262" s="850">
        <f t="shared" si="59"/>
        <v>0</v>
      </c>
      <c r="N262" s="851">
        <f>SUM(N260:N261)</f>
        <v>0</v>
      </c>
    </row>
    <row r="263" spans="1:14" x14ac:dyDescent="0.2">
      <c r="A263" s="843" t="s">
        <v>910</v>
      </c>
      <c r="B263" s="844"/>
      <c r="C263" s="844"/>
      <c r="D263" s="852">
        <f>SUM(B262:D262)/4</f>
        <v>0</v>
      </c>
      <c r="E263" s="844"/>
      <c r="F263" s="844"/>
      <c r="G263" s="852">
        <f>SUM(E262,F262,G262)/4</f>
        <v>0</v>
      </c>
      <c r="H263" s="844"/>
      <c r="I263" s="844"/>
      <c r="J263" s="852">
        <f>SUM(H262,I262,J262)/3</f>
        <v>0</v>
      </c>
      <c r="K263" s="844"/>
      <c r="L263" s="844"/>
      <c r="M263" s="852">
        <f>SUM(K262,L262,M262)/3</f>
        <v>0</v>
      </c>
      <c r="N263" s="853">
        <f>SUM(D263:M263)/4</f>
        <v>0</v>
      </c>
    </row>
    <row r="264" spans="1:14" x14ac:dyDescent="0.2">
      <c r="A264" s="843" t="s">
        <v>911</v>
      </c>
      <c r="B264" s="844"/>
      <c r="C264" s="844"/>
      <c r="D264" s="854"/>
      <c r="E264" s="844"/>
      <c r="F264" s="844"/>
      <c r="G264" s="854"/>
      <c r="H264" s="844"/>
      <c r="I264" s="844"/>
      <c r="J264" s="854"/>
      <c r="K264" s="844"/>
      <c r="L264" s="844"/>
      <c r="M264" s="854"/>
      <c r="N264" s="846">
        <f>SUM(D264:G264,J264,M264)/4</f>
        <v>0</v>
      </c>
    </row>
    <row r="265" spans="1:14" x14ac:dyDescent="0.2">
      <c r="A265" s="843"/>
      <c r="B265" s="844"/>
      <c r="C265" s="844"/>
      <c r="D265" s="844"/>
      <c r="E265" s="844"/>
      <c r="F265" s="844"/>
      <c r="G265" s="844"/>
      <c r="H265" s="844"/>
      <c r="I265" s="844"/>
      <c r="J265" s="844"/>
      <c r="K265" s="844"/>
      <c r="L265" s="844"/>
      <c r="M265" s="844"/>
      <c r="N265" s="844"/>
    </row>
    <row r="266" spans="1:14" x14ac:dyDescent="0.2">
      <c r="A266" s="831" t="s">
        <v>912</v>
      </c>
      <c r="B266" s="832">
        <f t="shared" ref="B266:M266" si="60">B253*100/B255</f>
        <v>0</v>
      </c>
      <c r="C266" s="832">
        <f t="shared" si="60"/>
        <v>0</v>
      </c>
      <c r="D266" s="832">
        <f t="shared" si="60"/>
        <v>0</v>
      </c>
      <c r="E266" s="832">
        <f t="shared" si="60"/>
        <v>0</v>
      </c>
      <c r="F266" s="832">
        <f t="shared" si="60"/>
        <v>0</v>
      </c>
      <c r="G266" s="832">
        <f t="shared" si="60"/>
        <v>0</v>
      </c>
      <c r="H266" s="832">
        <f t="shared" si="60"/>
        <v>0</v>
      </c>
      <c r="I266" s="832">
        <f t="shared" si="60"/>
        <v>0</v>
      </c>
      <c r="J266" s="832">
        <f t="shared" si="60"/>
        <v>0</v>
      </c>
      <c r="K266" s="832">
        <f t="shared" si="60"/>
        <v>0</v>
      </c>
      <c r="L266" s="832">
        <f t="shared" si="60"/>
        <v>0</v>
      </c>
      <c r="M266" s="832">
        <f t="shared" si="60"/>
        <v>0</v>
      </c>
      <c r="N266" s="846">
        <f>SUM(B266:M266)/12</f>
        <v>0</v>
      </c>
    </row>
    <row r="267" spans="1:14" x14ac:dyDescent="0.2">
      <c r="A267" s="831" t="s">
        <v>913</v>
      </c>
      <c r="B267" s="832">
        <f t="shared" ref="B267:M267" si="61">B251*100/B255</f>
        <v>0</v>
      </c>
      <c r="C267" s="832">
        <f t="shared" si="61"/>
        <v>0</v>
      </c>
      <c r="D267" s="832">
        <f t="shared" si="61"/>
        <v>0</v>
      </c>
      <c r="E267" s="832">
        <f t="shared" si="61"/>
        <v>0</v>
      </c>
      <c r="F267" s="832">
        <f t="shared" si="61"/>
        <v>0</v>
      </c>
      <c r="G267" s="832">
        <f t="shared" si="61"/>
        <v>0</v>
      </c>
      <c r="H267" s="832">
        <f t="shared" si="61"/>
        <v>0</v>
      </c>
      <c r="I267" s="832">
        <f t="shared" si="61"/>
        <v>0</v>
      </c>
      <c r="J267" s="832">
        <f t="shared" si="61"/>
        <v>0</v>
      </c>
      <c r="K267" s="832">
        <f t="shared" si="61"/>
        <v>0</v>
      </c>
      <c r="L267" s="832">
        <f t="shared" si="61"/>
        <v>0</v>
      </c>
      <c r="M267" s="832">
        <f t="shared" si="61"/>
        <v>0</v>
      </c>
      <c r="N267" s="846">
        <f>SUM(B267:M267)/12</f>
        <v>0</v>
      </c>
    </row>
    <row r="268" spans="1:14" x14ac:dyDescent="0.2">
      <c r="A268" s="831" t="s">
        <v>914</v>
      </c>
      <c r="B268" s="832">
        <f t="shared" ref="B268:M268" si="62">B247*100/B255</f>
        <v>0</v>
      </c>
      <c r="C268" s="832">
        <f t="shared" si="62"/>
        <v>0</v>
      </c>
      <c r="D268" s="832">
        <f t="shared" si="62"/>
        <v>0</v>
      </c>
      <c r="E268" s="832">
        <f t="shared" si="62"/>
        <v>0</v>
      </c>
      <c r="F268" s="832">
        <f t="shared" si="62"/>
        <v>0</v>
      </c>
      <c r="G268" s="832">
        <f t="shared" si="62"/>
        <v>0</v>
      </c>
      <c r="H268" s="832">
        <f t="shared" si="62"/>
        <v>0</v>
      </c>
      <c r="I268" s="832">
        <f t="shared" si="62"/>
        <v>0</v>
      </c>
      <c r="J268" s="832">
        <f t="shared" si="62"/>
        <v>0</v>
      </c>
      <c r="K268" s="832">
        <f t="shared" si="62"/>
        <v>0</v>
      </c>
      <c r="L268" s="832">
        <f t="shared" si="62"/>
        <v>0</v>
      </c>
      <c r="M268" s="832">
        <f t="shared" si="62"/>
        <v>0</v>
      </c>
      <c r="N268" s="846">
        <f>SUM(B268:M268)/12</f>
        <v>0</v>
      </c>
    </row>
    <row r="269" spans="1:14" x14ac:dyDescent="0.2">
      <c r="A269" s="855" t="s">
        <v>915</v>
      </c>
      <c r="B269" s="856">
        <f t="shared" ref="B269:M269" si="63">SUM(B244-B255)*100/B255</f>
        <v>0</v>
      </c>
      <c r="C269" s="856">
        <f t="shared" si="63"/>
        <v>0</v>
      </c>
      <c r="D269" s="856">
        <f t="shared" si="63"/>
        <v>0</v>
      </c>
      <c r="E269" s="856">
        <f t="shared" si="63"/>
        <v>0</v>
      </c>
      <c r="F269" s="856">
        <f t="shared" si="63"/>
        <v>0</v>
      </c>
      <c r="G269" s="856">
        <f t="shared" si="63"/>
        <v>0</v>
      </c>
      <c r="H269" s="856">
        <f t="shared" si="63"/>
        <v>0</v>
      </c>
      <c r="I269" s="856">
        <f t="shared" si="63"/>
        <v>0</v>
      </c>
      <c r="J269" s="856">
        <f t="shared" si="63"/>
        <v>0</v>
      </c>
      <c r="K269" s="856">
        <f t="shared" si="63"/>
        <v>0</v>
      </c>
      <c r="L269" s="856">
        <f t="shared" si="63"/>
        <v>0</v>
      </c>
      <c r="M269" s="856">
        <f t="shared" si="63"/>
        <v>0</v>
      </c>
      <c r="N269" s="857">
        <f>SUM(B269:M269)/12</f>
        <v>0</v>
      </c>
    </row>
    <row r="270" spans="1:14" x14ac:dyDescent="0.2">
      <c r="A270" s="843"/>
      <c r="B270" s="844"/>
      <c r="C270" s="844"/>
      <c r="D270" s="844"/>
      <c r="E270" s="844"/>
      <c r="F270" s="844"/>
      <c r="G270" s="844"/>
      <c r="H270" s="844"/>
      <c r="I270" s="844"/>
      <c r="J270" s="844"/>
      <c r="K270" s="844"/>
      <c r="L270" s="844"/>
      <c r="M270" s="844"/>
      <c r="N270" s="828"/>
    </row>
    <row r="271" spans="1:14" x14ac:dyDescent="0.2">
      <c r="A271" s="858" t="s">
        <v>916</v>
      </c>
      <c r="B271" s="844"/>
      <c r="C271" s="844"/>
      <c r="D271" s="844"/>
      <c r="E271" s="844"/>
      <c r="F271" s="844"/>
      <c r="G271" s="844"/>
      <c r="H271" s="844"/>
      <c r="I271" s="844"/>
      <c r="J271" s="844"/>
      <c r="K271" s="844"/>
      <c r="L271" s="844"/>
      <c r="M271" s="844"/>
      <c r="N271" s="828"/>
    </row>
    <row r="272" spans="1:14" x14ac:dyDescent="0.2">
      <c r="A272" s="831" t="s">
        <v>917</v>
      </c>
      <c r="B272" s="859">
        <v>15</v>
      </c>
      <c r="C272" s="859">
        <v>15</v>
      </c>
      <c r="D272" s="859">
        <v>15</v>
      </c>
      <c r="E272" s="859">
        <v>15</v>
      </c>
      <c r="F272" s="859">
        <v>16</v>
      </c>
      <c r="G272" s="859">
        <v>16</v>
      </c>
      <c r="H272" s="859">
        <v>16</v>
      </c>
      <c r="I272" s="859">
        <v>16</v>
      </c>
      <c r="J272" s="859">
        <f>I275</f>
        <v>16</v>
      </c>
      <c r="K272" s="859">
        <f>J275</f>
        <v>16</v>
      </c>
      <c r="L272" s="859">
        <f>K275</f>
        <v>16</v>
      </c>
      <c r="M272" s="859">
        <f>L275</f>
        <v>16</v>
      </c>
      <c r="N272" s="859">
        <f>M275</f>
        <v>16</v>
      </c>
    </row>
    <row r="273" spans="1:14" x14ac:dyDescent="0.2">
      <c r="A273" s="831" t="s">
        <v>918</v>
      </c>
      <c r="B273" s="859"/>
      <c r="C273" s="859"/>
      <c r="D273" s="859"/>
      <c r="E273" s="859">
        <v>1</v>
      </c>
      <c r="F273" s="859"/>
      <c r="G273" s="859"/>
      <c r="H273" s="859"/>
      <c r="I273" s="859"/>
      <c r="J273" s="859"/>
      <c r="K273" s="859"/>
      <c r="L273" s="859"/>
      <c r="M273" s="859"/>
      <c r="N273" s="859">
        <f>SUM(B273:M273)/12</f>
        <v>8.3333333333333329E-2</v>
      </c>
    </row>
    <row r="274" spans="1:14" x14ac:dyDescent="0.2">
      <c r="A274" s="831" t="s">
        <v>919</v>
      </c>
      <c r="B274" s="859"/>
      <c r="C274" s="859"/>
      <c r="D274" s="859"/>
      <c r="E274" s="859"/>
      <c r="F274" s="859"/>
      <c r="G274" s="859"/>
      <c r="H274" s="859"/>
      <c r="I274" s="859"/>
      <c r="J274" s="859"/>
      <c r="K274" s="859"/>
      <c r="L274" s="859"/>
      <c r="M274" s="859"/>
      <c r="N274" s="859">
        <f>SUM(B273:M273)/12</f>
        <v>8.3333333333333329E-2</v>
      </c>
    </row>
    <row r="275" spans="1:14" x14ac:dyDescent="0.2">
      <c r="A275" s="831" t="s">
        <v>916</v>
      </c>
      <c r="B275" s="859">
        <f t="shared" ref="B275:M275" si="64">SUM(B272+B273-B274)</f>
        <v>15</v>
      </c>
      <c r="C275" s="859">
        <f t="shared" si="64"/>
        <v>15</v>
      </c>
      <c r="D275" s="859">
        <f t="shared" si="64"/>
        <v>15</v>
      </c>
      <c r="E275" s="859">
        <f t="shared" si="64"/>
        <v>16</v>
      </c>
      <c r="F275" s="859">
        <f t="shared" si="64"/>
        <v>16</v>
      </c>
      <c r="G275" s="859">
        <f t="shared" si="64"/>
        <v>16</v>
      </c>
      <c r="H275" s="859">
        <f t="shared" si="64"/>
        <v>16</v>
      </c>
      <c r="I275" s="859">
        <f t="shared" si="64"/>
        <v>16</v>
      </c>
      <c r="J275" s="859">
        <f t="shared" si="64"/>
        <v>16</v>
      </c>
      <c r="K275" s="859">
        <f t="shared" si="64"/>
        <v>16</v>
      </c>
      <c r="L275" s="859">
        <f t="shared" si="64"/>
        <v>16</v>
      </c>
      <c r="M275" s="859">
        <f t="shared" si="64"/>
        <v>16</v>
      </c>
      <c r="N275" s="859">
        <f>SUM(B274:M274)/12</f>
        <v>0</v>
      </c>
    </row>
    <row r="276" spans="1:14" x14ac:dyDescent="0.2">
      <c r="A276" s="831" t="s">
        <v>920</v>
      </c>
      <c r="B276" s="860">
        <f t="shared" ref="B276:M276" si="65">SUM(B275*100)/B272-100</f>
        <v>0</v>
      </c>
      <c r="C276" s="860">
        <f t="shared" si="65"/>
        <v>0</v>
      </c>
      <c r="D276" s="860">
        <f t="shared" si="65"/>
        <v>0</v>
      </c>
      <c r="E276" s="860">
        <f t="shared" si="65"/>
        <v>6.6666666666666714</v>
      </c>
      <c r="F276" s="860">
        <f t="shared" si="65"/>
        <v>0</v>
      </c>
      <c r="G276" s="860">
        <f t="shared" si="65"/>
        <v>0</v>
      </c>
      <c r="H276" s="860">
        <f t="shared" si="65"/>
        <v>0</v>
      </c>
      <c r="I276" s="860">
        <f t="shared" si="65"/>
        <v>0</v>
      </c>
      <c r="J276" s="860">
        <f t="shared" si="65"/>
        <v>0</v>
      </c>
      <c r="K276" s="860">
        <f t="shared" si="65"/>
        <v>0</v>
      </c>
      <c r="L276" s="860">
        <f t="shared" si="65"/>
        <v>0</v>
      </c>
      <c r="M276" s="860">
        <f t="shared" si="65"/>
        <v>0</v>
      </c>
      <c r="N276" s="859"/>
    </row>
    <row r="277" spans="1:14" x14ac:dyDescent="0.2">
      <c r="A277" s="843" t="s">
        <v>921</v>
      </c>
      <c r="B277" s="861"/>
      <c r="C277" s="861"/>
      <c r="D277" s="862">
        <f>SUM(B276:D276/3)</f>
        <v>0</v>
      </c>
      <c r="E277" s="861"/>
      <c r="F277" s="861"/>
      <c r="G277" s="862">
        <f>SUM(E276:G276)/3</f>
        <v>2.2222222222222237</v>
      </c>
      <c r="H277" s="861"/>
      <c r="I277" s="861"/>
      <c r="J277" s="862">
        <f>SUM(H276:J276)/3</f>
        <v>0</v>
      </c>
      <c r="K277" s="861"/>
      <c r="L277" s="861"/>
      <c r="M277" s="862">
        <f>SUM(K276:M276)/3</f>
        <v>0</v>
      </c>
      <c r="N277" s="861"/>
    </row>
    <row r="278" spans="1:14" x14ac:dyDescent="0.2">
      <c r="A278" s="967"/>
      <c r="B278" s="968"/>
      <c r="C278" s="968"/>
      <c r="D278" s="968"/>
      <c r="E278" s="968"/>
      <c r="F278" s="968"/>
      <c r="G278" s="968"/>
      <c r="H278" s="968"/>
      <c r="I278" s="968"/>
      <c r="J278" s="968"/>
      <c r="K278" s="968"/>
      <c r="L278" s="968"/>
      <c r="M278" s="968"/>
      <c r="N278" s="969"/>
    </row>
    <row r="279" spans="1:14" x14ac:dyDescent="0.2">
      <c r="A279" s="843"/>
      <c r="B279" s="844"/>
      <c r="C279" s="844"/>
      <c r="D279" s="844"/>
      <c r="E279" s="844"/>
      <c r="F279" s="844"/>
      <c r="G279" s="844"/>
      <c r="H279" s="844"/>
      <c r="I279" s="844"/>
      <c r="J279" s="844"/>
      <c r="K279" s="844"/>
      <c r="L279" s="844"/>
      <c r="M279" s="844"/>
      <c r="N279" s="828"/>
    </row>
    <row r="280" spans="1:14" ht="15.75" x14ac:dyDescent="0.25">
      <c r="A280" s="987" t="s">
        <v>1071</v>
      </c>
      <c r="B280" s="987"/>
      <c r="C280" s="987"/>
      <c r="D280" s="987"/>
      <c r="E280" s="987"/>
      <c r="F280" s="987"/>
      <c r="G280" s="987"/>
      <c r="H280" s="987"/>
      <c r="I280" s="987"/>
      <c r="J280" s="987"/>
      <c r="K280" s="987"/>
      <c r="L280" s="987"/>
      <c r="M280" s="987"/>
      <c r="N280" s="987"/>
    </row>
    <row r="281" spans="1:14" ht="15.75" x14ac:dyDescent="0.25">
      <c r="E281" s="654"/>
      <c r="M281" s="844"/>
      <c r="N281" s="828"/>
    </row>
    <row r="282" spans="1:14" x14ac:dyDescent="0.2">
      <c r="A282" s="533" t="s">
        <v>1045</v>
      </c>
      <c r="B282" s="134"/>
      <c r="C282" s="971"/>
      <c r="D282" s="152" t="s">
        <v>939</v>
      </c>
      <c r="G282" s="1"/>
      <c r="K282" s="1"/>
      <c r="M282" s="844"/>
      <c r="N282" s="828"/>
    </row>
    <row r="283" spans="1:14" x14ac:dyDescent="0.2">
      <c r="A283" s="972"/>
      <c r="B283" s="973"/>
      <c r="C283" s="974"/>
      <c r="D283" s="877"/>
      <c r="E283" s="784"/>
      <c r="G283" s="72"/>
      <c r="H283" s="72"/>
      <c r="I283" s="72"/>
      <c r="J283" s="72"/>
      <c r="K283" s="72"/>
      <c r="M283" s="844"/>
      <c r="N283" s="828"/>
    </row>
    <row r="284" spans="1:14" x14ac:dyDescent="0.2">
      <c r="A284" s="216"/>
      <c r="C284" s="238"/>
      <c r="D284" s="877"/>
      <c r="E284" s="784"/>
      <c r="H284" s="988"/>
      <c r="K284" s="784"/>
      <c r="L284" s="888"/>
      <c r="M284" s="844"/>
      <c r="N284" s="828"/>
    </row>
    <row r="285" spans="1:14" x14ac:dyDescent="0.2">
      <c r="A285" s="358" t="s">
        <v>154</v>
      </c>
      <c r="B285" s="880"/>
      <c r="C285" s="359"/>
      <c r="D285" s="881">
        <f>SUM(D283:D284)</f>
        <v>0</v>
      </c>
      <c r="E285" s="784"/>
      <c r="H285" s="988"/>
      <c r="K285" s="784"/>
      <c r="L285" s="888"/>
      <c r="M285" s="844"/>
      <c r="N285" s="828"/>
    </row>
    <row r="286" spans="1:14" x14ac:dyDescent="0.2">
      <c r="A286" s="7" t="s">
        <v>153</v>
      </c>
      <c r="B286" s="51"/>
      <c r="C286" s="580"/>
      <c r="D286" s="977">
        <f>D285/12</f>
        <v>0</v>
      </c>
      <c r="E286" s="784"/>
      <c r="K286" s="882"/>
      <c r="L286" s="888"/>
      <c r="M286" s="844"/>
      <c r="N286" s="828"/>
    </row>
    <row r="287" spans="1:14" x14ac:dyDescent="0.2">
      <c r="C287" s="978"/>
      <c r="E287" s="784"/>
      <c r="J287" s="978"/>
      <c r="K287" s="882"/>
      <c r="L287" s="885"/>
      <c r="M287" s="844"/>
      <c r="N287" s="828"/>
    </row>
    <row r="288" spans="1:14" x14ac:dyDescent="0.2">
      <c r="A288" s="858" t="s">
        <v>1014</v>
      </c>
      <c r="B288" s="844"/>
      <c r="C288" s="844"/>
      <c r="D288" s="844"/>
      <c r="E288" s="844"/>
      <c r="F288" s="844"/>
      <c r="G288" s="844"/>
      <c r="H288" s="844"/>
      <c r="I288" s="844"/>
      <c r="J288" s="844"/>
      <c r="K288" s="844"/>
      <c r="L288" s="844"/>
      <c r="M288" s="844"/>
      <c r="N288" s="828"/>
    </row>
    <row r="289" spans="1:14" x14ac:dyDescent="0.2">
      <c r="A289" s="926"/>
      <c r="B289" s="832" t="s">
        <v>863</v>
      </c>
      <c r="C289" s="832" t="s">
        <v>864</v>
      </c>
      <c r="D289" s="832" t="s">
        <v>865</v>
      </c>
      <c r="E289" s="832" t="s">
        <v>866</v>
      </c>
      <c r="F289" s="832" t="s">
        <v>867</v>
      </c>
      <c r="G289" s="832" t="s">
        <v>868</v>
      </c>
      <c r="H289" s="832" t="s">
        <v>857</v>
      </c>
      <c r="I289" s="832" t="s">
        <v>858</v>
      </c>
      <c r="J289" s="832" t="s">
        <v>859</v>
      </c>
      <c r="K289" s="832" t="s">
        <v>860</v>
      </c>
      <c r="L289" s="832" t="s">
        <v>861</v>
      </c>
      <c r="M289" s="832" t="s">
        <v>862</v>
      </c>
      <c r="N289" s="829"/>
    </row>
    <row r="290" spans="1:14" x14ac:dyDescent="0.2">
      <c r="A290" s="831" t="s">
        <v>1015</v>
      </c>
      <c r="B290" s="927">
        <f t="shared" ref="B290:M290" si="66">$D$286</f>
        <v>0</v>
      </c>
      <c r="C290" s="927">
        <f t="shared" si="66"/>
        <v>0</v>
      </c>
      <c r="D290" s="927">
        <f t="shared" si="66"/>
        <v>0</v>
      </c>
      <c r="E290" s="927">
        <f t="shared" si="66"/>
        <v>0</v>
      </c>
      <c r="F290" s="927">
        <f t="shared" si="66"/>
        <v>0</v>
      </c>
      <c r="G290" s="927">
        <f t="shared" si="66"/>
        <v>0</v>
      </c>
      <c r="H290" s="927">
        <f t="shared" si="66"/>
        <v>0</v>
      </c>
      <c r="I290" s="927">
        <f t="shared" si="66"/>
        <v>0</v>
      </c>
      <c r="J290" s="927">
        <f t="shared" si="66"/>
        <v>0</v>
      </c>
      <c r="K290" s="927">
        <f t="shared" si="66"/>
        <v>0</v>
      </c>
      <c r="L290" s="927">
        <f t="shared" si="66"/>
        <v>0</v>
      </c>
      <c r="M290" s="927">
        <f t="shared" si="66"/>
        <v>0</v>
      </c>
      <c r="N290" s="927">
        <f t="shared" ref="N290:N296" si="67">SUM(B290:M290)</f>
        <v>0</v>
      </c>
    </row>
    <row r="291" spans="1:14" x14ac:dyDescent="0.2">
      <c r="A291" s="831" t="s">
        <v>1072</v>
      </c>
      <c r="B291" s="927">
        <v>0</v>
      </c>
      <c r="C291" s="927">
        <v>0</v>
      </c>
      <c r="D291" s="927"/>
      <c r="E291" s="927"/>
      <c r="F291" s="927"/>
      <c r="G291" s="955"/>
      <c r="H291" s="927"/>
      <c r="I291" s="927"/>
      <c r="J291" s="927"/>
      <c r="K291" s="927"/>
      <c r="L291" s="927"/>
      <c r="M291" s="927"/>
      <c r="N291" s="927">
        <f t="shared" si="67"/>
        <v>0</v>
      </c>
    </row>
    <row r="292" spans="1:14" x14ac:dyDescent="0.2">
      <c r="A292" s="931" t="s">
        <v>1059</v>
      </c>
      <c r="B292" s="979">
        <f t="shared" ref="B292:M292" si="68">SUM(B290,B291)</f>
        <v>0</v>
      </c>
      <c r="C292" s="979">
        <f t="shared" si="68"/>
        <v>0</v>
      </c>
      <c r="D292" s="979">
        <f t="shared" si="68"/>
        <v>0</v>
      </c>
      <c r="E292" s="979">
        <f t="shared" si="68"/>
        <v>0</v>
      </c>
      <c r="F292" s="979">
        <f t="shared" si="68"/>
        <v>0</v>
      </c>
      <c r="G292" s="979">
        <f t="shared" si="68"/>
        <v>0</v>
      </c>
      <c r="H292" s="979">
        <f t="shared" si="68"/>
        <v>0</v>
      </c>
      <c r="I292" s="979">
        <f t="shared" si="68"/>
        <v>0</v>
      </c>
      <c r="J292" s="979">
        <f t="shared" si="68"/>
        <v>0</v>
      </c>
      <c r="K292" s="979">
        <f t="shared" si="68"/>
        <v>0</v>
      </c>
      <c r="L292" s="979">
        <f t="shared" si="68"/>
        <v>0</v>
      </c>
      <c r="M292" s="979">
        <f t="shared" si="68"/>
        <v>0</v>
      </c>
      <c r="N292" s="980">
        <f t="shared" si="67"/>
        <v>0</v>
      </c>
    </row>
    <row r="293" spans="1:14" x14ac:dyDescent="0.2">
      <c r="A293" s="829" t="s">
        <v>1073</v>
      </c>
      <c r="B293" s="928">
        <v>0</v>
      </c>
      <c r="C293" s="928">
        <v>0</v>
      </c>
      <c r="D293" s="928">
        <v>0</v>
      </c>
      <c r="E293" s="928">
        <v>0</v>
      </c>
      <c r="F293" s="928">
        <v>0</v>
      </c>
      <c r="G293" s="928"/>
      <c r="H293" s="928"/>
      <c r="I293" s="928"/>
      <c r="J293" s="928"/>
      <c r="K293" s="928"/>
      <c r="L293" s="928"/>
      <c r="M293" s="928"/>
      <c r="N293" s="928">
        <f t="shared" si="67"/>
        <v>0</v>
      </c>
    </row>
    <row r="294" spans="1:14" x14ac:dyDescent="0.2">
      <c r="A294" s="947" t="s">
        <v>1074</v>
      </c>
      <c r="B294" s="928">
        <v>10000</v>
      </c>
      <c r="C294" s="928">
        <v>40000</v>
      </c>
      <c r="D294" s="928">
        <v>10000</v>
      </c>
      <c r="E294" s="928">
        <v>0</v>
      </c>
      <c r="F294" s="928">
        <v>10000</v>
      </c>
      <c r="G294" s="928">
        <v>30000</v>
      </c>
      <c r="H294" s="928">
        <v>10000</v>
      </c>
      <c r="I294" s="928"/>
      <c r="J294" s="928"/>
      <c r="K294" s="928"/>
      <c r="L294" s="928"/>
      <c r="M294" s="928"/>
      <c r="N294" s="928">
        <f t="shared" si="67"/>
        <v>110000</v>
      </c>
    </row>
    <row r="295" spans="1:14" x14ac:dyDescent="0.2">
      <c r="A295" s="947" t="s">
        <v>1021</v>
      </c>
      <c r="B295" s="928">
        <v>68850</v>
      </c>
      <c r="C295" s="928">
        <v>65600</v>
      </c>
      <c r="D295" s="928">
        <v>39600</v>
      </c>
      <c r="E295" s="928">
        <v>23175</v>
      </c>
      <c r="F295" s="928">
        <v>32100</v>
      </c>
      <c r="G295" s="928">
        <v>3450</v>
      </c>
      <c r="H295" s="928">
        <v>12600</v>
      </c>
      <c r="I295" s="928">
        <v>28975</v>
      </c>
      <c r="J295" s="928"/>
      <c r="K295" s="928">
        <v>125665</v>
      </c>
      <c r="L295" s="928"/>
      <c r="M295" s="928"/>
      <c r="N295" s="928">
        <f t="shared" si="67"/>
        <v>400015</v>
      </c>
    </row>
    <row r="296" spans="1:14" x14ac:dyDescent="0.2">
      <c r="A296" s="938" t="s">
        <v>1072</v>
      </c>
      <c r="B296" s="939">
        <v>108333</v>
      </c>
      <c r="C296" s="939">
        <v>108333</v>
      </c>
      <c r="D296" s="939">
        <v>108333</v>
      </c>
      <c r="E296" s="939">
        <v>108333</v>
      </c>
      <c r="F296" s="939">
        <v>108333</v>
      </c>
      <c r="G296" s="939">
        <v>108333</v>
      </c>
      <c r="H296" s="939">
        <v>108333</v>
      </c>
      <c r="I296" s="939">
        <v>108333</v>
      </c>
      <c r="J296" s="939">
        <v>108333</v>
      </c>
      <c r="K296" s="939">
        <v>108333</v>
      </c>
      <c r="L296" s="939">
        <v>108333</v>
      </c>
      <c r="M296" s="939">
        <v>108333</v>
      </c>
      <c r="N296" s="928">
        <f t="shared" si="67"/>
        <v>1299996</v>
      </c>
    </row>
    <row r="297" spans="1:14" x14ac:dyDescent="0.2">
      <c r="A297" s="956" t="s">
        <v>1028</v>
      </c>
      <c r="B297" s="957">
        <f t="shared" ref="B297:N297" si="69">SUM(B293:B296)</f>
        <v>187183</v>
      </c>
      <c r="C297" s="957">
        <f t="shared" si="69"/>
        <v>213933</v>
      </c>
      <c r="D297" s="957">
        <f t="shared" si="69"/>
        <v>157933</v>
      </c>
      <c r="E297" s="957">
        <f t="shared" si="69"/>
        <v>131508</v>
      </c>
      <c r="F297" s="957">
        <f t="shared" si="69"/>
        <v>150433</v>
      </c>
      <c r="G297" s="957">
        <f t="shared" si="69"/>
        <v>141783</v>
      </c>
      <c r="H297" s="957">
        <f t="shared" si="69"/>
        <v>130933</v>
      </c>
      <c r="I297" s="957">
        <f t="shared" si="69"/>
        <v>137308</v>
      </c>
      <c r="J297" s="957">
        <f t="shared" si="69"/>
        <v>108333</v>
      </c>
      <c r="K297" s="957">
        <f t="shared" si="69"/>
        <v>233998</v>
      </c>
      <c r="L297" s="957">
        <f t="shared" si="69"/>
        <v>108333</v>
      </c>
      <c r="M297" s="957">
        <f t="shared" si="69"/>
        <v>108333</v>
      </c>
      <c r="N297" s="957">
        <f t="shared" si="69"/>
        <v>1810011</v>
      </c>
    </row>
    <row r="298" spans="1:14" x14ac:dyDescent="0.2">
      <c r="A298" s="829" t="s">
        <v>1029</v>
      </c>
      <c r="B298" s="930"/>
      <c r="C298" s="930"/>
      <c r="D298" s="930"/>
      <c r="E298" s="930"/>
      <c r="F298" s="930"/>
      <c r="G298" s="982"/>
      <c r="H298" s="930"/>
      <c r="I298" s="930"/>
      <c r="J298" s="930"/>
      <c r="K298" s="930"/>
      <c r="L298" s="930"/>
      <c r="M298" s="930"/>
      <c r="N298" s="930">
        <f>SUM(B298:M298)</f>
        <v>0</v>
      </c>
    </row>
    <row r="299" spans="1:14" x14ac:dyDescent="0.2">
      <c r="A299" s="959" t="s">
        <v>1030</v>
      </c>
      <c r="B299" s="989">
        <f t="shared" ref="B299:N299" si="70">SUM(B292,B297,B298)</f>
        <v>187183</v>
      </c>
      <c r="C299" s="989">
        <f t="shared" si="70"/>
        <v>213933</v>
      </c>
      <c r="D299" s="989">
        <f t="shared" si="70"/>
        <v>157933</v>
      </c>
      <c r="E299" s="989">
        <f t="shared" si="70"/>
        <v>131508</v>
      </c>
      <c r="F299" s="989">
        <f t="shared" si="70"/>
        <v>150433</v>
      </c>
      <c r="G299" s="989">
        <f t="shared" si="70"/>
        <v>141783</v>
      </c>
      <c r="H299" s="989">
        <f t="shared" si="70"/>
        <v>130933</v>
      </c>
      <c r="I299" s="989">
        <f t="shared" si="70"/>
        <v>137308</v>
      </c>
      <c r="J299" s="989">
        <f t="shared" si="70"/>
        <v>108333</v>
      </c>
      <c r="K299" s="989">
        <f t="shared" si="70"/>
        <v>233998</v>
      </c>
      <c r="L299" s="989">
        <f t="shared" si="70"/>
        <v>108333</v>
      </c>
      <c r="M299" s="989">
        <f t="shared" si="70"/>
        <v>108333</v>
      </c>
      <c r="N299" s="989">
        <f t="shared" si="70"/>
        <v>1810011</v>
      </c>
    </row>
    <row r="300" spans="1:14" x14ac:dyDescent="0.2">
      <c r="A300" s="984" t="s">
        <v>1031</v>
      </c>
      <c r="B300" s="930">
        <v>625100</v>
      </c>
      <c r="C300" s="930">
        <v>625100</v>
      </c>
      <c r="D300" s="930">
        <v>625100</v>
      </c>
      <c r="E300" s="930">
        <v>625100</v>
      </c>
      <c r="F300" s="930">
        <v>625100</v>
      </c>
      <c r="G300" s="930">
        <v>625100</v>
      </c>
      <c r="H300" s="930">
        <v>625100</v>
      </c>
      <c r="I300" s="930">
        <v>625100</v>
      </c>
      <c r="J300" s="930">
        <v>625100</v>
      </c>
      <c r="K300" s="930">
        <v>625100</v>
      </c>
      <c r="L300" s="930">
        <v>625100</v>
      </c>
      <c r="M300" s="930">
        <v>625100</v>
      </c>
      <c r="N300" s="930">
        <f>SUM(B300:M300)</f>
        <v>7501200</v>
      </c>
    </row>
    <row r="301" spans="1:14" x14ac:dyDescent="0.2">
      <c r="A301" s="829" t="s">
        <v>1032</v>
      </c>
      <c r="B301" s="829">
        <v>8000</v>
      </c>
      <c r="C301" s="829">
        <v>8000</v>
      </c>
      <c r="D301" s="829">
        <v>8000</v>
      </c>
      <c r="E301" s="829">
        <v>8000</v>
      </c>
      <c r="F301" s="829">
        <v>8000</v>
      </c>
      <c r="G301" s="829">
        <v>8000</v>
      </c>
      <c r="H301" s="829">
        <v>8000</v>
      </c>
      <c r="I301" s="829">
        <v>8000</v>
      </c>
      <c r="J301" s="829">
        <v>8000</v>
      </c>
      <c r="K301" s="829">
        <v>8000</v>
      </c>
      <c r="L301" s="829">
        <v>8000</v>
      </c>
      <c r="M301" s="829">
        <v>8000</v>
      </c>
      <c r="N301" s="930">
        <f>SUM(B301:M301)</f>
        <v>96000</v>
      </c>
    </row>
    <row r="302" spans="1:14" x14ac:dyDescent="0.2">
      <c r="A302" s="963" t="s">
        <v>1033</v>
      </c>
      <c r="B302" s="964">
        <f t="shared" ref="B302:N302" si="71">SUM(B299-B300-B301)</f>
        <v>-445917</v>
      </c>
      <c r="C302" s="964">
        <f t="shared" si="71"/>
        <v>-419167</v>
      </c>
      <c r="D302" s="964">
        <f t="shared" si="71"/>
        <v>-475167</v>
      </c>
      <c r="E302" s="964">
        <f t="shared" si="71"/>
        <v>-501592</v>
      </c>
      <c r="F302" s="964">
        <f t="shared" si="71"/>
        <v>-482667</v>
      </c>
      <c r="G302" s="964">
        <f t="shared" si="71"/>
        <v>-491317</v>
      </c>
      <c r="H302" s="964">
        <f t="shared" si="71"/>
        <v>-502167</v>
      </c>
      <c r="I302" s="964">
        <f t="shared" si="71"/>
        <v>-495792</v>
      </c>
      <c r="J302" s="964">
        <f t="shared" si="71"/>
        <v>-524767</v>
      </c>
      <c r="K302" s="964">
        <f t="shared" si="71"/>
        <v>-399102</v>
      </c>
      <c r="L302" s="964">
        <f t="shared" si="71"/>
        <v>-524767</v>
      </c>
      <c r="M302" s="964">
        <f t="shared" si="71"/>
        <v>-524767</v>
      </c>
      <c r="N302" s="964">
        <f t="shared" si="71"/>
        <v>-5787189</v>
      </c>
    </row>
    <row r="303" spans="1:14" x14ac:dyDescent="0.2">
      <c r="A303" s="990"/>
      <c r="B303" s="991"/>
      <c r="C303" s="991"/>
      <c r="D303" s="991"/>
      <c r="E303" s="991"/>
      <c r="F303" s="991"/>
      <c r="G303" s="991"/>
      <c r="H303" s="991"/>
      <c r="I303" s="991"/>
      <c r="J303" s="991"/>
      <c r="K303" s="991"/>
      <c r="L303" s="991"/>
      <c r="M303" s="991"/>
      <c r="N303" s="991"/>
    </row>
    <row r="305" spans="1:14" x14ac:dyDescent="0.2">
      <c r="A305" s="984" t="s">
        <v>1128</v>
      </c>
      <c r="B305" s="832" t="s">
        <v>858</v>
      </c>
      <c r="C305" s="832" t="s">
        <v>859</v>
      </c>
      <c r="D305" s="832" t="s">
        <v>860</v>
      </c>
      <c r="E305" s="832" t="s">
        <v>861</v>
      </c>
      <c r="F305" s="832" t="s">
        <v>862</v>
      </c>
      <c r="G305" s="832" t="s">
        <v>863</v>
      </c>
      <c r="H305" s="832" t="s">
        <v>864</v>
      </c>
      <c r="I305" s="832" t="s">
        <v>865</v>
      </c>
      <c r="J305" s="832" t="s">
        <v>866</v>
      </c>
      <c r="K305" s="832" t="s">
        <v>867</v>
      </c>
      <c r="L305" s="832" t="s">
        <v>868</v>
      </c>
      <c r="M305" s="832" t="s">
        <v>857</v>
      </c>
      <c r="N305" s="991"/>
    </row>
    <row r="306" spans="1:14" x14ac:dyDescent="0.2">
      <c r="A306" s="152" t="s">
        <v>1129</v>
      </c>
      <c r="B306" s="152">
        <v>60</v>
      </c>
      <c r="C306" s="152"/>
      <c r="D306" s="152">
        <v>17</v>
      </c>
      <c r="E306" s="152"/>
      <c r="F306" s="152"/>
      <c r="G306" s="152"/>
      <c r="H306" s="152"/>
      <c r="I306" s="152"/>
      <c r="J306" s="152"/>
      <c r="K306" s="152"/>
      <c r="L306" s="152"/>
      <c r="M306" s="152"/>
    </row>
    <row r="307" spans="1:14" x14ac:dyDescent="0.2">
      <c r="A307" s="152" t="s">
        <v>1130</v>
      </c>
      <c r="B307" s="152">
        <v>1616</v>
      </c>
      <c r="C307" s="152"/>
      <c r="D307" s="152">
        <v>217</v>
      </c>
      <c r="E307" s="152"/>
      <c r="F307" s="152"/>
      <c r="G307" s="152"/>
      <c r="H307" s="152"/>
      <c r="I307" s="152"/>
      <c r="J307" s="152"/>
      <c r="K307" s="152"/>
      <c r="L307" s="152"/>
      <c r="M307" s="152"/>
    </row>
    <row r="308" spans="1:14" x14ac:dyDescent="0.2">
      <c r="A308" s="152" t="s">
        <v>1131</v>
      </c>
      <c r="B308" s="152">
        <v>11</v>
      </c>
      <c r="C308" s="152"/>
      <c r="D308" s="152"/>
      <c r="E308" s="152"/>
      <c r="F308" s="152"/>
      <c r="G308" s="152"/>
      <c r="H308" s="152"/>
      <c r="I308" s="152"/>
      <c r="J308" s="152"/>
      <c r="K308" s="152"/>
      <c r="L308" s="152"/>
      <c r="M308" s="152"/>
    </row>
    <row r="309" spans="1:14" x14ac:dyDescent="0.2">
      <c r="A309" s="152" t="s">
        <v>1130</v>
      </c>
      <c r="B309" s="152">
        <v>520</v>
      </c>
      <c r="C309" s="152"/>
      <c r="D309" s="152"/>
      <c r="E309" s="152"/>
      <c r="F309" s="152"/>
      <c r="G309" s="152"/>
      <c r="H309" s="152"/>
      <c r="I309" s="152"/>
      <c r="J309" s="152"/>
      <c r="K309" s="152"/>
      <c r="L309" s="152"/>
      <c r="M309" s="152"/>
    </row>
    <row r="310" spans="1:14" x14ac:dyDescent="0.2">
      <c r="A310" s="992" t="s">
        <v>1132</v>
      </c>
      <c r="B310" s="993"/>
      <c r="C310" s="993"/>
      <c r="D310" s="993"/>
      <c r="E310" s="993"/>
      <c r="F310" s="993"/>
      <c r="G310" s="993"/>
      <c r="H310" s="993"/>
      <c r="I310" s="993"/>
      <c r="J310" s="993"/>
      <c r="K310" s="993"/>
      <c r="L310" s="993"/>
      <c r="M310" s="993"/>
    </row>
  </sheetData>
  <sheetProtection selectLockedCells="1" selectUnlockedCells="1"/>
  <mergeCells count="6">
    <mergeCell ref="A170:N170"/>
    <mergeCell ref="A241:N241"/>
    <mergeCell ref="A1:N1"/>
    <mergeCell ref="A56:N56"/>
    <mergeCell ref="I60:M60"/>
    <mergeCell ref="A114:N114"/>
  </mergeCells>
  <phoneticPr fontId="7" type="noConversion"/>
  <pageMargins left="0.19652777777777777" right="0" top="0.19652777777777777" bottom="0.19652777777777777" header="0.51180555555555551" footer="0.51180555555555551"/>
  <pageSetup paperSize="9" scale="80" firstPageNumber="0" orientation="landscape" horizontalDpi="300" verticalDpi="300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21"/>
  <dimension ref="A1:N20"/>
  <sheetViews>
    <sheetView zoomScale="67" zoomScaleNormal="67" workbookViewId="0">
      <selection activeCell="O13" sqref="O13"/>
    </sheetView>
  </sheetViews>
  <sheetFormatPr defaultRowHeight="12.75" x14ac:dyDescent="0.2"/>
  <cols>
    <col min="1" max="1" width="10.28515625" customWidth="1"/>
    <col min="2" max="2" width="17.85546875" customWidth="1"/>
    <col min="3" max="3" width="27.5703125" customWidth="1"/>
    <col min="4" max="4" width="8.28515625" customWidth="1"/>
    <col min="5" max="5" width="8.7109375" customWidth="1"/>
    <col min="6" max="6" width="8.42578125" customWidth="1"/>
    <col min="7" max="7" width="8.7109375" customWidth="1"/>
    <col min="8" max="8" width="9.7109375" customWidth="1"/>
    <col min="9" max="9" width="8.85546875" customWidth="1"/>
    <col min="10" max="12" width="10" customWidth="1"/>
    <col min="14" max="14" width="13.140625" customWidth="1"/>
    <col min="15" max="15" width="16" customWidth="1"/>
  </cols>
  <sheetData>
    <row r="1" spans="1:14" ht="18" x14ac:dyDescent="0.25">
      <c r="A1" s="1802" t="s">
        <v>1162</v>
      </c>
      <c r="B1" s="1802"/>
      <c r="C1" s="1802"/>
      <c r="D1" s="1802"/>
      <c r="E1" s="1802"/>
      <c r="F1" s="1802"/>
      <c r="G1" s="1802"/>
      <c r="H1" s="1802"/>
      <c r="I1" s="1802"/>
      <c r="J1" s="1802"/>
      <c r="K1" s="1802"/>
      <c r="L1" s="1802"/>
      <c r="M1" s="1802"/>
      <c r="N1" s="1802"/>
    </row>
    <row r="2" spans="1:14" ht="32.25" customHeight="1" x14ac:dyDescent="0.2">
      <c r="A2" s="994"/>
      <c r="B2" s="995" t="s">
        <v>1163</v>
      </c>
      <c r="C2" s="995" t="s">
        <v>1164</v>
      </c>
      <c r="D2" s="996" t="s">
        <v>1165</v>
      </c>
      <c r="E2" s="996" t="s">
        <v>1166</v>
      </c>
      <c r="F2" s="994"/>
      <c r="G2" s="997" t="s">
        <v>1167</v>
      </c>
      <c r="H2" s="997"/>
      <c r="I2" s="998"/>
      <c r="J2" s="994"/>
      <c r="K2" s="997" t="s">
        <v>1168</v>
      </c>
      <c r="L2" s="997"/>
      <c r="M2" s="998"/>
      <c r="N2" s="998" t="s">
        <v>10</v>
      </c>
    </row>
    <row r="3" spans="1:14" x14ac:dyDescent="0.2">
      <c r="A3" s="999"/>
      <c r="B3" s="1000" t="s">
        <v>28</v>
      </c>
      <c r="C3" s="1000"/>
      <c r="D3" s="1001"/>
      <c r="E3" s="1001"/>
      <c r="F3" s="1002" t="s">
        <v>1169</v>
      </c>
      <c r="G3" s="1003" t="s">
        <v>1170</v>
      </c>
      <c r="H3" s="1003" t="s">
        <v>1171</v>
      </c>
      <c r="I3" s="1004" t="s">
        <v>1172</v>
      </c>
      <c r="J3" s="1002" t="s">
        <v>1169</v>
      </c>
      <c r="K3" s="1003" t="s">
        <v>1170</v>
      </c>
      <c r="L3" s="1003" t="s">
        <v>1171</v>
      </c>
      <c r="M3" s="1004" t="s">
        <v>1172</v>
      </c>
      <c r="N3" s="1005"/>
    </row>
    <row r="4" spans="1:14" ht="48.75" customHeight="1" x14ac:dyDescent="0.2">
      <c r="A4" s="1006" t="s">
        <v>1173</v>
      </c>
      <c r="B4" s="1007" t="s">
        <v>1174</v>
      </c>
      <c r="C4" s="1008" t="s">
        <v>1175</v>
      </c>
      <c r="D4" s="1009" t="s">
        <v>1176</v>
      </c>
      <c r="E4" s="1010" t="s">
        <v>26</v>
      </c>
      <c r="F4" s="1011"/>
      <c r="G4" s="1012"/>
      <c r="H4" s="1013"/>
      <c r="I4" s="1013"/>
      <c r="J4" s="1011"/>
      <c r="K4" s="1013"/>
      <c r="L4" s="1013"/>
      <c r="M4" s="1014"/>
      <c r="N4" s="1015"/>
    </row>
    <row r="5" spans="1:14" x14ac:dyDescent="0.2">
      <c r="A5" s="1016"/>
      <c r="B5" s="1016"/>
      <c r="C5" s="1016"/>
      <c r="D5" s="1016"/>
      <c r="E5" s="1016"/>
      <c r="F5" s="1017"/>
      <c r="G5" s="1017"/>
      <c r="H5" s="1017"/>
      <c r="I5" s="1017"/>
      <c r="J5" s="1017"/>
      <c r="K5" s="1017"/>
      <c r="L5" s="1017"/>
      <c r="M5" s="1017"/>
      <c r="N5" s="1016"/>
    </row>
    <row r="6" spans="1:14" ht="32.25" customHeight="1" x14ac:dyDescent="0.2">
      <c r="A6" s="994"/>
      <c r="B6" s="995" t="s">
        <v>1177</v>
      </c>
      <c r="C6" s="995" t="s">
        <v>1164</v>
      </c>
      <c r="D6" s="996" t="s">
        <v>1165</v>
      </c>
      <c r="E6" s="996" t="s">
        <v>1166</v>
      </c>
      <c r="F6" s="1018"/>
      <c r="G6" s="1019" t="s">
        <v>1167</v>
      </c>
      <c r="H6" s="1019"/>
      <c r="I6" s="1020"/>
      <c r="J6" s="1018"/>
      <c r="K6" s="1019" t="s">
        <v>1168</v>
      </c>
      <c r="L6" s="1019"/>
      <c r="M6" s="1020"/>
      <c r="N6" s="998" t="s">
        <v>10</v>
      </c>
    </row>
    <row r="7" spans="1:14" x14ac:dyDescent="0.2">
      <c r="A7" s="999"/>
      <c r="B7" s="1000" t="s">
        <v>28</v>
      </c>
      <c r="C7" s="1000"/>
      <c r="D7" s="1001"/>
      <c r="E7" s="1001"/>
      <c r="F7" s="1002" t="s">
        <v>1169</v>
      </c>
      <c r="G7" s="1003" t="s">
        <v>1170</v>
      </c>
      <c r="H7" s="1003" t="s">
        <v>1171</v>
      </c>
      <c r="I7" s="1004" t="s">
        <v>1172</v>
      </c>
      <c r="J7" s="1002" t="s">
        <v>1169</v>
      </c>
      <c r="K7" s="1003" t="s">
        <v>1170</v>
      </c>
      <c r="L7" s="1003" t="s">
        <v>1171</v>
      </c>
      <c r="M7" s="1004" t="s">
        <v>1172</v>
      </c>
      <c r="N7" s="1005"/>
    </row>
    <row r="8" spans="1:14" ht="36" customHeight="1" x14ac:dyDescent="0.2">
      <c r="A8" s="1021" t="s">
        <v>1178</v>
      </c>
      <c r="B8" s="1007" t="s">
        <v>1179</v>
      </c>
      <c r="C8" s="1008" t="s">
        <v>1180</v>
      </c>
      <c r="D8" s="1022" t="s">
        <v>1181</v>
      </c>
      <c r="E8" s="1023" t="s">
        <v>1182</v>
      </c>
      <c r="F8" s="1024">
        <v>0</v>
      </c>
      <c r="G8" s="1025">
        <v>0</v>
      </c>
      <c r="H8" s="1025">
        <v>0</v>
      </c>
      <c r="I8" s="1026">
        <v>0</v>
      </c>
      <c r="J8" s="1024">
        <v>0</v>
      </c>
      <c r="K8" s="1025">
        <v>0</v>
      </c>
      <c r="L8" s="1025">
        <v>0</v>
      </c>
      <c r="M8" s="1026"/>
      <c r="N8" s="1027"/>
    </row>
    <row r="9" spans="1:14" ht="39.75" customHeight="1" x14ac:dyDescent="0.2">
      <c r="A9" s="1021" t="s">
        <v>1183</v>
      </c>
      <c r="B9" s="226" t="s">
        <v>1184</v>
      </c>
      <c r="C9" s="1028" t="s">
        <v>1185</v>
      </c>
      <c r="D9" s="1029" t="s">
        <v>1186</v>
      </c>
      <c r="E9" s="1023" t="s">
        <v>1182</v>
      </c>
      <c r="F9" s="1024" t="s">
        <v>28</v>
      </c>
      <c r="G9" s="1025"/>
      <c r="H9" s="1025">
        <v>4</v>
      </c>
      <c r="I9" s="1026"/>
      <c r="J9" s="1024">
        <v>0</v>
      </c>
      <c r="K9" s="1025">
        <v>0</v>
      </c>
      <c r="L9" s="1025" t="s">
        <v>28</v>
      </c>
      <c r="M9" s="1026"/>
      <c r="N9" s="1030"/>
    </row>
    <row r="10" spans="1:14" ht="39" customHeight="1" x14ac:dyDescent="0.2">
      <c r="A10" s="1031" t="s">
        <v>1187</v>
      </c>
      <c r="B10" s="1007" t="s">
        <v>1179</v>
      </c>
      <c r="C10" s="1008" t="s">
        <v>1180</v>
      </c>
      <c r="D10" s="1022" t="s">
        <v>1181</v>
      </c>
      <c r="E10" s="1023" t="s">
        <v>1188</v>
      </c>
      <c r="F10" s="1024">
        <v>0</v>
      </c>
      <c r="G10" s="1025">
        <v>0</v>
      </c>
      <c r="H10" s="1025">
        <v>0</v>
      </c>
      <c r="I10" s="1026">
        <v>0</v>
      </c>
      <c r="J10" s="1024">
        <v>0</v>
      </c>
      <c r="K10" s="1025">
        <v>0</v>
      </c>
      <c r="L10" s="1025">
        <v>0</v>
      </c>
      <c r="M10" s="1026"/>
      <c r="N10" s="1027"/>
    </row>
    <row r="11" spans="1:14" ht="45" x14ac:dyDescent="0.2">
      <c r="A11" s="1031" t="s">
        <v>1189</v>
      </c>
      <c r="B11" s="226" t="s">
        <v>1184</v>
      </c>
      <c r="C11" s="1028" t="s">
        <v>1185</v>
      </c>
      <c r="D11" s="1029" t="s">
        <v>1186</v>
      </c>
      <c r="E11" s="1023" t="s">
        <v>1190</v>
      </c>
      <c r="F11" s="1024" t="s">
        <v>28</v>
      </c>
      <c r="G11" s="1025"/>
      <c r="H11" s="1025">
        <v>4</v>
      </c>
      <c r="I11" s="1026"/>
      <c r="J11" s="1024">
        <v>0</v>
      </c>
      <c r="K11" s="1025">
        <v>0</v>
      </c>
      <c r="L11" s="1025">
        <v>0</v>
      </c>
      <c r="M11" s="1026"/>
      <c r="N11" s="1030"/>
    </row>
    <row r="12" spans="1:14" ht="36" customHeight="1" x14ac:dyDescent="0.2">
      <c r="A12" s="1032" t="s">
        <v>1191</v>
      </c>
      <c r="B12" s="1007" t="s">
        <v>1179</v>
      </c>
      <c r="C12" s="1008" t="s">
        <v>1180</v>
      </c>
      <c r="D12" s="1022" t="s">
        <v>1181</v>
      </c>
      <c r="E12" s="1023" t="s">
        <v>1192</v>
      </c>
      <c r="F12" s="1024">
        <v>0</v>
      </c>
      <c r="G12" s="1025">
        <v>0</v>
      </c>
      <c r="H12" s="1025">
        <v>0</v>
      </c>
      <c r="I12" s="1026">
        <v>0</v>
      </c>
      <c r="J12" s="1024">
        <v>0</v>
      </c>
      <c r="K12" s="1025">
        <v>0</v>
      </c>
      <c r="L12" s="1025">
        <v>0</v>
      </c>
      <c r="M12" s="1026"/>
      <c r="N12" s="1027"/>
    </row>
    <row r="13" spans="1:14" ht="37.5" customHeight="1" x14ac:dyDescent="0.2">
      <c r="A13" s="1032" t="s">
        <v>624</v>
      </c>
      <c r="B13" s="226" t="s">
        <v>1184</v>
      </c>
      <c r="C13" s="1028" t="s">
        <v>1185</v>
      </c>
      <c r="D13" s="1029" t="s">
        <v>1186</v>
      </c>
      <c r="E13" s="1023" t="s">
        <v>1192</v>
      </c>
      <c r="F13" s="1024" t="s">
        <v>28</v>
      </c>
      <c r="G13" s="1025"/>
      <c r="H13" s="1025">
        <v>4</v>
      </c>
      <c r="I13" s="1026"/>
      <c r="J13" s="1024">
        <v>0</v>
      </c>
      <c r="K13" s="1025">
        <v>0</v>
      </c>
      <c r="L13" s="1025">
        <v>0</v>
      </c>
      <c r="M13" s="1026"/>
      <c r="N13" s="1030"/>
    </row>
    <row r="14" spans="1:14" ht="36" customHeight="1" x14ac:dyDescent="0.2">
      <c r="A14" s="1033" t="s">
        <v>1193</v>
      </c>
      <c r="B14" s="1007" t="s">
        <v>1179</v>
      </c>
      <c r="C14" s="1008" t="s">
        <v>1180</v>
      </c>
      <c r="D14" s="1022" t="s">
        <v>1181</v>
      </c>
      <c r="E14" s="1023" t="s">
        <v>1192</v>
      </c>
      <c r="F14" s="1024">
        <v>0</v>
      </c>
      <c r="G14" s="1025">
        <v>0</v>
      </c>
      <c r="H14" s="1025">
        <v>0</v>
      </c>
      <c r="I14" s="1026">
        <v>0</v>
      </c>
      <c r="J14" s="1024">
        <v>0</v>
      </c>
      <c r="K14" s="1025">
        <v>0</v>
      </c>
      <c r="L14" s="1025">
        <v>0</v>
      </c>
      <c r="M14" s="1026"/>
      <c r="N14" s="1027"/>
    </row>
    <row r="15" spans="1:14" ht="45" x14ac:dyDescent="0.2">
      <c r="A15" s="1034" t="s">
        <v>647</v>
      </c>
      <c r="B15" s="137" t="s">
        <v>1184</v>
      </c>
      <c r="C15" s="1035" t="s">
        <v>1185</v>
      </c>
      <c r="D15" s="1036" t="s">
        <v>1186</v>
      </c>
      <c r="E15" s="1037" t="s">
        <v>1192</v>
      </c>
      <c r="F15" s="1038" t="s">
        <v>28</v>
      </c>
      <c r="G15" s="1039"/>
      <c r="H15" s="1039">
        <v>4</v>
      </c>
      <c r="I15" s="1040"/>
      <c r="J15" s="1038">
        <v>0</v>
      </c>
      <c r="K15" s="1039">
        <v>0</v>
      </c>
      <c r="L15" s="1039">
        <v>0</v>
      </c>
      <c r="M15" s="1040"/>
      <c r="N15" s="1041"/>
    </row>
    <row r="16" spans="1:14" ht="36" customHeight="1" x14ac:dyDescent="0.2">
      <c r="A16" s="1042"/>
      <c r="B16" s="1007" t="s">
        <v>1179</v>
      </c>
      <c r="C16" s="1008" t="s">
        <v>1180</v>
      </c>
      <c r="D16" s="1022" t="s">
        <v>1181</v>
      </c>
      <c r="E16" s="1023" t="s">
        <v>1194</v>
      </c>
      <c r="F16" s="1024">
        <v>0</v>
      </c>
      <c r="G16" s="1025">
        <v>0</v>
      </c>
      <c r="H16" s="1025">
        <v>0</v>
      </c>
      <c r="I16" s="1026">
        <v>0</v>
      </c>
      <c r="J16" s="1043"/>
      <c r="K16" s="1044"/>
      <c r="L16" s="1044"/>
      <c r="M16" s="1045"/>
      <c r="N16" s="1046"/>
    </row>
    <row r="17" spans="1:14" ht="45.75" customHeight="1" x14ac:dyDescent="0.2">
      <c r="A17" s="1047" t="s">
        <v>1195</v>
      </c>
      <c r="B17" s="137" t="s">
        <v>1184</v>
      </c>
      <c r="C17" s="1035" t="s">
        <v>1185</v>
      </c>
      <c r="D17" s="1036" t="s">
        <v>1186</v>
      </c>
      <c r="E17" s="1037" t="s">
        <v>1194</v>
      </c>
      <c r="F17" s="1048"/>
      <c r="G17" s="1049"/>
      <c r="H17" s="1039">
        <v>4</v>
      </c>
      <c r="I17" s="1050"/>
      <c r="J17" s="1048"/>
      <c r="K17" s="1049"/>
      <c r="L17" s="1049"/>
      <c r="M17" s="1050"/>
      <c r="N17" s="1051"/>
    </row>
    <row r="18" spans="1:14" x14ac:dyDescent="0.2">
      <c r="A18" s="1016"/>
      <c r="B18" s="1016"/>
      <c r="C18" s="1016"/>
      <c r="D18" s="1016"/>
      <c r="E18" s="1016"/>
      <c r="F18" s="1017"/>
      <c r="G18" s="1017"/>
      <c r="H18" s="1017"/>
      <c r="I18" s="1017"/>
      <c r="J18" s="1017"/>
      <c r="K18" s="1017"/>
      <c r="L18" s="1017"/>
      <c r="M18" s="1017"/>
      <c r="N18" s="1016"/>
    </row>
    <row r="19" spans="1:14" x14ac:dyDescent="0.2">
      <c r="A19" s="1016"/>
      <c r="B19" s="1016"/>
      <c r="C19" s="1016"/>
      <c r="D19" s="1016"/>
      <c r="E19" s="1016"/>
      <c r="F19" s="1017"/>
      <c r="G19" s="1017"/>
      <c r="H19" s="1017"/>
      <c r="I19" s="1017"/>
      <c r="J19" s="1017"/>
      <c r="K19" s="1017"/>
      <c r="L19" s="1017"/>
      <c r="M19" s="1017"/>
      <c r="N19" s="1016"/>
    </row>
    <row r="20" spans="1:14" ht="18" x14ac:dyDescent="0.25">
      <c r="A20" s="1016"/>
      <c r="B20" s="1016"/>
      <c r="C20" s="1052"/>
      <c r="D20" s="1016"/>
      <c r="E20" s="1016"/>
      <c r="F20" s="1017"/>
      <c r="G20" s="1017"/>
      <c r="H20" s="1017"/>
      <c r="I20" s="1017"/>
      <c r="J20" s="1017"/>
      <c r="K20" s="1017"/>
      <c r="L20" s="1017"/>
      <c r="M20" s="1017"/>
      <c r="N20" s="1016"/>
    </row>
  </sheetData>
  <sheetProtection selectLockedCells="1" selectUnlockedCells="1"/>
  <mergeCells count="1">
    <mergeCell ref="A1:N1"/>
  </mergeCells>
  <phoneticPr fontId="7" type="noConversion"/>
  <pageMargins left="0" right="0" top="0" bottom="0" header="0.51180555555555551" footer="0.51180555555555551"/>
  <pageSetup paperSize="9" scale="85" firstPageNumber="0" orientation="landscape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e6a412d2-aea5-45d9-add9-4615ec186553" ContentTypeId="0x010100B015E2879F2C3E49A84E4FBA662FB26A" PreviousValue="false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Path xmlns="0dd46b0f-e2c7-4a31-a61e-54a1e81a6d74">\\kk-dfs.kk.dk\of$\KEjd\SERVICE &amp; KUNDER\RÅDHUSSERVICE\Betjent\_Rådhusvagten\Vagtplaner\Vagtplan 2011 - 2012.xlsm</MigrationPath>
    <MigrationDirectoryID xmlns="0dd46b0f-e2c7-4a31-a61e-54a1e81a6d74">EB2DA93E41303435E0260E130F69F969BB3D0AA6</MigrationDirectoryID>
    <MigrationOriginalDate xmlns="0dd46b0f-e2c7-4a31-a61e-54a1e81a6d74" xsi:nil="true"/>
    <TaxCatchAll xmlns="0dd46b0f-e2c7-4a31-a61e-54a1e81a6d74" xsi:nil="true"/>
    <j2c2601e249f4d2993f2fcc4fe83f7c1 xmlns="0dd46b0f-e2c7-4a31-a61e-54a1e81a6d74">
      <Terms xmlns="http://schemas.microsoft.com/office/infopath/2007/PartnerControls"/>
    </j2c2601e249f4d2993f2fcc4fe83f7c1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MigreringsDokument" ma:contentTypeID="0x010100B015E2879F2C3E49A84E4FBA662FB26A0046F37DEC036D284BBEE537A85881DFA0" ma:contentTypeVersion="9" ma:contentTypeDescription="" ma:contentTypeScope="" ma:versionID="1d12a6c299441fbf0bd6b4558108a6e7">
  <xsd:schema xmlns:xsd="http://www.w3.org/2001/XMLSchema" xmlns:xs="http://www.w3.org/2001/XMLSchema" xmlns:p="http://schemas.microsoft.com/office/2006/metadata/properties" xmlns:ns2="0dd46b0f-e2c7-4a31-a61e-54a1e81a6d74" targetNamespace="http://schemas.microsoft.com/office/2006/metadata/properties" ma:root="true" ma:fieldsID="833900f231cd3a65f9faf3d665b6006a" ns2:_="">
    <xsd:import namespace="0dd46b0f-e2c7-4a31-a61e-54a1e81a6d74"/>
    <xsd:element name="properties">
      <xsd:complexType>
        <xsd:sequence>
          <xsd:element name="documentManagement">
            <xsd:complexType>
              <xsd:all>
                <xsd:element ref="ns2:MigrationPath" minOccurs="0"/>
                <xsd:element ref="ns2:MigrationDirectoryID" minOccurs="0"/>
                <xsd:element ref="ns2:MigrationOriginalDate" minOccurs="0"/>
                <xsd:element ref="ns2:j2c2601e249f4d2993f2fcc4fe83f7c1" minOccurs="0"/>
                <xsd:element ref="ns2:TaxCatchAll" minOccurs="0"/>
                <xsd:element ref="ns2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d46b0f-e2c7-4a31-a61e-54a1e81a6d74" elementFormDefault="qualified">
    <xsd:import namespace="http://schemas.microsoft.com/office/2006/documentManagement/types"/>
    <xsd:import namespace="http://schemas.microsoft.com/office/infopath/2007/PartnerControls"/>
    <xsd:element name="MigrationPath" ma:index="8" nillable="true" ma:displayName="Migreringssti" ma:internalName="MigrationPath" ma:readOnly="false">
      <xsd:simpleType>
        <xsd:restriction base="dms:Text">
          <xsd:maxLength value="255"/>
        </xsd:restriction>
      </xsd:simpleType>
    </xsd:element>
    <xsd:element name="MigrationDirectoryID" ma:index="9" nillable="true" ma:displayName="MigreringsFolderId" ma:internalName="MigrationDirectoryID" ma:readOnly="false">
      <xsd:simpleType>
        <xsd:restriction base="dms:Text">
          <xsd:maxLength value="255"/>
        </xsd:restriction>
      </xsd:simpleType>
    </xsd:element>
    <xsd:element name="MigrationOriginalDate" ma:index="10" nillable="true" ma:displayName="Original dato" ma:description="The modified date from the file system" ma:format="DateTime" ma:internalName="MigrationOriginalDate">
      <xsd:simpleType>
        <xsd:restriction base="dms:DateTime"/>
      </xsd:simpleType>
    </xsd:element>
    <xsd:element name="j2c2601e249f4d2993f2fcc4fe83f7c1" ma:index="11" nillable="true" ma:taxonomy="true" ma:internalName="j2c2601e249f4d2993f2fcc4fe83f7c1" ma:taxonomyFieldName="Sensitivity" ma:displayName="Sensitivity" ma:default="" ma:fieldId="{32c2601e-249f-4d29-93f2-fcc4fe83f7c1}" ma:sspId="e6a412d2-aea5-45d9-add9-4615ec186553" ma:termSetId="2400aab3-62fb-4893-836f-46f56c17e615" ma:anchorId="a96bf159-1ff9-48c6-9318-7ab65633f375" ma:open="fals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1adb61e6-50f3-4f94-b9a9-c9b4ea046575}" ma:internalName="TaxCatchAll" ma:showField="CatchAllData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1adb61e6-50f3-4f94-b9a9-c9b4ea046575}" ma:internalName="TaxCatchAllLabel" ma:readOnly="true" ma:showField="CatchAllDataLabel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284BA0-1028-4F6A-A0D5-A2C649A91130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C286A604-215A-447C-B5FC-8DC4F858B9E6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0dd46b0f-e2c7-4a31-a61e-54a1e81a6d74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A9A65FB-A859-4BC1-BDF3-C2C174DAA85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8F06293-7E25-4CAC-812E-45433818DB9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28</vt:i4>
      </vt:variant>
      <vt:variant>
        <vt:lpstr>Navngivne områder</vt:lpstr>
      </vt:variant>
      <vt:variant>
        <vt:i4>15</vt:i4>
      </vt:variant>
    </vt:vector>
  </HeadingPairs>
  <TitlesOfParts>
    <vt:vector size="43" baseType="lpstr">
      <vt:lpstr>Nøgler GL</vt:lpstr>
      <vt:lpstr>Nøgler m. lønkode</vt:lpstr>
      <vt:lpstr>Nøgler januar 2006</vt:lpstr>
      <vt:lpstr>Maj 2011</vt:lpstr>
      <vt:lpstr>Juni 2011</vt:lpstr>
      <vt:lpstr>Juli 2011</vt:lpstr>
      <vt:lpstr>April 2012</vt:lpstr>
      <vt:lpstr>August 2011</vt:lpstr>
      <vt:lpstr>Ark1</vt:lpstr>
      <vt:lpstr>Ark2</vt:lpstr>
      <vt:lpstr>Ark3</vt:lpstr>
      <vt:lpstr>September 2011</vt:lpstr>
      <vt:lpstr>Oktober 2011</vt:lpstr>
      <vt:lpstr>November 2011</vt:lpstr>
      <vt:lpstr>December 2011</vt:lpstr>
      <vt:lpstr>Januar 2012</vt:lpstr>
      <vt:lpstr>Februar 2012</vt:lpstr>
      <vt:lpstr>Marts 2012</vt:lpstr>
      <vt:lpstr>MUS 2011 </vt:lpstr>
      <vt:lpstr>Prisliste 2011 og 2012</vt:lpstr>
      <vt:lpstr>KM tal på biler 2010</vt:lpstr>
      <vt:lpstr>KM tal på biler 2012</vt:lpstr>
      <vt:lpstr>KM tal på biler 2011 </vt:lpstr>
      <vt:lpstr>Statistik 2012</vt:lpstr>
      <vt:lpstr>Oplysningen sommer</vt:lpstr>
      <vt:lpstr>Statistik 2011</vt:lpstr>
      <vt:lpstr>Statistik 2010 </vt:lpstr>
      <vt:lpstr>Balanced 2010</vt:lpstr>
      <vt:lpstr>'Nøgler januar 2006'!Udskriftsområde</vt:lpstr>
      <vt:lpstr>'Nøgler m. lønkode'!Udskriftsområde</vt:lpstr>
      <vt:lpstr>'April 2012'!Udskriftstitler</vt:lpstr>
      <vt:lpstr>'August 2011'!Udskriftstitler</vt:lpstr>
      <vt:lpstr>'Balanced 2010'!Udskriftstitler</vt:lpstr>
      <vt:lpstr>'December 2011'!Udskriftstitler</vt:lpstr>
      <vt:lpstr>'Februar 2012'!Udskriftstitler</vt:lpstr>
      <vt:lpstr>'Januar 2012'!Udskriftstitler</vt:lpstr>
      <vt:lpstr>'Juli 2011'!Udskriftstitler</vt:lpstr>
      <vt:lpstr>'Juni 2011'!Udskriftstitler</vt:lpstr>
      <vt:lpstr>'Maj 2011'!Udskriftstitler</vt:lpstr>
      <vt:lpstr>'Marts 2012'!Udskriftstitler</vt:lpstr>
      <vt:lpstr>'November 2011'!Udskriftstitler</vt:lpstr>
      <vt:lpstr>'Oktober 2011'!Udskriftstitler</vt:lpstr>
      <vt:lpstr>'September 2011'!Udskriftstitler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Kim Holm Aabroe</cp:lastModifiedBy>
  <cp:revision>11</cp:revision>
  <dcterms:created xsi:type="dcterms:W3CDTF">2000-02-23T09:56:36Z</dcterms:created>
  <dcterms:modified xsi:type="dcterms:W3CDTF">2024-10-31T02:37:06Z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0x010100B015E2879F2C3E49A84E4FBA662FB26A0046F37DEC036D284BBEE537A85881DFA0</vt:lpwstr>
  </property>
  <property fmtid="{D5CDD505-2E9C-101B-9397-08002B2CF9AE}" pid="12" name="Order">
    <vt:r8>100</vt:r8>
  </property>
  <property fmtid="{D5CDD505-2E9C-101B-9397-08002B2CF9AE}" pid="13" name="Sensitivity">
    <vt:lpwstr/>
  </property>
  <property fmtid="{D5CDD505-2E9C-101B-9397-08002B2CF9AE}" pid="14" name="CloudStatistics_StoryID">
    <vt:lpwstr>8f0c1f7f-8a27-4298-a557-d307308e1c39</vt:lpwstr>
  </property>
  <property fmtid="{D5CDD505-2E9C-101B-9397-08002B2CF9AE}" pid="15" name="MediaServiceImageTags">
    <vt:lpwstr/>
  </property>
  <property fmtid="{D5CDD505-2E9C-101B-9397-08002B2CF9AE}" pid="16" name="lcf76f155ced4ddcb4097134ff3c332f">
    <vt:lpwstr/>
  </property>
</Properties>
</file>